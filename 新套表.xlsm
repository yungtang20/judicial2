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F:\01.刑案\01.常用表單\"/>
    </mc:Choice>
  </mc:AlternateContent>
  <xr:revisionPtr revIDLastSave="0" documentId="13_ncr:1_{B3970188-1336-4324-8B82-DA1E4532A6D7}" xr6:coauthVersionLast="47" xr6:coauthVersionMax="47" xr10:uidLastSave="{00000000-0000-0000-0000-000000000000}"/>
  <bookViews>
    <workbookView xWindow="14295" yWindow="0" windowWidth="14610" windowHeight="15585" tabRatio="916" activeTab="1" xr2:uid="{00000000-000D-0000-FFFF-FFFF00000000}"/>
  </bookViews>
  <sheets>
    <sheet name="輸入" sheetId="1" r:id="rId1"/>
    <sheet name="word用" sheetId="2" r:id="rId2"/>
    <sheet name="下拉用" sheetId="3" r:id="rId3"/>
    <sheet name="調閱用" sheetId="4" r:id="rId4"/>
    <sheet name="報獎條陳" sheetId="5" r:id="rId5"/>
    <sheet name="線上立破通報單" sheetId="6" state="hidden" r:id="rId6"/>
    <sheet name="呈報單" sheetId="7" r:id="rId7"/>
    <sheet name="監視檢核表" sheetId="8" state="hidden" r:id="rId8"/>
    <sheet name="行政陳報單" sheetId="9" r:id="rId9"/>
    <sheet name="調閱呈報單" sheetId="10" r:id="rId10"/>
    <sheet name="調閱監視器(所)" sheetId="11" state="hidden" r:id="rId11"/>
    <sheet name="權利" sheetId="12" state="hidden" r:id="rId12"/>
    <sheet name="夜訊" sheetId="13" state="hidden" r:id="rId13"/>
    <sheet name="發傳喚通知" sheetId="14" r:id="rId14"/>
    <sheet name="本人" sheetId="15" r:id="rId15"/>
    <sheet name="親友" sheetId="16" r:id="rId16"/>
    <sheet name="提審新" sheetId="17" r:id="rId17"/>
    <sheet name="入出所" sheetId="18" state="hidden" r:id="rId18"/>
    <sheet name="法扶(114)" sheetId="19" r:id="rId19"/>
    <sheet name="酒測單" sheetId="20" r:id="rId20"/>
    <sheet name="委託書" sheetId="21" state="hidden" r:id="rId21"/>
    <sheet name="酒扣領據" sheetId="22" state="hidden" r:id="rId22"/>
    <sheet name="銷毀同意書" sheetId="23" state="hidden" r:id="rId23"/>
    <sheet name="鑑驗書" sheetId="24" state="hidden" r:id="rId24"/>
    <sheet name="檢體監管紀錄表" sheetId="25" state="hidden" r:id="rId25"/>
    <sheet name="自願受採尿同意書" sheetId="26" state="hidden" r:id="rId26"/>
    <sheet name="毒品相片紀錄" sheetId="27" state="hidden" r:id="rId27"/>
    <sheet name="案件管制表" sheetId="28" state="hidden" r:id="rId28"/>
    <sheet name="呈報單 多人" sheetId="29" r:id="rId29"/>
    <sheet name="3.4級毒品通報單" sheetId="30" state="hidden" r:id="rId30"/>
    <sheet name="捨棄聲明" sheetId="31" state="hidden" r:id="rId31"/>
    <sheet name="捨棄抗告" sheetId="32" state="hidden" r:id="rId32"/>
    <sheet name="送達新" sheetId="33" state="hidden" r:id="rId33"/>
    <sheet name="送達" sheetId="34" state="hidden" r:id="rId34"/>
    <sheet name="手機" sheetId="35" r:id="rId35"/>
    <sheet name="送驗記錄" sheetId="36" state="hidden" r:id="rId36"/>
    <sheet name="少年關懷" sheetId="37" state="hidden" r:id="rId37"/>
    <sheet name="電訪" sheetId="38" state="hidden" r:id="rId38"/>
    <sheet name="12歲" sheetId="39" state="hidden" r:id="rId39"/>
    <sheet name="通聯紀錄表" sheetId="40" state="hidden" r:id="rId40"/>
    <sheet name="救護資料申請書" sheetId="41" state="hidden" r:id="rId41"/>
    <sheet name="法扶107版" sheetId="42" state="hidden" r:id="rId42"/>
    <sheet name="外勞" sheetId="43" state="hidden" r:id="rId43"/>
    <sheet name="法扶" sheetId="44" state="hidden" r:id="rId44"/>
    <sheet name="贓物認領" sheetId="45" r:id="rId45"/>
    <sheet name="績效獎勵金" sheetId="46" r:id="rId46"/>
    <sheet name="被害人筆錄" sheetId="47" r:id="rId47"/>
    <sheet name="涉嫌人筆錄" sheetId="48" r:id="rId48"/>
    <sheet name="證人筆錄" sheetId="49" r:id="rId49"/>
    <sheet name="相片用" sheetId="50" state="hidden" r:id="rId50"/>
    <sheet name="酒測相片紀錄" sheetId="51" state="hidden" r:id="rId51"/>
    <sheet name="封面" sheetId="52" state="hidden" r:id="rId52"/>
    <sheet name="詐欺用檢核表" sheetId="53" state="hidden" r:id="rId53"/>
  </sheets>
  <externalReferences>
    <externalReference r:id="rId54"/>
  </externalReferences>
  <definedNames>
    <definedName name="_xlnm.Print_Area" localSheetId="17">入出所!$A$1:$R$48</definedName>
    <definedName name="人別" localSheetId="13">下拉用!$C$2:$C$8</definedName>
    <definedName name="人別">下拉用!$C$2:$C$8</definedName>
    <definedName name="有無涉嫌人" localSheetId="13">下拉用!$D$2:$D$3</definedName>
    <definedName name="有無涉嫌人">下拉用!$D$2:$D$3</definedName>
    <definedName name="姓名" localSheetId="13">OFFSET(下拉用!$Y$3,,,MAX(下拉用!$W$3:$W$11))</definedName>
    <definedName name="姓名">OFFSET(下拉用!$Y$3,,,MAX(下拉用!$W$3:$W$11))</definedName>
    <definedName name="個資" localSheetId="13">輸入!$B$17:$Q$26</definedName>
    <definedName name="個資">輸入!$B$17:$Q$26</definedName>
    <definedName name="案由" localSheetId="13">下拉用!$I:$L</definedName>
    <definedName name="案由">調閱用!$1:$1</definedName>
    <definedName name="涉嫌人筆錄">涉嫌人筆錄!$1:$1048576</definedName>
    <definedName name="被害人筆錄">被害人筆錄!$1:$1048576</definedName>
    <definedName name="筆錄">[1]下拉用!$A:$T</definedName>
    <definedName name="證人筆錄">證人筆錄!$1:$1048576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2" i="5" l="1"/>
  <c r="D17" i="53"/>
  <c r="C4" i="53"/>
  <c r="C3" i="53"/>
  <c r="A1" i="53"/>
  <c r="I19" i="52"/>
  <c r="V18" i="52"/>
  <c r="L14" i="52"/>
  <c r="I7" i="52"/>
  <c r="G4" i="52"/>
  <c r="E3" i="52"/>
  <c r="L14" i="51"/>
  <c r="Q13" i="51"/>
  <c r="F13" i="51"/>
  <c r="V12" i="51"/>
  <c r="U12" i="51"/>
  <c r="Q12" i="51"/>
  <c r="M12" i="51"/>
  <c r="K12" i="51"/>
  <c r="J12" i="51"/>
  <c r="F12" i="51"/>
  <c r="B12" i="51"/>
  <c r="Q8" i="51"/>
  <c r="F8" i="51"/>
  <c r="V7" i="51"/>
  <c r="U7" i="51"/>
  <c r="Q7" i="51"/>
  <c r="M7" i="51"/>
  <c r="K7" i="51"/>
  <c r="J7" i="51"/>
  <c r="F7" i="51"/>
  <c r="B7" i="51"/>
  <c r="P3" i="51"/>
  <c r="O3" i="51"/>
  <c r="N3" i="51"/>
  <c r="M3" i="51"/>
  <c r="E3" i="51"/>
  <c r="D3" i="51"/>
  <c r="C3" i="51"/>
  <c r="B3" i="51"/>
  <c r="L1" i="51"/>
  <c r="A1" i="51"/>
  <c r="S2" i="50"/>
  <c r="Q2" i="50"/>
  <c r="O2" i="50"/>
  <c r="N2" i="50"/>
  <c r="M2" i="50"/>
  <c r="L2" i="50"/>
  <c r="K2" i="50"/>
  <c r="J2" i="50"/>
  <c r="I2" i="50"/>
  <c r="H2" i="50"/>
  <c r="G2" i="50"/>
  <c r="E2" i="50"/>
  <c r="D2" i="50"/>
  <c r="C2" i="50"/>
  <c r="B2" i="50"/>
  <c r="A2" i="50"/>
  <c r="J1" i="50"/>
  <c r="C12" i="49"/>
  <c r="C11" i="49"/>
  <c r="C10" i="49"/>
  <c r="C9" i="49"/>
  <c r="C8" i="49"/>
  <c r="C7" i="49"/>
  <c r="C4" i="49"/>
  <c r="B4" i="49"/>
  <c r="CB2" i="2" s="1"/>
  <c r="C3" i="49"/>
  <c r="N10" i="48"/>
  <c r="N9" i="48"/>
  <c r="N8" i="48"/>
  <c r="A7" i="48"/>
  <c r="BC2" i="2" s="1"/>
  <c r="D5" i="48"/>
  <c r="D2" i="48"/>
  <c r="A16" i="47"/>
  <c r="BW2" i="2" s="1"/>
  <c r="A14" i="47"/>
  <c r="BU2" i="2" s="1"/>
  <c r="R2" i="47"/>
  <c r="A2" i="47"/>
  <c r="G8" i="39" s="1"/>
  <c r="H3" i="46"/>
  <c r="B3" i="46"/>
  <c r="A1" i="46"/>
  <c r="A16" i="45"/>
  <c r="L19" i="44"/>
  <c r="L18" i="44"/>
  <c r="F18" i="44"/>
  <c r="C10" i="44"/>
  <c r="F5" i="44"/>
  <c r="F7" i="44" s="1"/>
  <c r="E3" i="44"/>
  <c r="M20" i="43"/>
  <c r="J20" i="43"/>
  <c r="H20" i="43"/>
  <c r="F20" i="43"/>
  <c r="E20" i="43"/>
  <c r="B19" i="43"/>
  <c r="M19" i="43" s="1"/>
  <c r="B8" i="43"/>
  <c r="B7" i="43"/>
  <c r="K5" i="43"/>
  <c r="B5" i="43"/>
  <c r="K4" i="43"/>
  <c r="B4" i="43"/>
  <c r="K16" i="42"/>
  <c r="K15" i="42"/>
  <c r="F15" i="42"/>
  <c r="F5" i="42"/>
  <c r="K3" i="42"/>
  <c r="I3" i="42"/>
  <c r="E3" i="42"/>
  <c r="D17" i="41"/>
  <c r="C16" i="41"/>
  <c r="C13" i="41"/>
  <c r="C6" i="41"/>
  <c r="G4" i="41"/>
  <c r="C4" i="41"/>
  <c r="C3" i="41"/>
  <c r="K5" i="40"/>
  <c r="K4" i="40"/>
  <c r="C4" i="40"/>
  <c r="C5" i="40" s="1"/>
  <c r="F26" i="39"/>
  <c r="C26" i="39"/>
  <c r="C3" i="39"/>
  <c r="C5" i="39" s="1"/>
  <c r="A24" i="38"/>
  <c r="B11" i="38"/>
  <c r="B9" i="38"/>
  <c r="C5" i="38"/>
  <c r="C3" i="38"/>
  <c r="A2" i="38"/>
  <c r="D1" i="38"/>
  <c r="A1" i="38"/>
  <c r="B14" i="37"/>
  <c r="B13" i="37"/>
  <c r="B7" i="37" a="1"/>
  <c r="B7" i="37" s="1"/>
  <c r="B6" i="37"/>
  <c r="B5" i="37"/>
  <c r="B3" i="37"/>
  <c r="A2" i="37"/>
  <c r="A1" i="37"/>
  <c r="B31" i="36"/>
  <c r="B30" i="36"/>
  <c r="B29" i="36"/>
  <c r="B28" i="36"/>
  <c r="B20" i="36"/>
  <c r="B19" i="36"/>
  <c r="B18" i="36"/>
  <c r="B17" i="36"/>
  <c r="B7" i="36"/>
  <c r="B12" i="36" s="1"/>
  <c r="B6" i="36"/>
  <c r="B5" i="36"/>
  <c r="B4" i="36"/>
  <c r="B3" i="36"/>
  <c r="I16" i="35"/>
  <c r="I15" i="35"/>
  <c r="C15" i="34"/>
  <c r="C4" i="34"/>
  <c r="A1" i="34"/>
  <c r="C4" i="33"/>
  <c r="A1" i="33"/>
  <c r="A16" i="30"/>
  <c r="A14" i="30"/>
  <c r="I11" i="30"/>
  <c r="M9" i="30"/>
  <c r="I9" i="30"/>
  <c r="H9" i="30"/>
  <c r="F9" i="30"/>
  <c r="D9" i="30"/>
  <c r="C9" i="30"/>
  <c r="M8" i="30"/>
  <c r="I8" i="30"/>
  <c r="H8" i="30"/>
  <c r="F8" i="30"/>
  <c r="D8" i="30"/>
  <c r="C8" i="30"/>
  <c r="M6" i="30"/>
  <c r="H6" i="30"/>
  <c r="G6" i="30"/>
  <c r="F6" i="30"/>
  <c r="E6" i="30"/>
  <c r="D6" i="30"/>
  <c r="C6" i="30"/>
  <c r="M5" i="30"/>
  <c r="H5" i="30"/>
  <c r="G5" i="30"/>
  <c r="F5" i="30"/>
  <c r="E5" i="30"/>
  <c r="D5" i="30"/>
  <c r="C5" i="30"/>
  <c r="A1" i="30"/>
  <c r="S46" i="29"/>
  <c r="G44" i="29"/>
  <c r="C8" i="41" s="1"/>
  <c r="G43" i="29"/>
  <c r="J41" i="29"/>
  <c r="X40" i="29"/>
  <c r="S40" i="29"/>
  <c r="P40" i="29"/>
  <c r="N40" i="29"/>
  <c r="J40" i="29"/>
  <c r="H40" i="29"/>
  <c r="F40" i="29"/>
  <c r="S38" i="29"/>
  <c r="J37" i="29"/>
  <c r="X36" i="29"/>
  <c r="S36" i="29"/>
  <c r="P36" i="29"/>
  <c r="N36" i="29"/>
  <c r="J36" i="29"/>
  <c r="H36" i="29"/>
  <c r="F36" i="29"/>
  <c r="S34" i="29"/>
  <c r="J33" i="29"/>
  <c r="X32" i="29"/>
  <c r="S32" i="29"/>
  <c r="P32" i="29"/>
  <c r="N32" i="29"/>
  <c r="J32" i="29"/>
  <c r="H32" i="29"/>
  <c r="F32" i="29"/>
  <c r="S30" i="29"/>
  <c r="J28" i="29"/>
  <c r="X27" i="29"/>
  <c r="S27" i="29"/>
  <c r="P27" i="29"/>
  <c r="N27" i="29"/>
  <c r="J27" i="29"/>
  <c r="H27" i="29"/>
  <c r="F27" i="29"/>
  <c r="S25" i="29"/>
  <c r="J24" i="29"/>
  <c r="X23" i="29"/>
  <c r="S23" i="29"/>
  <c r="P23" i="29"/>
  <c r="N23" i="29"/>
  <c r="J23" i="29"/>
  <c r="H23" i="29"/>
  <c r="F23" i="29"/>
  <c r="S21" i="29"/>
  <c r="J20" i="29"/>
  <c r="X19" i="29"/>
  <c r="S19" i="29"/>
  <c r="P19" i="29"/>
  <c r="N19" i="29"/>
  <c r="J19" i="29"/>
  <c r="H19" i="29"/>
  <c r="F19" i="29"/>
  <c r="S17" i="29"/>
  <c r="J16" i="29"/>
  <c r="X15" i="29"/>
  <c r="S15" i="29"/>
  <c r="P15" i="29"/>
  <c r="N15" i="29"/>
  <c r="S13" i="29"/>
  <c r="J12" i="29"/>
  <c r="X11" i="29"/>
  <c r="S11" i="29"/>
  <c r="P11" i="29"/>
  <c r="N11" i="29"/>
  <c r="J11" i="29"/>
  <c r="S9" i="29"/>
  <c r="J8" i="29"/>
  <c r="S7" i="29"/>
  <c r="P7" i="29"/>
  <c r="N7" i="29"/>
  <c r="F4" i="29"/>
  <c r="C3" i="29"/>
  <c r="B2" i="29"/>
  <c r="A14" i="28"/>
  <c r="A13" i="28"/>
  <c r="L1" i="27"/>
  <c r="A1" i="27"/>
  <c r="B5" i="26"/>
  <c r="Y35" i="25"/>
  <c r="J35" i="25"/>
  <c r="I33" i="25"/>
  <c r="A33" i="25"/>
  <c r="B15" i="25"/>
  <c r="D13" i="25"/>
  <c r="D9" i="25"/>
  <c r="B24" i="24"/>
  <c r="B23" i="24"/>
  <c r="B22" i="24"/>
  <c r="B21" i="24"/>
  <c r="B20" i="24"/>
  <c r="B18" i="24"/>
  <c r="B17" i="24"/>
  <c r="B16" i="24"/>
  <c r="D14" i="24"/>
  <c r="B10" i="24"/>
  <c r="B9" i="24"/>
  <c r="D8" i="24"/>
  <c r="B8" i="24"/>
  <c r="B7" i="24"/>
  <c r="C6" i="24"/>
  <c r="B6" i="24"/>
  <c r="A1" i="24"/>
  <c r="R11" i="23"/>
  <c r="I11" i="23"/>
  <c r="F11" i="23"/>
  <c r="A11" i="23"/>
  <c r="R10" i="23"/>
  <c r="I10" i="23"/>
  <c r="F10" i="23"/>
  <c r="A10" i="23"/>
  <c r="R8" i="23"/>
  <c r="I8" i="23"/>
  <c r="F8" i="23"/>
  <c r="A8" i="23"/>
  <c r="A5" i="23"/>
  <c r="A4" i="23"/>
  <c r="A1" i="23"/>
  <c r="A20" i="22"/>
  <c r="A19" i="22"/>
  <c r="A18" i="22"/>
  <c r="A17" i="22"/>
  <c r="A3" i="22"/>
  <c r="A1" i="22"/>
  <c r="A22" i="21"/>
  <c r="A21" i="21"/>
  <c r="A20" i="21"/>
  <c r="A19" i="21"/>
  <c r="A18" i="21"/>
  <c r="A16" i="21"/>
  <c r="A15" i="21"/>
  <c r="A14" i="21"/>
  <c r="A13" i="21"/>
  <c r="A12" i="21"/>
  <c r="A10" i="21"/>
  <c r="C4" i="20"/>
  <c r="C3" i="20"/>
  <c r="A1" i="20"/>
  <c r="L21" i="19"/>
  <c r="L20" i="19"/>
  <c r="F20" i="19"/>
  <c r="A12" i="19"/>
  <c r="E8" i="19"/>
  <c r="E5" i="19"/>
  <c r="E7" i="19" s="1"/>
  <c r="E3" i="19"/>
  <c r="B38" i="18"/>
  <c r="I36" i="18"/>
  <c r="G36" i="18"/>
  <c r="F36" i="18"/>
  <c r="E36" i="18"/>
  <c r="D36" i="18"/>
  <c r="C36" i="18"/>
  <c r="B36" i="18"/>
  <c r="K35" i="18"/>
  <c r="G35" i="18"/>
  <c r="F35" i="18"/>
  <c r="E35" i="18"/>
  <c r="D35" i="18"/>
  <c r="C35" i="18"/>
  <c r="B35" i="18"/>
  <c r="J34" i="18"/>
  <c r="G34" i="18"/>
  <c r="F34" i="18"/>
  <c r="E34" i="18"/>
  <c r="D34" i="18"/>
  <c r="C34" i="18"/>
  <c r="B34" i="18"/>
  <c r="G33" i="18"/>
  <c r="F33" i="18"/>
  <c r="E33" i="18"/>
  <c r="D33" i="18"/>
  <c r="C33" i="18"/>
  <c r="B33" i="18"/>
  <c r="G32" i="18"/>
  <c r="F32" i="18"/>
  <c r="E32" i="18"/>
  <c r="D32" i="18"/>
  <c r="C32" i="18"/>
  <c r="B32" i="18"/>
  <c r="K32" i="18" s="1"/>
  <c r="B28" i="18"/>
  <c r="K12" i="18"/>
  <c r="K36" i="18" s="1"/>
  <c r="J12" i="18"/>
  <c r="J36" i="18" s="1"/>
  <c r="I12" i="18"/>
  <c r="G12" i="18"/>
  <c r="F12" i="18"/>
  <c r="E12" i="18"/>
  <c r="D12" i="18"/>
  <c r="C12" i="18"/>
  <c r="K11" i="18"/>
  <c r="J11" i="18"/>
  <c r="J35" i="18" s="1"/>
  <c r="I11" i="18"/>
  <c r="I35" i="18" s="1"/>
  <c r="G11" i="18"/>
  <c r="F11" i="18"/>
  <c r="E11" i="18"/>
  <c r="D11" i="18"/>
  <c r="C11" i="18"/>
  <c r="K10" i="18"/>
  <c r="K34" i="18" s="1"/>
  <c r="J10" i="18"/>
  <c r="I10" i="18"/>
  <c r="I34" i="18" s="1"/>
  <c r="G10" i="18"/>
  <c r="F10" i="18"/>
  <c r="E10" i="18"/>
  <c r="D10" i="18"/>
  <c r="C10" i="18"/>
  <c r="K9" i="18"/>
  <c r="K33" i="18" s="1"/>
  <c r="J9" i="18"/>
  <c r="J33" i="18" s="1"/>
  <c r="I9" i="18"/>
  <c r="I33" i="18" s="1"/>
  <c r="G9" i="18"/>
  <c r="F9" i="18"/>
  <c r="E9" i="18"/>
  <c r="D9" i="18"/>
  <c r="C9" i="18"/>
  <c r="K8" i="18"/>
  <c r="J8" i="18"/>
  <c r="I8" i="18"/>
  <c r="G8" i="18"/>
  <c r="F8" i="18"/>
  <c r="E8" i="18"/>
  <c r="D8" i="18"/>
  <c r="C8" i="18"/>
  <c r="B4" i="18"/>
  <c r="B22" i="16"/>
  <c r="D21" i="16"/>
  <c r="D16" i="16"/>
  <c r="A8" i="16"/>
  <c r="A7" i="16"/>
  <c r="A1" i="16"/>
  <c r="B22" i="15"/>
  <c r="D21" i="15"/>
  <c r="B19" i="15"/>
  <c r="D16" i="15"/>
  <c r="A8" i="15"/>
  <c r="A7" i="15"/>
  <c r="A1" i="15"/>
  <c r="G13" i="14"/>
  <c r="G12" i="14"/>
  <c r="G11" i="14"/>
  <c r="G10" i="14"/>
  <c r="G3" i="14"/>
  <c r="A1" i="14"/>
  <c r="B17" i="13"/>
  <c r="G19" i="12"/>
  <c r="B1" i="12"/>
  <c r="D26" i="11"/>
  <c r="G19" i="11"/>
  <c r="H14" i="11"/>
  <c r="H13" i="11"/>
  <c r="D11" i="11"/>
  <c r="T9" i="11"/>
  <c r="Q8" i="11"/>
  <c r="Q7" i="11"/>
  <c r="Q6" i="11"/>
  <c r="B4" i="11"/>
  <c r="C11" i="10"/>
  <c r="C10" i="10"/>
  <c r="D9" i="10"/>
  <c r="H2" i="10"/>
  <c r="A1" i="10"/>
  <c r="F21" i="9"/>
  <c r="D17" i="9"/>
  <c r="K7" i="9"/>
  <c r="D5" i="9"/>
  <c r="H11" i="8"/>
  <c r="E4" i="8"/>
  <c r="A1" i="8"/>
  <c r="S17" i="7"/>
  <c r="G15" i="7"/>
  <c r="L3" i="14" s="1"/>
  <c r="G14" i="7"/>
  <c r="G13" i="7"/>
  <c r="J1" i="46" s="1"/>
  <c r="B11" i="7"/>
  <c r="P11" i="7" s="1"/>
  <c r="S9" i="7"/>
  <c r="F4" i="7"/>
  <c r="C3" i="7"/>
  <c r="B2" i="7"/>
  <c r="S27" i="6"/>
  <c r="S26" i="6"/>
  <c r="G25" i="6"/>
  <c r="T12" i="6"/>
  <c r="L12" i="6"/>
  <c r="I12" i="6"/>
  <c r="H12" i="6"/>
  <c r="P12" i="6" s="1"/>
  <c r="B12" i="6"/>
  <c r="AA9" i="6"/>
  <c r="I9" i="6"/>
  <c r="H9" i="6"/>
  <c r="G9" i="6"/>
  <c r="F9" i="6"/>
  <c r="E9" i="6"/>
  <c r="D9" i="6"/>
  <c r="AA8" i="6"/>
  <c r="I8" i="6"/>
  <c r="H8" i="6"/>
  <c r="G8" i="6"/>
  <c r="F8" i="6"/>
  <c r="E8" i="6"/>
  <c r="D8" i="6"/>
  <c r="AA7" i="6"/>
  <c r="I7" i="6"/>
  <c r="H7" i="6"/>
  <c r="G7" i="6"/>
  <c r="F7" i="6"/>
  <c r="E7" i="6"/>
  <c r="D7" i="6"/>
  <c r="AA6" i="6"/>
  <c r="I6" i="6"/>
  <c r="H6" i="6"/>
  <c r="G6" i="6"/>
  <c r="F6" i="6"/>
  <c r="E6" i="6"/>
  <c r="D6" i="6"/>
  <c r="V4" i="6"/>
  <c r="E4" i="6"/>
  <c r="V3" i="6"/>
  <c r="B2" i="6"/>
  <c r="G25" i="4"/>
  <c r="K24" i="4"/>
  <c r="X2" i="52" s="1"/>
  <c r="G24" i="4"/>
  <c r="E11" i="4" s="1"/>
  <c r="K23" i="4"/>
  <c r="D13" i="4"/>
  <c r="H12" i="4"/>
  <c r="G12" i="4"/>
  <c r="F12" i="4"/>
  <c r="E12" i="4"/>
  <c r="D12" i="4"/>
  <c r="C12" i="4"/>
  <c r="B12" i="4"/>
  <c r="A12" i="4"/>
  <c r="D7" i="10" s="1"/>
  <c r="G11" i="4"/>
  <c r="F11" i="4"/>
  <c r="D11" i="4"/>
  <c r="B11" i="4"/>
  <c r="A11" i="4"/>
  <c r="D6" i="10" s="1"/>
  <c r="J13" i="3"/>
  <c r="N12" i="3"/>
  <c r="J12" i="3"/>
  <c r="X11" i="3"/>
  <c r="S11" i="3"/>
  <c r="L26" i="1" s="1"/>
  <c r="R11" i="3"/>
  <c r="Q11" i="3"/>
  <c r="P11" i="3"/>
  <c r="O11" i="3"/>
  <c r="N11" i="3"/>
  <c r="M11" i="3"/>
  <c r="L11" i="3"/>
  <c r="J11" i="3"/>
  <c r="C11" i="3"/>
  <c r="X10" i="3"/>
  <c r="S10" i="3"/>
  <c r="L25" i="1" s="1"/>
  <c r="R10" i="3"/>
  <c r="K25" i="1" s="1"/>
  <c r="Q10" i="3"/>
  <c r="P10" i="3"/>
  <c r="O10" i="3"/>
  <c r="N10" i="3"/>
  <c r="M10" i="3"/>
  <c r="L10" i="3"/>
  <c r="J10" i="3"/>
  <c r="C7" i="33" s="1"/>
  <c r="C10" i="3"/>
  <c r="B7" i="7" s="1"/>
  <c r="X9" i="3"/>
  <c r="S9" i="3"/>
  <c r="R9" i="3"/>
  <c r="K24" i="1" s="1"/>
  <c r="Q9" i="3"/>
  <c r="P9" i="3"/>
  <c r="O9" i="3"/>
  <c r="N9" i="3"/>
  <c r="M9" i="3"/>
  <c r="L9" i="3"/>
  <c r="J9" i="3"/>
  <c r="I2" i="53" s="1"/>
  <c r="X8" i="3"/>
  <c r="S8" i="3"/>
  <c r="R8" i="3"/>
  <c r="K23" i="1" s="1"/>
  <c r="Q8" i="3"/>
  <c r="P8" i="3"/>
  <c r="O8" i="3"/>
  <c r="N8" i="3"/>
  <c r="M8" i="3"/>
  <c r="L8" i="3"/>
  <c r="J8" i="3"/>
  <c r="I10" i="52" s="1"/>
  <c r="X7" i="3"/>
  <c r="S7" i="3"/>
  <c r="R7" i="3"/>
  <c r="Q7" i="3"/>
  <c r="P7" i="3"/>
  <c r="O7" i="3"/>
  <c r="N7" i="3"/>
  <c r="M7" i="3"/>
  <c r="L7" i="3"/>
  <c r="J7" i="3"/>
  <c r="X6" i="3"/>
  <c r="S6" i="3"/>
  <c r="L21" i="1" s="1"/>
  <c r="R6" i="3"/>
  <c r="Q6" i="3"/>
  <c r="P6" i="3"/>
  <c r="O6" i="3"/>
  <c r="N6" i="3"/>
  <c r="M6" i="3"/>
  <c r="L6" i="3"/>
  <c r="J6" i="3"/>
  <c r="A3" i="26" s="1"/>
  <c r="X5" i="3"/>
  <c r="W5" i="3"/>
  <c r="S5" i="3"/>
  <c r="R5" i="3"/>
  <c r="Q5" i="3"/>
  <c r="P5" i="3"/>
  <c r="O5" i="3"/>
  <c r="N5" i="3"/>
  <c r="M5" i="3"/>
  <c r="L5" i="3"/>
  <c r="J5" i="3"/>
  <c r="I5" i="3"/>
  <c r="X4" i="3"/>
  <c r="W4" i="3"/>
  <c r="S4" i="3"/>
  <c r="R4" i="3"/>
  <c r="K19" i="1" s="1"/>
  <c r="H7" i="29" s="1"/>
  <c r="Q4" i="3"/>
  <c r="P4" i="3"/>
  <c r="O4" i="3"/>
  <c r="L4" i="3"/>
  <c r="J4" i="3"/>
  <c r="A7" i="49" s="1"/>
  <c r="I4" i="3"/>
  <c r="E4" i="3"/>
  <c r="X3" i="3"/>
  <c r="V3" i="3" s="1"/>
  <c r="S3" i="3"/>
  <c r="R3" i="3"/>
  <c r="K18" i="1" s="1"/>
  <c r="Q3" i="3"/>
  <c r="P3" i="3"/>
  <c r="O3" i="3"/>
  <c r="N3" i="3"/>
  <c r="M3" i="3"/>
  <c r="L3" i="3"/>
  <c r="J3" i="3"/>
  <c r="I3" i="3"/>
  <c r="S2" i="3"/>
  <c r="L17" i="1" s="1"/>
  <c r="F11" i="29" s="1"/>
  <c r="R2" i="3"/>
  <c r="K17" i="1" s="1"/>
  <c r="Q2" i="3"/>
  <c r="O2" i="3"/>
  <c r="N2" i="3"/>
  <c r="M2" i="3"/>
  <c r="L2" i="3"/>
  <c r="J2" i="3"/>
  <c r="D15" i="9" s="1"/>
  <c r="I2" i="3"/>
  <c r="DA2" i="2"/>
  <c r="CC2" i="2"/>
  <c r="CA2" i="2"/>
  <c r="BZ2" i="2"/>
  <c r="BX2" i="2"/>
  <c r="BT2" i="2"/>
  <c r="BS2" i="2"/>
  <c r="BR2" i="2"/>
  <c r="BQ2" i="2"/>
  <c r="BP2" i="2"/>
  <c r="BO2" i="2"/>
  <c r="BN2" i="2"/>
  <c r="BM2" i="2"/>
  <c r="BL2" i="2"/>
  <c r="BJ2" i="2"/>
  <c r="BI2" i="2"/>
  <c r="BH2" i="2"/>
  <c r="BG2" i="2"/>
  <c r="BF2" i="2"/>
  <c r="BE2" i="2"/>
  <c r="BD2" i="2"/>
  <c r="AZ2" i="2"/>
  <c r="AY2" i="2"/>
  <c r="AX2" i="2"/>
  <c r="AW2" i="2"/>
  <c r="AV2" i="2"/>
  <c r="AU2" i="2"/>
  <c r="AT2" i="2"/>
  <c r="AS2" i="2"/>
  <c r="AR2" i="2"/>
  <c r="AQ2" i="2"/>
  <c r="D23" i="11" s="1"/>
  <c r="AP2" i="2"/>
  <c r="AO2" i="2"/>
  <c r="AN2" i="2"/>
  <c r="AM2" i="2"/>
  <c r="AL2" i="2"/>
  <c r="AK2" i="2"/>
  <c r="L3" i="48" s="1"/>
  <c r="AJ2" i="2"/>
  <c r="AI2" i="2"/>
  <c r="AH2" i="2"/>
  <c r="AG2" i="2"/>
  <c r="AF2" i="2"/>
  <c r="AE2" i="2"/>
  <c r="AD2" i="2"/>
  <c r="L5" i="48" s="1"/>
  <c r="AC2" i="2"/>
  <c r="AB2" i="2"/>
  <c r="AA2" i="2"/>
  <c r="Z2" i="2"/>
  <c r="Y2" i="2"/>
  <c r="E9" i="35" s="1"/>
  <c r="X2" i="2"/>
  <c r="V2" i="2"/>
  <c r="B2" i="5" s="1"/>
  <c r="U2" i="2"/>
  <c r="W3" i="29" s="1"/>
  <c r="T2" i="2"/>
  <c r="S2" i="2"/>
  <c r="CK2" i="2" s="1"/>
  <c r="P2" i="2"/>
  <c r="O2" i="2"/>
  <c r="N2" i="2"/>
  <c r="C6" i="33" s="1"/>
  <c r="M2" i="2"/>
  <c r="G8" i="14" s="1"/>
  <c r="K2" i="2"/>
  <c r="F6" i="44" s="1"/>
  <c r="J2" i="2"/>
  <c r="I2" i="2"/>
  <c r="A3" i="27" s="1"/>
  <c r="D2" i="2"/>
  <c r="C2" i="2"/>
  <c r="B2" i="2"/>
  <c r="A2" i="2"/>
  <c r="AQ1" i="2"/>
  <c r="AO1" i="2"/>
  <c r="AN1" i="2"/>
  <c r="AM1" i="2"/>
  <c r="AL1" i="2"/>
  <c r="AK1" i="2"/>
  <c r="AJ1" i="2"/>
  <c r="AI1" i="2"/>
  <c r="AH1" i="2"/>
  <c r="AG1" i="2"/>
  <c r="AF1" i="2"/>
  <c r="AE1" i="2"/>
  <c r="AD1" i="2"/>
  <c r="AC1" i="2"/>
  <c r="AB1" i="2"/>
  <c r="AA1" i="2"/>
  <c r="Z1" i="2"/>
  <c r="X1" i="2"/>
  <c r="W1" i="2"/>
  <c r="V1" i="2"/>
  <c r="U1" i="2"/>
  <c r="T1" i="2"/>
  <c r="S1" i="2"/>
  <c r="R1" i="2"/>
  <c r="Q1" i="2"/>
  <c r="P1" i="2"/>
  <c r="O1" i="2"/>
  <c r="N1" i="2"/>
  <c r="M1" i="2"/>
  <c r="L1" i="2"/>
  <c r="K1" i="2"/>
  <c r="J1" i="2"/>
  <c r="I1" i="2"/>
  <c r="E1" i="2"/>
  <c r="D1" i="2"/>
  <c r="C1" i="2"/>
  <c r="Q26" i="1"/>
  <c r="K26" i="1"/>
  <c r="Q25" i="1"/>
  <c r="Q24" i="1"/>
  <c r="L24" i="1"/>
  <c r="Q23" i="1"/>
  <c r="L23" i="1"/>
  <c r="Q22" i="1"/>
  <c r="L22" i="1"/>
  <c r="K22" i="1"/>
  <c r="Q21" i="1"/>
  <c r="K21" i="1"/>
  <c r="Q20" i="1"/>
  <c r="L20" i="1"/>
  <c r="K20" i="1"/>
  <c r="Q19" i="1"/>
  <c r="J7" i="29" s="1"/>
  <c r="L19" i="1"/>
  <c r="F7" i="29" s="1"/>
  <c r="A19" i="1"/>
  <c r="Q18" i="1"/>
  <c r="L2" i="2" s="1"/>
  <c r="D11" i="25" s="1"/>
  <c r="L18" i="1"/>
  <c r="F15" i="29" s="1"/>
  <c r="A18" i="1"/>
  <c r="Q17" i="1"/>
  <c r="A17" i="1"/>
  <c r="A20" i="1" s="1"/>
  <c r="G13" i="1"/>
  <c r="G12" i="1"/>
  <c r="G11" i="1"/>
  <c r="H25" i="4" s="1"/>
  <c r="G10" i="1"/>
  <c r="G9" i="1"/>
  <c r="H24" i="4" s="1"/>
  <c r="T8" i="1"/>
  <c r="C2" i="5" s="1"/>
  <c r="G8" i="1"/>
  <c r="G7" i="1"/>
  <c r="G6" i="1"/>
  <c r="G5" i="1"/>
  <c r="B5" i="1"/>
  <c r="B3" i="1"/>
  <c r="X2" i="6" l="1"/>
  <c r="B9" i="36"/>
  <c r="B21" i="43"/>
  <c r="E19" i="43"/>
  <c r="H3" i="39"/>
  <c r="C4" i="39"/>
  <c r="B3" i="43"/>
  <c r="F19" i="43"/>
  <c r="B11" i="36"/>
  <c r="CI2" i="2"/>
  <c r="CJ2" i="2"/>
  <c r="CL2" i="2"/>
  <c r="F2" i="2"/>
  <c r="CR2" i="2"/>
  <c r="G2" i="2"/>
  <c r="CN2" i="2"/>
  <c r="CO2" i="2"/>
  <c r="CP2" i="2"/>
  <c r="D10" i="3"/>
  <c r="G5" i="5" s="1"/>
  <c r="D11" i="3"/>
  <c r="D5" i="10" s="1"/>
  <c r="E5" i="40"/>
  <c r="CG2" i="2"/>
  <c r="CH2" i="2"/>
  <c r="J12" i="7"/>
  <c r="CS2" i="2"/>
  <c r="CX2" i="2"/>
  <c r="U11" i="25"/>
  <c r="I11" i="4"/>
  <c r="X11" i="7"/>
  <c r="CT2" i="2"/>
  <c r="CY2" i="2"/>
  <c r="H11" i="7"/>
  <c r="V3" i="7"/>
  <c r="N3" i="9"/>
  <c r="I1" i="30"/>
  <c r="F20" i="44"/>
  <c r="B20" i="15"/>
  <c r="A3" i="21"/>
  <c r="J4" i="48"/>
  <c r="A30" i="33"/>
  <c r="F17" i="42"/>
  <c r="A17" i="34"/>
  <c r="B6" i="43"/>
  <c r="K9" i="39"/>
  <c r="C10" i="39"/>
  <c r="W2" i="2"/>
  <c r="D10" i="39"/>
  <c r="J2" i="48"/>
  <c r="G10" i="39"/>
  <c r="K10" i="39"/>
  <c r="C14" i="39"/>
  <c r="C15" i="39"/>
  <c r="G9" i="39"/>
  <c r="C9" i="39"/>
  <c r="D9" i="39"/>
  <c r="P2" i="50"/>
  <c r="C8" i="39"/>
  <c r="D8" i="39"/>
  <c r="C5" i="41"/>
  <c r="E2" i="2"/>
  <c r="E5" i="35" s="1"/>
  <c r="H3" i="51"/>
  <c r="I12" i="30"/>
  <c r="A2" i="5"/>
  <c r="H11" i="4"/>
  <c r="K25" i="4"/>
  <c r="K11" i="4" s="1"/>
  <c r="A11" i="45"/>
  <c r="A11" i="3"/>
  <c r="E5" i="5"/>
  <c r="F11" i="9"/>
  <c r="A22" i="1"/>
  <c r="J8" i="7"/>
  <c r="S7" i="7"/>
  <c r="D15" i="6"/>
  <c r="P7" i="7"/>
  <c r="J7" i="7"/>
  <c r="N7" i="7"/>
  <c r="H7" i="7"/>
  <c r="F7" i="7"/>
  <c r="Q2" i="2"/>
  <c r="H15" i="29"/>
  <c r="A20" i="47"/>
  <c r="DB2" i="2" s="1"/>
  <c r="CM2" i="2"/>
  <c r="W3" i="3"/>
  <c r="A5" i="3"/>
  <c r="T6" i="1" s="1"/>
  <c r="S11" i="7"/>
  <c r="H15" i="8"/>
  <c r="F4" i="14"/>
  <c r="H11" i="29"/>
  <c r="F8" i="44"/>
  <c r="A19" i="8"/>
  <c r="M17" i="26"/>
  <c r="C5" i="49"/>
  <c r="S3" i="51"/>
  <c r="I32" i="18"/>
  <c r="D16" i="36"/>
  <c r="L2" i="48"/>
  <c r="G9" i="14"/>
  <c r="B16" i="16"/>
  <c r="J32" i="18"/>
  <c r="CQ2" i="2"/>
  <c r="P2" i="3"/>
  <c r="E11" i="3" s="1"/>
  <c r="A3" i="5"/>
  <c r="E6" i="19"/>
  <c r="I10" i="30"/>
  <c r="J3" i="48"/>
  <c r="B3" i="5"/>
  <c r="B20" i="16"/>
  <c r="A1" i="35"/>
  <c r="I5" i="52"/>
  <c r="R2" i="2"/>
  <c r="M2" i="48" s="1"/>
  <c r="R2" i="50"/>
  <c r="G22" i="11"/>
  <c r="I9" i="52"/>
  <c r="D27" i="36"/>
  <c r="H19" i="43"/>
  <c r="A5" i="48"/>
  <c r="BA2" i="2" s="1"/>
  <c r="CU2" i="2"/>
  <c r="E14" i="14"/>
  <c r="E7" i="35"/>
  <c r="CV2" i="2"/>
  <c r="M4" i="3"/>
  <c r="E10" i="3" s="1"/>
  <c r="B2" i="3" s="1"/>
  <c r="T2" i="1" s="1"/>
  <c r="A2" i="8"/>
  <c r="A6" i="17"/>
  <c r="A12" i="22"/>
  <c r="A3" i="31"/>
  <c r="F6" i="42"/>
  <c r="T2" i="50"/>
  <c r="J19" i="43"/>
  <c r="CW2" i="2"/>
  <c r="N4" i="3"/>
  <c r="F10" i="3" s="1"/>
  <c r="G2" i="8"/>
  <c r="A2" i="15"/>
  <c r="A22" i="17"/>
  <c r="J15" i="29"/>
  <c r="G42" i="29"/>
  <c r="A18" i="31"/>
  <c r="H13" i="35"/>
  <c r="F7" i="42"/>
  <c r="A6" i="48"/>
  <c r="BB2" i="2" s="1"/>
  <c r="I11" i="52"/>
  <c r="A3" i="32"/>
  <c r="L6" i="48"/>
  <c r="I12" i="52"/>
  <c r="A21" i="1"/>
  <c r="A23" i="1" s="1"/>
  <c r="L3" i="6"/>
  <c r="E5" i="8"/>
  <c r="B3" i="12"/>
  <c r="I4" i="18"/>
  <c r="A18" i="32"/>
  <c r="O3" i="39"/>
  <c r="B4" i="46"/>
  <c r="CF2" i="2"/>
  <c r="CZ2" i="2"/>
  <c r="A10" i="3"/>
  <c r="C11" i="4"/>
  <c r="H8" i="8"/>
  <c r="B16" i="15"/>
  <c r="B14" i="18"/>
  <c r="G3" i="20"/>
  <c r="D6" i="24"/>
  <c r="D2" i="36"/>
  <c r="L8" i="48"/>
  <c r="H9" i="8"/>
  <c r="F21" i="12"/>
  <c r="F11" i="7"/>
  <c r="H10" i="8"/>
  <c r="B3" i="13"/>
  <c r="I28" i="18"/>
  <c r="A3" i="23"/>
  <c r="B4" i="37"/>
  <c r="J2" i="43"/>
  <c r="A4" i="47"/>
  <c r="F2" i="50"/>
  <c r="J11" i="7"/>
  <c r="H12" i="8"/>
  <c r="A15" i="47"/>
  <c r="BV2" i="2" s="1"/>
  <c r="B3" i="49"/>
  <c r="BY2" i="2" s="1"/>
  <c r="N11" i="7"/>
  <c r="H13" i="8"/>
  <c r="H14" i="8"/>
  <c r="D12" i="24"/>
  <c r="C4" i="10" l="1"/>
  <c r="E6" i="5"/>
  <c r="J11" i="4"/>
  <c r="B6" i="3"/>
  <c r="F5" i="14" s="1"/>
  <c r="B4" i="3"/>
  <c r="A4" i="3"/>
  <c r="A7" i="3"/>
  <c r="B7" i="3"/>
  <c r="B8" i="3"/>
  <c r="A8" i="3"/>
  <c r="A2" i="3"/>
  <c r="V4" i="3"/>
  <c r="V5" i="3"/>
  <c r="W6" i="3"/>
  <c r="V6" i="3"/>
  <c r="Y3" i="3"/>
  <c r="W7" i="3"/>
  <c r="V7" i="3"/>
  <c r="V8" i="3"/>
  <c r="BK2" i="2"/>
  <c r="D24" i="39"/>
  <c r="CD2" i="2"/>
  <c r="CE2" i="2"/>
  <c r="G5" i="33"/>
  <c r="G4" i="33"/>
  <c r="D1" i="12"/>
  <c r="U9" i="25"/>
  <c r="A3" i="17"/>
  <c r="E5" i="34"/>
  <c r="E4" i="34"/>
  <c r="A2" i="16"/>
  <c r="F2" i="5"/>
  <c r="A6" i="3"/>
  <c r="A24" i="1"/>
  <c r="A25" i="1" s="1"/>
  <c r="P15" i="6"/>
  <c r="L15" i="6"/>
  <c r="I15" i="6"/>
  <c r="H15" i="6"/>
  <c r="B15" i="6"/>
  <c r="X15" i="6"/>
  <c r="A3" i="3" l="1"/>
  <c r="T4" i="1" s="1"/>
  <c r="F16" i="7" s="1"/>
  <c r="F21" i="6" s="1"/>
  <c r="C3" i="5"/>
  <c r="Y4" i="3"/>
  <c r="A26" i="1"/>
  <c r="W8" i="3"/>
  <c r="F45" i="29" l="1"/>
  <c r="G2" i="5"/>
  <c r="B10" i="30"/>
  <c r="Y5" i="3"/>
  <c r="W9" i="3"/>
  <c r="V10" i="3" s="1"/>
  <c r="V9" i="3"/>
  <c r="Y6" i="3"/>
  <c r="W10" i="3" l="1"/>
  <c r="V11" i="3" s="1"/>
  <c r="Y8" i="3" l="1"/>
  <c r="W11" i="3"/>
  <c r="Y11" i="3" s="1"/>
  <c r="Y7" i="3"/>
  <c r="Y9" i="3" l="1"/>
  <c r="Y10" i="3"/>
</calcChain>
</file>

<file path=xl/sharedStrings.xml><?xml version="1.0" encoding="utf-8"?>
<sst xmlns="http://schemas.openxmlformats.org/spreadsheetml/2006/main" count="2244" uniqueCount="1564">
  <si>
    <t>謝齊叡</t>
  </si>
  <si>
    <t>陳進億</t>
  </si>
  <si>
    <t>案由</t>
  </si>
  <si>
    <t>妨害名譽</t>
  </si>
  <si>
    <t>無指名</t>
  </si>
  <si>
    <t>通緝案由</t>
  </si>
  <si>
    <t>勤務</t>
  </si>
  <si>
    <t>呼氣酒精測試檢定合格證書</t>
  </si>
  <si>
    <t>違反事實</t>
  </si>
  <si>
    <t>楊子慶</t>
  </si>
  <si>
    <t>攔查理由</t>
  </si>
  <si>
    <t>車種</t>
  </si>
  <si>
    <t>輕機</t>
  </si>
  <si>
    <t>檢定合格單號碼</t>
  </si>
  <si>
    <t>j0ja1300812</t>
  </si>
  <si>
    <t>黃聖文</t>
  </si>
  <si>
    <t>車牌</t>
  </si>
  <si>
    <t>ewj-8123</t>
  </si>
  <si>
    <t>酒測器編號</t>
  </si>
  <si>
    <t>a191245</t>
  </si>
  <si>
    <t>犯嫌自述</t>
  </si>
  <si>
    <t>吳彥翔</t>
  </si>
  <si>
    <t>酒測單案號</t>
  </si>
  <si>
    <t>陳志偉</t>
  </si>
  <si>
    <t>告發單</t>
  </si>
  <si>
    <t>a03h5s314</t>
  </si>
  <si>
    <t>結報</t>
  </si>
  <si>
    <t>楊帆婷</t>
  </si>
  <si>
    <t>發生(攔查)地點</t>
  </si>
  <si>
    <t>移置車輛保管單號</t>
  </si>
  <si>
    <t>24ah5s00e</t>
  </si>
  <si>
    <t>楊妍煦</t>
  </si>
  <si>
    <t>發生日期</t>
  </si>
  <si>
    <t>查獲人員</t>
  </si>
  <si>
    <t>蘇詠棠</t>
  </si>
  <si>
    <t>施善為</t>
  </si>
  <si>
    <t>發現日期</t>
  </si>
  <si>
    <t>林士閔</t>
  </si>
  <si>
    <t>報案日期</t>
  </si>
  <si>
    <t>查獲日期</t>
  </si>
  <si>
    <t>自小客</t>
  </si>
  <si>
    <t>證明單編號</t>
  </si>
  <si>
    <t>abc-123</t>
  </si>
  <si>
    <t>查獲地址</t>
  </si>
  <si>
    <t>公文文號：</t>
  </si>
  <si>
    <t>調閱種類</t>
  </si>
  <si>
    <t>監視器</t>
  </si>
  <si>
    <t>姓名</t>
  </si>
  <si>
    <t>身分證字號</t>
  </si>
  <si>
    <t>出生地</t>
  </si>
  <si>
    <t>電話號碼</t>
  </si>
  <si>
    <t>出生年月日</t>
  </si>
  <si>
    <t>戶籍地</t>
  </si>
  <si>
    <t>現住地</t>
  </si>
  <si>
    <t>職業</t>
  </si>
  <si>
    <t>教育程度</t>
  </si>
  <si>
    <t>年齡</t>
  </si>
  <si>
    <t>姓別</t>
  </si>
  <si>
    <t>關係人</t>
  </si>
  <si>
    <t>國籍</t>
  </si>
  <si>
    <t>移送書號</t>
  </si>
  <si>
    <t>毒品試劑公司</t>
  </si>
  <si>
    <t>臺灣尖端先進生技醫藥股份有限公司</t>
  </si>
  <si>
    <t>邱曉琳</t>
  </si>
  <si>
    <t>臺北市</t>
  </si>
  <si>
    <t>大學畢業</t>
  </si>
  <si>
    <t>被害人</t>
  </si>
  <si>
    <t>單位</t>
  </si>
  <si>
    <t>年</t>
  </si>
  <si>
    <t>顏文祥</t>
  </si>
  <si>
    <t>A126819564</t>
  </si>
  <si>
    <t>臺北市信義區信義路五段150巷477號</t>
  </si>
  <si>
    <t>收銀員</t>
  </si>
  <si>
    <t>證人</t>
  </si>
  <si>
    <t>政府警察局</t>
  </si>
  <si>
    <t>張鈞揮</t>
  </si>
  <si>
    <t>A125142591</t>
  </si>
  <si>
    <t>臺北市內湖區康樂街125巷4號5樓</t>
  </si>
  <si>
    <t>臺北市信義區信義路五段150巷487號</t>
  </si>
  <si>
    <t>高職畢業</t>
  </si>
  <si>
    <t>涉嫌人</t>
  </si>
  <si>
    <t>信義</t>
  </si>
  <si>
    <t>分局</t>
  </si>
  <si>
    <t>陳之浩</t>
  </si>
  <si>
    <t>A125985630</t>
  </si>
  <si>
    <t>高雄市</t>
  </si>
  <si>
    <t>臺北市文山區福興路99號7樓</t>
  </si>
  <si>
    <t>服務業</t>
  </si>
  <si>
    <t>吳興街</t>
  </si>
  <si>
    <t>派出所</t>
  </si>
  <si>
    <t>A130510449</t>
  </si>
  <si>
    <t>基隆市</t>
  </si>
  <si>
    <t>臺北市松山區民生東路五段229號</t>
  </si>
  <si>
    <t>單位電話</t>
  </si>
  <si>
    <t>(02)27398997</t>
  </si>
  <si>
    <t>F128549435</t>
  </si>
  <si>
    <t>新北市板橋區中山路二段412巷29弄22之1號四樓</t>
  </si>
  <si>
    <t>單位傳真</t>
  </si>
  <si>
    <t>A226266850</t>
  </si>
  <si>
    <t>臺北市信義區松山路650巷15弄26號</t>
  </si>
  <si>
    <t>台北市信義區吳興街262號</t>
  </si>
  <si>
    <t>a226168126</t>
  </si>
  <si>
    <t>臺北市士林區中社路一段80號三樓</t>
  </si>
  <si>
    <t>高中畢業</t>
  </si>
  <si>
    <t>拍照人</t>
  </si>
  <si>
    <t>警員</t>
  </si>
  <si>
    <t>F131189498</t>
  </si>
  <si>
    <t>新北市</t>
  </si>
  <si>
    <t>新北市永和區文化路101號三樓</t>
  </si>
  <si>
    <t>um1520@gov.taipei</t>
  </si>
  <si>
    <t>g121610156</t>
  </si>
  <si>
    <t>桃園市八德區永福街132-3號</t>
  </si>
  <si>
    <t>地點1</t>
  </si>
  <si>
    <t>地點2</t>
  </si>
  <si>
    <t>現在時間</t>
  </si>
  <si>
    <t>日(現在)</t>
  </si>
  <si>
    <t>攔查地點</t>
  </si>
  <si>
    <t>發生時間</t>
  </si>
  <si>
    <t>問(1.非本國人)</t>
  </si>
  <si>
    <t>問(2.委託書)</t>
  </si>
  <si>
    <t>問(2.搜索扣押)</t>
  </si>
  <si>
    <t>問(2.年籍資料)</t>
  </si>
  <si>
    <t>問(3.認識仇糾)</t>
  </si>
  <si>
    <t>問(4.實在補充)</t>
  </si>
  <si>
    <t>問嫌(2.罪名及權利)</t>
  </si>
  <si>
    <t>問嫌(3.法扶身份)</t>
  </si>
  <si>
    <t>問嫌(4.提審)</t>
  </si>
  <si>
    <t>問嫌(4.夜間偵訊)</t>
  </si>
  <si>
    <t>問嫌(5.夜間不偵訊)</t>
  </si>
  <si>
    <t>問嫌(6.何事來所)</t>
  </si>
  <si>
    <t>問嫌(7.不實陳述)</t>
  </si>
  <si>
    <t>問嫌(8.推缷)</t>
  </si>
  <si>
    <t>問嫌(9.錄影音)</t>
  </si>
  <si>
    <t>問嫌(10.自由意識)</t>
  </si>
  <si>
    <t>問嫌(11.搜索扣押)</t>
  </si>
  <si>
    <t>問被(3.何事來所)</t>
  </si>
  <si>
    <t>問被(5.登載)</t>
  </si>
  <si>
    <t>問被(7.指認)</t>
  </si>
  <si>
    <t>問被(8.監視器)</t>
  </si>
  <si>
    <t>問被(14.鑑識)</t>
  </si>
  <si>
    <t>問被(9.提告)</t>
  </si>
  <si>
    <t>問被(10.特徵)</t>
  </si>
  <si>
    <t>問被(11.告訴期)</t>
  </si>
  <si>
    <t>問被(12.撤回告訴)</t>
  </si>
  <si>
    <t>問被(13.為何撤回)</t>
  </si>
  <si>
    <t>問被(13.和解)</t>
  </si>
  <si>
    <t>問被(14.司法文書)</t>
  </si>
  <si>
    <t>問被(14.第二次筆錄)</t>
  </si>
  <si>
    <t>問被(14.犯嫌交出贓物領回)</t>
  </si>
  <si>
    <t>問被(14.警方找到贓物領回)</t>
  </si>
  <si>
    <t>問證(1.被關係)</t>
  </si>
  <si>
    <t>問證(2.事由)</t>
  </si>
  <si>
    <t>問證(6.登載)</t>
  </si>
  <si>
    <t>問證(7.推卸)</t>
  </si>
  <si>
    <t>問證(8.何事來所)</t>
  </si>
  <si>
    <t>問證(9.涉關係)</t>
  </si>
  <si>
    <t>問專(1.事由)</t>
  </si>
  <si>
    <t>問專(2.)</t>
  </si>
  <si>
    <t>問專(3.)</t>
  </si>
  <si>
    <t>問專(4.)</t>
  </si>
  <si>
    <t>問專(5.)</t>
  </si>
  <si>
    <t>問專(6.)</t>
  </si>
  <si>
    <t>問專(7.)</t>
  </si>
  <si>
    <t>問專(8.)</t>
  </si>
  <si>
    <t>問專(9.)</t>
  </si>
  <si>
    <t>問專(10.)</t>
  </si>
  <si>
    <t>問專(11.)</t>
  </si>
  <si>
    <t>問專(12.)</t>
  </si>
  <si>
    <t>問專(13.)</t>
  </si>
  <si>
    <t>問專(14.)</t>
  </si>
  <si>
    <t>問專(15.)</t>
  </si>
  <si>
    <t>問專(16.)</t>
  </si>
  <si>
    <t>問專(17.)</t>
  </si>
  <si>
    <t>問專(18.)</t>
  </si>
  <si>
    <t>問專(19.)</t>
  </si>
  <si>
    <t>問專(20.)</t>
  </si>
  <si>
    <t>問專(21.)</t>
  </si>
  <si>
    <t>問專(22.)</t>
  </si>
  <si>
    <t>問專(23.)</t>
  </si>
  <si>
    <t>問專(24.案情)</t>
  </si>
  <si>
    <t>問專(25.二次筆錄答)</t>
  </si>
  <si>
    <t>指名</t>
  </si>
  <si>
    <t>有無涉嫌人</t>
  </si>
  <si>
    <t>性別</t>
  </si>
  <si>
    <t>毒品種類</t>
  </si>
  <si>
    <t>刑事相驗</t>
  </si>
  <si>
    <t>男</t>
  </si>
  <si>
    <t>海洛因</t>
  </si>
  <si>
    <t xml:space="preserve">一、	死者上司劉竹超於今（3）日15時48分至死者蘇信宜家（臺北市中山區新生北路三段62巷23號）欲探訪時，在門口處發現屋內傳出屍體腐爛之氣味，遂報警處理。經警方到場由屋主龔書平協助開門後，發現死者於家中死亡多時、身體明顯發黑。
三、	警方於109年06月27日07時18分接獲110通報稱大佳河濱公園保全孫昭仁在上址發現疑似漂浮屍體，經通知消防人員打撈上岸無呼吸心跳明顯死亡，遂通知鑑識人員到場並以隨身證件通知同居家屬蔡竫瑋、血親家屬郭君文到場確認死者身分確為郭君武，並係同居家屬於109年06月25日在寧夏路派出所所報之緊急協尋失蹤人口。
</t>
  </si>
  <si>
    <t>判斷號</t>
  </si>
  <si>
    <t>原選單</t>
  </si>
  <si>
    <t>清單</t>
  </si>
  <si>
    <t>選單</t>
  </si>
  <si>
    <t>女</t>
  </si>
  <si>
    <t>安非他命</t>
  </si>
  <si>
    <t>二、	全案通知血親家屬、同居家屬、發現人至所製作筆錄並由鑑識人員採證後，報請刑事相驗。</t>
  </si>
  <si>
    <t>愷他命</t>
  </si>
  <si>
    <t>一粒眠</t>
  </si>
  <si>
    <t>發現人</t>
  </si>
  <si>
    <t>家屬</t>
  </si>
  <si>
    <t>指認人</t>
  </si>
  <si>
    <t>ATM提款機</t>
  </si>
  <si>
    <t>信用卡</t>
  </si>
  <si>
    <t>電子載具</t>
  </si>
  <si>
    <t>悠遊卡</t>
  </si>
  <si>
    <t>敬老卡</t>
  </si>
  <si>
    <t>Uber</t>
  </si>
  <si>
    <t>會員</t>
  </si>
  <si>
    <t>公共危險</t>
  </si>
  <si>
    <t>通緝</t>
  </si>
  <si>
    <t>毒品危害防制條例</t>
  </si>
  <si>
    <t>調閱時段：</t>
  </si>
  <si>
    <t>刷卡時段：</t>
  </si>
  <si>
    <t>消費時段：</t>
  </si>
  <si>
    <t>使用時段：</t>
  </si>
  <si>
    <t>上車時段：</t>
  </si>
  <si>
    <t>酒測時間</t>
  </si>
  <si>
    <t>通緝日期</t>
  </si>
  <si>
    <t>鑑驗時間</t>
  </si>
  <si>
    <t>調閱時段止：</t>
  </si>
  <si>
    <t>下車時段：</t>
  </si>
  <si>
    <t>調閱地址：</t>
  </si>
  <si>
    <t>刷卡地址：</t>
  </si>
  <si>
    <t>消費地址：</t>
  </si>
  <si>
    <t>使用地址：</t>
  </si>
  <si>
    <t>上車地址：</t>
  </si>
  <si>
    <t>酒測值mg/L</t>
  </si>
  <si>
    <t>通緝單位</t>
  </si>
  <si>
    <t>鑑驗地點：</t>
  </si>
  <si>
    <t>調閱位置：</t>
  </si>
  <si>
    <t>銀行</t>
  </si>
  <si>
    <t>卡號：</t>
  </si>
  <si>
    <t>電子載具：/</t>
  </si>
  <si>
    <t>下車地址：</t>
  </si>
  <si>
    <t>店家名稱：</t>
  </si>
  <si>
    <t>酒後時間</t>
  </si>
  <si>
    <t>通緝文號</t>
  </si>
  <si>
    <t>種類：</t>
  </si>
  <si>
    <t>ATM提款機(機號：</t>
  </si>
  <si>
    <t>POS機號碼：</t>
  </si>
  <si>
    <t>發票號碼：</t>
  </si>
  <si>
    <t>司機姓名：</t>
  </si>
  <si>
    <t>是否漱口</t>
  </si>
  <si>
    <t>通緝案號</t>
  </si>
  <si>
    <t>毛重：</t>
  </si>
  <si>
    <t>消費金額：新臺幣</t>
  </si>
  <si>
    <t>司機電話：</t>
  </si>
  <si>
    <t>會員編號：</t>
  </si>
  <si>
    <t>淨重：</t>
  </si>
  <si>
    <t>車種：</t>
  </si>
  <si>
    <t>數量：</t>
  </si>
  <si>
    <t>車號：</t>
  </si>
  <si>
    <t>單位：</t>
  </si>
  <si>
    <t>搜索位置</t>
  </si>
  <si>
    <t>(台北市社會局(地址:台北市信義區市府路1號、電話：0227208889(分機-6967)、傳真電話：無)</t>
  </si>
  <si>
    <t>壹、案由部分
一般刑案:
案由請輸入:時間+查獲犯嫌+涉嫌罪名，工作得力(工作辛勞得力) 
查獲通緝犯:
案由請輸入: 時間+查獲罪名通緝犯+嫌犯，工作得力</t>
  </si>
  <si>
    <t>貳、移送書文號請務必填寫</t>
  </si>
  <si>
    <t>參、陳報內容
請敘述時間，人名(全名含嫌疑人及被害人)、事件</t>
  </si>
  <si>
    <t>案摘</t>
  </si>
  <si>
    <t>案號:</t>
  </si>
  <si>
    <t>發破區分</t>
  </si>
  <si>
    <t>線上查獲</t>
  </si>
  <si>
    <t>主要案類</t>
  </si>
  <si>
    <t>管轄單位</t>
  </si>
  <si>
    <t>發現經過</t>
  </si>
  <si>
    <t>偵破線索</t>
  </si>
  <si>
    <t>線上立即偵破
(嘉凌303)</t>
  </si>
  <si>
    <t>偵辦單位</t>
  </si>
  <si>
    <t>時間</t>
  </si>
  <si>
    <t>月</t>
  </si>
  <si>
    <t>日</t>
  </si>
  <si>
    <t>時</t>
  </si>
  <si>
    <t>分</t>
  </si>
  <si>
    <t>地　　　　　　　址</t>
  </si>
  <si>
    <t>場所或重要地標</t>
  </si>
  <si>
    <t>發生</t>
  </si>
  <si>
    <t>發現</t>
  </si>
  <si>
    <t>報案</t>
  </si>
  <si>
    <t>破獲</t>
  </si>
  <si>
    <t>身份</t>
  </si>
  <si>
    <t>姓名
(綽號)</t>
  </si>
  <si>
    <t>出生日期</t>
  </si>
  <si>
    <t>身份證字號</t>
  </si>
  <si>
    <t>聯絡電話</t>
  </si>
  <si>
    <t>傷亡</t>
  </si>
  <si>
    <t>財物損失</t>
  </si>
  <si>
    <t>廖志盛</t>
  </si>
  <si>
    <t>居住所</t>
  </si>
  <si>
    <t>前科</t>
  </si>
  <si>
    <t>到案</t>
  </si>
  <si>
    <t>不詳嫌疑人</t>
  </si>
  <si>
    <t>人數</t>
  </si>
  <si>
    <t>綽號</t>
  </si>
  <si>
    <t>體型</t>
  </si>
  <si>
    <t>身高</t>
  </si>
  <si>
    <t>髮型</t>
  </si>
  <si>
    <t>膚色</t>
  </si>
  <si>
    <t>口音</t>
  </si>
  <si>
    <t>人種</t>
  </si>
  <si>
    <t>特徵</t>
  </si>
  <si>
    <t>犯罪分析</t>
  </si>
  <si>
    <t>手法</t>
  </si>
  <si>
    <t>原因
(動機)</t>
  </si>
  <si>
    <t>習癖</t>
  </si>
  <si>
    <t>犯罪工具</t>
  </si>
  <si>
    <t>槍彈</t>
  </si>
  <si>
    <t>交通工具</t>
  </si>
  <si>
    <t>號牌</t>
  </si>
  <si>
    <t>排氣量</t>
  </si>
  <si>
    <t>顏色</t>
  </si>
  <si>
    <t>年份</t>
  </si>
  <si>
    <t>廠牌</t>
  </si>
  <si>
    <t>案情摘要
偵破經過</t>
  </si>
  <si>
    <t>現場勘查</t>
  </si>
  <si>
    <t>搜採證物</t>
  </si>
  <si>
    <t>藥瓶一瓶</t>
  </si>
  <si>
    <t>訪得線索</t>
  </si>
  <si>
    <t>勘查時間</t>
  </si>
  <si>
    <t>請求事項</t>
  </si>
  <si>
    <t>督導事項</t>
  </si>
  <si>
    <t>通報單位</t>
  </si>
  <si>
    <t>通報人員</t>
  </si>
  <si>
    <t>刑案紀錄表編號</t>
  </si>
  <si>
    <t>通報時間</t>
  </si>
  <si>
    <t>偵查隊</t>
  </si>
  <si>
    <t>勤務指揮中心</t>
  </si>
  <si>
    <t>督察組</t>
  </si>
  <si>
    <t>副分局長</t>
  </si>
  <si>
    <t>分局長</t>
  </si>
  <si>
    <t>擬：
一、本案經查符合
    線上立破之要
    件。
二、依規定通報。</t>
  </si>
  <si>
    <t>1. 轄區內破獲
   是□、否□
2. 勤務中心指揮
   是□、否□
3. 勤務編排項目
   是□、否□</t>
  </si>
  <si>
    <t>發文字號：</t>
  </si>
  <si>
    <t>案件編號：</t>
  </si>
  <si>
    <t>案類</t>
  </si>
  <si>
    <t>嫌疑人</t>
  </si>
  <si>
    <t xml:space="preserve">身分證
</t>
  </si>
  <si>
    <t>統一編號</t>
  </si>
  <si>
    <t>如附件</t>
  </si>
  <si>
    <t>住居所</t>
  </si>
  <si>
    <t>何　　種
關　　係</t>
  </si>
  <si>
    <t>查獲時間</t>
  </si>
  <si>
    <t>查獲地點</t>
  </si>
  <si>
    <t>觸犯法條</t>
  </si>
  <si>
    <t>附送刑案</t>
  </si>
  <si>
    <t xml:space="preserve">一、警詢筆錄。
二、各式附表。
              </t>
  </si>
  <si>
    <t>處理員警</t>
  </si>
  <si>
    <t>犯罪證據</t>
  </si>
  <si>
    <t>承辦單位主管</t>
  </si>
  <si>
    <t>案件由所(副所)長                (簽名)指派員警             調閱</t>
  </si>
  <si>
    <t>研判歹徒作案時地</t>
  </si>
  <si>
    <t>錄影帶調閱地點、時段、約計調閱時間長度</t>
  </si>
  <si>
    <t>調閱地點</t>
  </si>
  <si>
    <t>調閱時段</t>
  </si>
  <si>
    <t>時間長度</t>
  </si>
  <si>
    <t>臺北市中山區農安街28號</t>
  </si>
  <si>
    <t>1小時</t>
  </si>
  <si>
    <t>調閱地點與案發地點相關聯:■是□否，原因調閱監視器之地點，為歹徒往、返路線</t>
  </si>
  <si>
    <t xml:space="preserve">調閱時段與研判犯發時間相符、時段長度是否適宜: ■是□否，原因 調閱時段為竊嫌犯案時段              </t>
  </si>
  <si>
    <t>檢視調閱內容是否有犯嫌相關影像: ■是；□否，是否有節錄及列印相關影像: ■是□否</t>
  </si>
  <si>
    <t>本案由偵查隊             (職名章)承辦，案經復審該所調閱情形，為□相符、□不相符，為__________________________(予以退回補正)
複審完畢，接辦人員            (簽名)及小隊長           (簽名)確認審閱工作。</t>
  </si>
  <si>
    <t>保存年限：</t>
  </si>
  <si>
    <t>檔    號：</t>
  </si>
  <si>
    <t>陳 報 單</t>
  </si>
  <si>
    <t>陳報編號</t>
  </si>
  <si>
    <t>陳報日期</t>
  </si>
  <si>
    <t xml:space="preserve">                      字
第                    號</t>
  </si>
  <si>
    <t>陳報內容</t>
  </si>
  <si>
    <t>主旨：</t>
  </si>
  <si>
    <t>說明：</t>
  </si>
  <si>
    <t>3.  報案內容：</t>
  </si>
  <si>
    <t>檢附：</t>
  </si>
  <si>
    <t>□筆錄___份、□錄音帶___卷、□受理各類案件紀錄表、□案件證明單影本、</t>
  </si>
  <si>
    <t>□刑案紀錄表、□逮捕通知書、□解送人犯報告書、□其他：_____________</t>
  </si>
  <si>
    <t>謹陳</t>
  </si>
  <si>
    <t xml:space="preserve"> 承辦人： </t>
  </si>
  <si>
    <t>主  管：</t>
  </si>
  <si>
    <t>主    官</t>
  </si>
  <si>
    <t>原文字號</t>
  </si>
  <si>
    <t>日期：</t>
  </si>
  <si>
    <t>年月日字第號</t>
  </si>
  <si>
    <t>字號：</t>
  </si>
  <si>
    <t>北市       字第     號</t>
  </si>
  <si>
    <t>事由</t>
  </si>
  <si>
    <t>呈報內容</t>
  </si>
  <si>
    <t>一、</t>
  </si>
  <si>
    <t>二、</t>
  </si>
  <si>
    <t>三、</t>
  </si>
  <si>
    <t>四、</t>
  </si>
  <si>
    <t>檢附相關刑案影像，請 鑒核。</t>
  </si>
  <si>
    <t>五、</t>
  </si>
  <si>
    <t>承辦單位</t>
  </si>
  <si>
    <t>呈報單位</t>
  </si>
  <si>
    <t>會辦單位</t>
  </si>
  <si>
    <t>批示</t>
  </si>
  <si>
    <t>電子信箱：</t>
  </si>
  <si>
    <t>受文者：</t>
  </si>
  <si>
    <t>如正副行文單位</t>
  </si>
  <si>
    <t>發文日期：</t>
  </si>
  <si>
    <t>裝</t>
  </si>
  <si>
    <t>速別：</t>
  </si>
  <si>
    <t>最速件</t>
  </si>
  <si>
    <t>密等及解密條件或保密期限：</t>
  </si>
  <si>
    <t>附件：</t>
  </si>
  <si>
    <t>依據刑事訴訟法第230、231條暨個人資料保護法第15、16、20條辦理。</t>
  </si>
  <si>
    <t>訂</t>
  </si>
  <si>
    <t>正本：監視器裝設之住家或商、店家</t>
  </si>
  <si>
    <t>線</t>
  </si>
  <si>
    <t>犯罪嫌疑及所犯所有罪名。罪名經告知後，認為應</t>
  </si>
  <si>
    <t>變更者，應再告知。</t>
  </si>
  <si>
    <t>得保持緘默，無須違背自己之意思而為陳述。</t>
  </si>
  <si>
    <t>得選任辯護人。如為低收入戶、中低收入戶、原住</t>
  </si>
  <si>
    <t>民或其他依法令得請求法律扶助者，得請求之。</t>
  </si>
  <si>
    <t>得請求調查有利之證據。</t>
  </si>
  <si>
    <t>提審法第1條：</t>
  </si>
  <si>
    <t>人民被法院以外之任何機關逮捕、拘禁時，其本人</t>
  </si>
  <si>
    <t>或他人得向逮捕、拘禁地之地方法院聲請提審。但</t>
  </si>
  <si>
    <t>其他法律規定得聲請即時由法院審查者，依其規定。</t>
  </si>
  <si>
    <t>前項聲請及第10條之抗告，免徵費用。</t>
  </si>
  <si>
    <t>被告知人：</t>
  </si>
  <si>
    <t>司法警察官或司法警察：</t>
  </si>
  <si>
    <t>告知時間：</t>
  </si>
  <si>
    <t>註：本告知單一式二聯，一聯交被告知人，一聯存查。</t>
  </si>
  <si>
    <t>夜間偵訊同意書</t>
  </si>
  <si>
    <t>涉嫌人簽章：</t>
  </si>
  <si>
    <t>司法警察：</t>
  </si>
  <si>
    <t>陳報字號</t>
  </si>
  <si>
    <t>主旨</t>
  </si>
  <si>
    <t>北市警    字
第        號</t>
  </si>
  <si>
    <t>到案時間：</t>
  </si>
  <si>
    <t>三、報 請鈞長鑒核。</t>
  </si>
  <si>
    <t>承辦人：</t>
  </si>
  <si>
    <t xml:space="preserve"> </t>
  </si>
  <si>
    <t>分局長：</t>
  </si>
  <si>
    <t>□依刑事訴訟法第七十一條之一規定，聲請檢察官核發拘票拘提。</t>
  </si>
  <si>
    <t>□依刑事訴訟法第七十五條或第七十六條規定，執行拘提。</t>
  </si>
  <si>
    <t>□依刑事訴訟法第八十八條之1規定，逕行拘提。</t>
  </si>
  <si>
    <t>□依家庭暴力防治法第二十九條第一項規定，因屬現行犯而逕行逮捕。</t>
  </si>
  <si>
    <t>□依家庭暴力防治法第二十九條第二項規定，逕行拘提。</t>
  </si>
  <si>
    <t>□依社會秩序維護法第四十二條規定，強制到場。</t>
  </si>
  <si>
    <t>□依少年事件處理法第二十三條規定，執行同行。</t>
  </si>
  <si>
    <t>□依少年事件處理法第二十三條之一規定，執行協尋。</t>
  </si>
  <si>
    <t>□依少年事件處理法第五十九條規定，執行同行或協尋。</t>
  </si>
  <si>
    <t>逮捕拘禁時間</t>
  </si>
  <si>
    <t>逮捕拘禁地點</t>
  </si>
  <si>
    <t>提審規定</t>
  </si>
  <si>
    <t>提審法第1條：
　　人民被法院以外之任何機關逮捕、拘禁時，其本人或他人得向逮捕、拘禁地之地方法院聲請提審。但其他法律規定得聲請即時由法院審查者，依其規定。
　　前項聲請及第10條之抗告，免徵費用。</t>
  </si>
  <si>
    <t>刑事案件
權利告知</t>
  </si>
  <si>
    <t>依刑事訴訟法第八十九條第一項規定，執行拘提或逮捕，應當場告知被告或犯罪嫌疑人拘提或逮捕之原因及第九十五條第一項所列事項：
一、犯罪嫌疑及所犯所有罪名。罪名經告知後，認為應變更者，應再告知。
二、得保持緘默，無須違背自己之意思而為陳述。
三、得選任辯護人。如為低收入戶、中低收入戶、原住民或其他依法令得請求法律扶助者，得請求之。
四、得請求調查有利之證據。</t>
  </si>
  <si>
    <t>被通知人姓名</t>
  </si>
  <si>
    <t>簽名捺印</t>
  </si>
  <si>
    <t>通知時間</t>
  </si>
  <si>
    <t>通知員警</t>
  </si>
  <si>
    <t>通知單位</t>
  </si>
  <si>
    <t>註：一、上述□選項應依條文規定及實際情形正確勾選
　　二、本通知由執行之司法警察（官）蓋用職名章，不必蓋用機關印信。</t>
  </si>
  <si>
    <t xml:space="preserve">   得 聲 請 提 審 告 知 書</t>
  </si>
  <si>
    <t xml:space="preserve">   人民被法院以外之任何機關逮捕、拘禁時，其本人或他人得向逮捕、拘禁地之地方法院聲請提審。但其他法律規定得聲請即時由法院審查者，依其規定。</t>
  </si>
  <si>
    <t>　　前項聲請及第10條之抗告，免徵費用。</t>
  </si>
  <si>
    <t>　　被逮捕、拘禁之人：                  (簽章)</t>
  </si>
  <si>
    <t>　　　是否需告知指定親友：</t>
  </si>
  <si>
    <t xml:space="preserve">       □是，指定親友姓名            關係</t>
  </si>
  <si>
    <t>　　　　 □不用。              (簽章)</t>
  </si>
  <si>
    <t>　　司法警察官或司法警察：</t>
  </si>
  <si>
    <t xml:space="preserve">  </t>
  </si>
  <si>
    <t xml:space="preserve">　　　　　　　　　　　　　　　　　　　　　　　　　　　　　　            </t>
  </si>
  <si>
    <t>編號：</t>
  </si>
  <si>
    <t>性
別</t>
  </si>
  <si>
    <t>出生
年月日</t>
  </si>
  <si>
    <t>身分證
統一編號</t>
  </si>
  <si>
    <t>拘留
日數</t>
  </si>
  <si>
    <t>拘提逮捕</t>
  </si>
  <si>
    <t>入所時間</t>
  </si>
  <si>
    <t>准否接見</t>
  </si>
  <si>
    <t>備考</t>
  </si>
  <si>
    <t>（捺指紋）</t>
  </si>
  <si>
    <t>　　　此　致                                      　　　勤務指揮中心：</t>
  </si>
  <si>
    <t>拘留所：</t>
  </si>
  <si>
    <t>承辦人：　                     隊長：  　　　　　　　　  機關主管長官：　　　　　　　　　　　　　　　　　　　　　　　　　　　　　　　　　　　</t>
  </si>
  <si>
    <t>使用說明：一、本通知單一式二聯，紙張尺度（公厘）211X87（直X橫）、裝訂於上方裝訂線。</t>
  </si>
  <si>
    <t>　　　　　二、第一聯存根（簽辦用）、第二聯正本（送拘留所）。</t>
  </si>
  <si>
    <t>01</t>
  </si>
  <si>
    <t>出所時間</t>
  </si>
  <si>
    <t>02</t>
  </si>
  <si>
    <t>法律扶助基金會 檢警/少年事件 律師陪同到場- 指派律師通知表114年01月版</t>
  </si>
  <si>
    <t>通報
機關</t>
  </si>
  <si>
    <t>___________地方法院                                     _______檢察署</t>
  </si>
  <si>
    <t>法務部調查局           ________ 調查處/站/組  其他：           ____ (請各單位自行填寫)</t>
  </si>
  <si>
    <t>當事人姓名</t>
  </si>
  <si>
    <t xml:space="preserve">  □原住民族：_____________族。</t>
  </si>
  <si>
    <t>當事人電話</t>
  </si>
  <si>
    <t>身分別（僅限符合右列情形使用）</t>
  </si>
  <si>
    <t xml:space="preserve"> □因身心障礙，致無法為完全之陳述。
   *障礙別為第【          】類
   （身心障礙者不以持有證明者為限。障礙類別代
   碼，可參身心障礙證明背面資訊填載）</t>
  </si>
  <si>
    <t>身分證
居留證/護照</t>
  </si>
  <si>
    <t>涉犯罪名</t>
  </si>
  <si>
    <t xml:space="preserve"> □少年(12歲以上18歲未滿之人)</t>
  </si>
  <si>
    <t xml:space="preserve"> □第一次接受訊問，涉犯最輕本刑三年以上有
   期徒刑或高等法院管轄第一審之罪。
 □非第一次接受訊問，涉犯殺人罪(§271第1項)、
   妨害性自主殺人罪(§226之1前段)、強盜殺人罪(§
   332第1項)、擄人勒贖殺人罪(§348第1項)。</t>
  </si>
  <si>
    <t>如涉犯殺人罪者請勾選：刑法□§271I殺人罪、□§226-1前段妨害性自主殺人罪、□§332 I強盜殺人罪、□§348I擄人勒贖殺人罪、□其他</t>
  </si>
  <si>
    <t>預計偵訊時間：______年______月_______日_______時________分</t>
  </si>
  <si>
    <t>由當事人自行填寫</t>
  </si>
  <si>
    <t xml:space="preserve"> □需要陪偵律師</t>
  </si>
  <si>
    <t xml:space="preserve"> 請自本通知單傳真到達法扶起，協助指派律師到達通報機關所在地點。經法扶
 回傳本通知單起4小時後，若無律師到場，將逕行依法詢問。</t>
  </si>
  <si>
    <t xml:space="preserve"> □當事人表示
  不需要陪偵律師</t>
  </si>
  <si>
    <t xml:space="preserve"> 當事人所述原因：</t>
  </si>
  <si>
    <t xml:space="preserve">當事人
簽名 </t>
  </si>
  <si>
    <t xml:space="preserve">  □不需要律師，可自行處理</t>
  </si>
  <si>
    <t xml:space="preserve">  □不願等候律師到場</t>
  </si>
  <si>
    <t xml:space="preserve"> 註：本會指派律師均不收費</t>
  </si>
  <si>
    <t xml:space="preserve">  □已自行委任律師</t>
  </si>
  <si>
    <t>※請適時保護自己：1.您可以詢問自己罪名是什麼；2.可以請求律師到場；3.律師到  場前，可以不回答問題；4.律師
  到場後，有充分時間與律師討論案情。
※申請律師後最遲於 45 分鐘內即可得知有無律師；律師平均約 1~4 小時抵達偵訊機關。如後續有偵查中辯護或法
  律扶助之需求，可請陪偵律師協助您填寫「法律扶助申請書」進行申請。</t>
  </si>
  <si>
    <t>通報機關聯絡人</t>
  </si>
  <si>
    <t>電話</t>
  </si>
  <si>
    <t>傳真</t>
  </si>
  <si>
    <t>傳真通知法扶時間</t>
  </si>
  <si>
    <t xml:space="preserve">   年    月   日     時     分</t>
  </si>
  <si>
    <t>表單下載</t>
  </si>
  <si>
    <t>法扶會官網（http://www.laf.org.tw）下載路徑：下載專區&gt;&gt;檢警專案。
傳真後請致電客服中心，確認是否收到，謝謝。</t>
  </si>
  <si>
    <t>以下欄位由 法律扶助基金會-檢警客服中心 填寫</t>
  </si>
  <si>
    <t>是否指派律師</t>
  </si>
  <si>
    <t xml:space="preserve"> □是 □否，原因：□不符合身分別   □無律師可前往   □其他：</t>
  </si>
  <si>
    <t>律師預計到場時間</t>
  </si>
  <si>
    <t>　　　　年　　　　月　　　　日　　　　時　　　　分（24小時制）</t>
  </si>
  <si>
    <t>陪訊律師姓名</t>
  </si>
  <si>
    <t>陪訊律師電話</t>
  </si>
  <si>
    <t>客服中心承辦人</t>
  </si>
  <si>
    <t>02-2559-2119</t>
  </si>
  <si>
    <t>02-2322-5587</t>
  </si>
  <si>
    <t>回傳通報機關時間</t>
  </si>
  <si>
    <t>刑法第185條之3第1項第1款酒精呼氣測定紀錄表</t>
  </si>
  <si>
    <t>受測人姓名</t>
  </si>
  <si>
    <t>測定時間</t>
  </si>
  <si>
    <t>當事人自述</t>
  </si>
  <si>
    <t>□是 □否</t>
  </si>
  <si>
    <t>喝酒後經過時間</t>
  </si>
  <si>
    <t>酒精測定
方式與結果</t>
  </si>
  <si>
    <t xml:space="preserve"> V以呼氣測試酒精濃度 (附測定表)</t>
  </si>
  <si>
    <t>□以抽血檢驗酒精濃度 (附檢驗單)</t>
  </si>
  <si>
    <t>□以_________(尿液、唾液或其他檢體)檢驗酒精濃度(附檢驗單)</t>
  </si>
  <si>
    <t>□抽血檢驗酒精濃度(mg/dL)換算百分比濃度為：     ％ 【(mg/dL)/1000】</t>
  </si>
  <si>
    <t>酒精濃度
檢測單</t>
  </si>
  <si>
    <t>( 黏貼處 )</t>
  </si>
  <si>
    <t>填</t>
  </si>
  <si>
    <t>備</t>
  </si>
  <si>
    <t>表</t>
  </si>
  <si>
    <t>人</t>
  </si>
  <si>
    <t>註</t>
  </si>
  <si>
    <t xml:space="preserve">  酒後駕車代保管車輛領回授權委託書</t>
  </si>
  <si>
    <t>此致</t>
  </si>
  <si>
    <t>中華民國　　年　　月　　日　　時　　分</t>
  </si>
  <si>
    <t>品名</t>
  </si>
  <si>
    <t>數量</t>
  </si>
  <si>
    <t>規格</t>
  </si>
  <si>
    <t>臺</t>
  </si>
  <si>
    <t>壹</t>
  </si>
  <si>
    <t>此    致</t>
  </si>
  <si>
    <t>　　　　　　保證人：　　　　　　商號名稱：</t>
  </si>
  <si>
    <t>　　　　　　姓名：                      年齡：           聯絡電話：</t>
  </si>
  <si>
    <t>　　　　　　住址：</t>
  </si>
  <si>
    <t>中  華  民  國　　　　年　　　　月　　　　日</t>
  </si>
  <si>
    <t>查扣物品檢驗結果無毒品成分代為毀棄同意書</t>
  </si>
  <si>
    <t>扣押物品初驗含毒品成分目錄表</t>
  </si>
  <si>
    <t>所有人</t>
  </si>
  <si>
    <t>本人               同意以上物品，若送專業單位檢驗</t>
  </si>
  <si>
    <t>結果無毒品成分，放棄領回，並由警察機關代為毀棄。</t>
  </si>
  <si>
    <t>受執行人:                      (簽名捺印)</t>
  </si>
  <si>
    <t>查獲員警:                      (職名章)</t>
  </si>
  <si>
    <t>查獲涉嫌毒品危害防制條例毒品初步鑑驗報告書</t>
  </si>
  <si>
    <t xml:space="preserve">
</t>
  </si>
  <si>
    <t>查獲時間地點</t>
  </si>
  <si>
    <t>初步
鑑驗
單位</t>
  </si>
  <si>
    <t>職別　姓名</t>
  </si>
  <si>
    <t>鑑驗時間地點</t>
  </si>
  <si>
    <t>鑑驗
物品
及
數量</t>
  </si>
  <si>
    <t>初  步</t>
  </si>
  <si>
    <t>鑑  驗</t>
  </si>
  <si>
    <t>結  果</t>
  </si>
  <si>
    <t>二、鑑驗測試應在涉嫌人面前為之。</t>
  </si>
  <si>
    <t>　　　　　　　　　　　　　　涉嫌人簽章：</t>
  </si>
  <si>
    <t>刑事警察局委託辦理濫用藥物尿液檢驗</t>
  </si>
  <si>
    <t>檢體監管紀錄表</t>
  </si>
  <si>
    <t>尿液檢體編號:</t>
  </si>
  <si>
    <t>如有「出矯治機構應受尿液採驗人處理系統」編號請補註記於後。</t>
  </si>
  <si>
    <t>受採尿者姓名</t>
  </si>
  <si>
    <t>採尿單位</t>
  </si>
  <si>
    <t>採尿時間</t>
  </si>
  <si>
    <t xml:space="preserve">   年   月   日
        時   分</t>
  </si>
  <si>
    <t>採尿地址：</t>
  </si>
  <si>
    <t>採尿人員（簽章）</t>
  </si>
  <si>
    <t>簽名與捺印捺印</t>
  </si>
  <si>
    <t>採尿人員性別應與受採尿者相同，且與封緘上簽章者符合。</t>
  </si>
  <si>
    <t>會同人員（簽章）</t>
  </si>
  <si>
    <t>左大拇指優先：左大拇指無法按乃捺指紋時，應依採驗尿液實施辦法第</t>
  </si>
  <si>
    <t>１３條第２項辦理。</t>
  </si>
  <si>
    <t>檢體狀態確認：</t>
  </si>
  <si>
    <t>１每瓶檢體量是否均達30毫升以上：□是□否                 </t>
  </si>
  <si>
    <t>２檢體封緘是否完整：□是□否                       </t>
  </si>
  <si>
    <t>３檢體溫度是否介於攝氏3 2度至3 8度間：□是□否                              </t>
  </si>
  <si>
    <t>４檢體外觀（顏色、懸浮物等）是否正常：□是□否                              </t>
  </si>
  <si>
    <t>５檢體封緘是否以油性筆、印泥簽名捺印：□是□否_________________</t>
  </si>
  <si>
    <t>６其他重要跡象：□無□有                         </t>
  </si>
  <si>
    <t>檢驗項目：</t>
  </si>
  <si>
    <t>□搖頭丸</t>
  </si>
  <si>
    <t>□大麻</t>
  </si>
  <si>
    <t>□MMA</t>
  </si>
  <si>
    <t>□4-甲基甲基卡西酮（喵喵）</t>
  </si>
  <si>
    <t>□其他      </t>
  </si>
  <si>
    <t>自願受採尿同意書</t>
  </si>
  <si>
    <t xml:space="preserve">     等</t>
  </si>
  <si>
    <t>採尿</t>
  </si>
  <si>
    <t>特立此同意書。</t>
  </si>
  <si>
    <t>受採尿人：</t>
  </si>
  <si>
    <t>住</t>
  </si>
  <si>
    <t>所：</t>
  </si>
  <si>
    <t xml:space="preserve">電    </t>
  </si>
  <si>
    <t>話：</t>
  </si>
  <si>
    <t>中華民國</t>
  </si>
  <si>
    <t>※受採尿人得依其自由意志同意或不同意本次採尿，並得隨</t>
  </si>
  <si>
    <t>時撤回同意。</t>
  </si>
  <si>
    <t>註：</t>
  </si>
  <si>
    <t xml:space="preserve">一、	</t>
  </si>
  <si>
    <t>執行人員應嚴格遵守「應著制服或出示證件表明身分」，「經受</t>
  </si>
  <si>
    <t>採尿人出於自願性同意」，並將「其同意之意旨記載於筆錄」等</t>
  </si>
  <si>
    <t>法定程序。</t>
  </si>
  <si>
    <t>所謂「經受採尿人出於自願性同意」係指受採尿人得依其自由</t>
  </si>
  <si>
    <t>意志同意或不同意本次採尿，並得隨時撤回同意。</t>
  </si>
  <si>
    <t>應於獲得受採尿人同意後始得開始執行採尿。</t>
  </si>
  <si>
    <t>說明：鑑驗結果特寫。</t>
  </si>
  <si>
    <t>說明：裝有疑似安非他命液體一瓶</t>
  </si>
  <si>
    <t>三、四級毒品裁罰案件管制表</t>
  </si>
  <si>
    <t>*各單位送案時請確認有無檢附下列資料*</t>
  </si>
  <si>
    <t>*未被移送之在場人、關係人如有採尿比照辦理*</t>
  </si>
  <si>
    <t>V 1.陳報單</t>
  </si>
  <si>
    <t>V 2.受處分人戶役政戶籍資料(未滿20歲者，需檢附代理人之</t>
  </si>
  <si>
    <t>　　戶籍資料，戶籍不得為戶政事務所地址)</t>
  </si>
  <si>
    <t>V 3.查扣物品檢驗結果無毒品成分代為毀棄同意書。</t>
  </si>
  <si>
    <t>V 4.調查筆錄(如有其他涉案關係人亦須檢附)</t>
  </si>
  <si>
    <t xml:space="preserve"> □承認持有</t>
  </si>
  <si>
    <t xml:space="preserve"> □承認施用</t>
  </si>
  <si>
    <t xml:space="preserve"> □不承認持有(如有指名誰持有，須附該被指名者筆錄，或</t>
  </si>
  <si>
    <t>　 發現現處所之所有人筆錄，如車主、屋主、承租人等)</t>
  </si>
  <si>
    <t xml:space="preserve"> □有處方簽(敘明診所者須至診所索取，診所不願意提供者</t>
  </si>
  <si>
    <t>　 需附查訪紀錄表)</t>
  </si>
  <si>
    <t>V 5.自願受搜索同意書</t>
  </si>
  <si>
    <t>V 6.搜索扣押筆錄</t>
  </si>
  <si>
    <t>V 7.扣押物品目錄表清冊</t>
  </si>
  <si>
    <t>V 8.查獲現場及毒品秤重照片</t>
  </si>
  <si>
    <t>V 9.查獲毒品案件嫌犯通聯紀錄表</t>
  </si>
  <si>
    <t>□10.其他(職務報告等因案情認為有必要檢附之資料)</t>
  </si>
  <si>
    <t xml:space="preserve">承辦人:                             </t>
  </si>
  <si>
    <t xml:space="preserve">主管:                             </t>
  </si>
  <si>
    <t>刑事案件</t>
  </si>
  <si>
    <t>報告單</t>
  </si>
  <si>
    <t>中華
民國</t>
  </si>
  <si>
    <t>違反社會秩序維護法案件</t>
  </si>
  <si>
    <t>違反行政法令案件</t>
  </si>
  <si>
    <t>北市警信分刑字第</t>
  </si>
  <si>
    <t>號</t>
  </si>
  <si>
    <t>住址</t>
  </si>
  <si>
    <t>素行</t>
  </si>
  <si>
    <t>詳如素行</t>
  </si>
  <si>
    <t>刑案關係人</t>
  </si>
  <si>
    <t>何種
關係</t>
  </si>
  <si>
    <t>違犯事實</t>
  </si>
  <si>
    <t>處所</t>
  </si>
  <si>
    <t>附送刑案含犯罪證據</t>
  </si>
  <si>
    <t>一、嫌疑人1名。           二、警詢筆錄。             三、各類附表。            四、查扣證物詳扣押目錄表。</t>
  </si>
  <si>
    <t>查獲員警
擬辦意見</t>
  </si>
  <si>
    <t>移請  偵查隊辦理</t>
  </si>
  <si>
    <t>敬   陳</t>
  </si>
  <si>
    <t>主    管:</t>
  </si>
  <si>
    <t>分   局   長</t>
  </si>
  <si>
    <t>填製說明:</t>
  </si>
  <si>
    <t>一、本報告單應用十六開紙印製，一式三聯，一聯存根，一聯報送，一聯副本。</t>
  </si>
  <si>
    <t>二、填用時，應注意按其性質於報告單所印三項名稱知中央位置劃ˇ，如係刑事案
    件者，及於其上之中心點劃ˇ符號，或劃塗其他名稱，以免混淆。</t>
  </si>
  <si>
    <t>擬:
一、本案經查符合線上
立破之要件。
二、依規定通報。</t>
  </si>
  <si>
    <t>1.轄區內破獲
  是□、否□
2.勤務中心指揮
  是□、否□
3.勤務編排項目
  是□、否□</t>
  </si>
  <si>
    <t>捨棄聲明異議書</t>
  </si>
  <si>
    <t>捨棄聲明異議人：</t>
  </si>
  <si>
    <t>戶籍地：</t>
  </si>
  <si>
    <t>住  址：</t>
  </si>
  <si>
    <t>電  話：</t>
  </si>
  <si>
    <t>捨棄抗告聲請狀</t>
  </si>
  <si>
    <t xml:space="preserve">此致 </t>
  </si>
  <si>
    <t>臺灣臺北地方法院臺北簡易庭 公鑒</t>
  </si>
  <si>
    <t>具狀人：</t>
  </si>
  <si>
    <t>身分證字號：</t>
  </si>
  <si>
    <t>應  受
送達人
姓　名
地　址</t>
  </si>
  <si>
    <t xml:space="preserve">受處分人 </t>
  </si>
  <si>
    <t>案  號
案  由</t>
  </si>
  <si>
    <t>違反社會秩序維護法</t>
  </si>
  <si>
    <t>送  達
文  書</t>
  </si>
  <si>
    <t>處分書（收據）正本1件。</t>
  </si>
  <si>
    <t>送達人
注  意</t>
  </si>
  <si>
    <t>一、依下述送達方法送達者，送達人應即將本送達證書，提出於本分局附卷。
二、無法依下述送達方法送達者，送達人應作記載該事由之報告書，提出於本分局附卷，並繳回應送達之文書。</t>
  </si>
  <si>
    <t>送達方法</t>
  </si>
  <si>
    <t>（由送達人□上劃ˇ號選記）</t>
  </si>
  <si>
    <t>□已將文書付與應受送達人：</t>
  </si>
  <si>
    <t>□本　人</t>
  </si>
  <si>
    <t>（簽名蓋章</t>
  </si>
  <si>
    <t>　或按指印：）</t>
  </si>
  <si>
    <t>□未獲會晤本人，已將文書交與有辨別事理能力之同居人或受僱人：</t>
  </si>
  <si>
    <t>□同居人</t>
  </si>
  <si>
    <t>□受僱人</t>
  </si>
  <si>
    <t>□送達人應記明收領人之姓名</t>
  </si>
  <si>
    <t>（以正楷填記）：</t>
  </si>
  <si>
    <t>□應受送達之本人、同居人或受僱人，收領後拒絕或不能簽名、蓋章或按指印，由送達人記明其事由於右欄：</t>
  </si>
  <si>
    <t>※送達人填記：</t>
  </si>
  <si>
    <t>□應受送達之本人、同居人或受僱人，無法律上之理由拒絕收領，經送達人將文書留置於送達處所，以為送達：</t>
  </si>
  <si>
    <t>□本人
□同居人(姓名)
□受僱人(姓名)</t>
  </si>
  <si>
    <t>拒絕收領</t>
  </si>
  <si>
    <t>□未獲會晤本人亦無受領文書之同居人或受僱人，已將該送達文書：
□應受送達之本人、同居人或受僱人，無法律上之理由拒絕收領，並有難達留置情事，已將該送達文書：</t>
  </si>
  <si>
    <t>寄存於下列之一處所，並作送達通知書兩份，一份黏貼於應受送達人住居所、事務所、營業所或其就業處所門首，另一份置於該送達處所信箱或其他適當位置，以為送達。（請擇一打ˇ）
□寄存於       派出所或警察所。
□寄存於       鄉（鎮市）區公所。
□寄存於       鄉（鎮市）區      村（里）長辦公處。</t>
  </si>
  <si>
    <t>(由郵局收寄人員填寫)</t>
  </si>
  <si>
    <t>原寄郵局日戳</t>
  </si>
  <si>
    <t>送達郵局日戳</t>
  </si>
  <si>
    <t>郵件種類：
掛號號碼：</t>
  </si>
  <si>
    <t xml:space="preserve">
（由司法警察送達時免蓋）</t>
  </si>
  <si>
    <t>送達處所</t>
  </si>
  <si>
    <t>送達時間</t>
  </si>
  <si>
    <t>送達人簽章</t>
  </si>
  <si>
    <t>□同上記載地址
□改送：臺北市政府警察局中山分局圓山派出所</t>
  </si>
  <si>
    <t xml:space="preserve">中華民國     年   月    日
             午   時  </t>
  </si>
  <si>
    <t>（送達人務請填記）</t>
  </si>
  <si>
    <t>此證書由送達人繳回</t>
  </si>
  <si>
    <t>應送達之文書</t>
  </si>
  <si>
    <t>違反社會秩序維護法處分書</t>
  </si>
  <si>
    <t>應受送達人</t>
  </si>
  <si>
    <t>一</t>
  </si>
  <si>
    <t>已將文書交與應受送達人本人。</t>
  </si>
  <si>
    <t>二</t>
  </si>
  <si>
    <t>未會晤本人，已將文書交予下列有辨別事理能力之人。</t>
  </si>
  <si>
    <t>同居人</t>
  </si>
  <si>
    <t>與本人關係</t>
  </si>
  <si>
    <t>受僱人</t>
  </si>
  <si>
    <t>三</t>
  </si>
  <si>
    <t>未會晤本人亦無收領文書之同居人、受僱人，已將文書寄存於　　　　　　　　　　　　　，並作送達通知書兩份，一份粘貼於應受送達人住居所、事務所、營業所或其就業處所門首，另一份置於該送達處所信箱或其他位置。</t>
  </si>
  <si>
    <t>四</t>
  </si>
  <si>
    <t>□本人　　　　　□同居人　　　　　□受僱人</t>
  </si>
  <si>
    <t>無正當理由拒絕收領，已將文書留置於該處。</t>
  </si>
  <si>
    <t>五</t>
  </si>
  <si>
    <t>收領人拒絕或不能簽名蓋章及捺指印。</t>
  </si>
  <si>
    <t>收領人簽名蓋章或捺指印：</t>
  </si>
  <si>
    <t>送達之時日</t>
  </si>
  <si>
    <t>送達之處所</t>
  </si>
  <si>
    <t xml:space="preserve">司法警察（職稱、姓名）： </t>
  </si>
  <si>
    <t>注意：</t>
  </si>
  <si>
    <t>一、「一」、「二」、「三」、「四」、「五」等欄所載各方法中，係依其何種方法將文書送達，應在該欄數字右方之空格內打勾為記。</t>
  </si>
  <si>
    <t>二、如係同居人、受僱人應載其姓名及與本人之關係。</t>
  </si>
  <si>
    <t>行動電話
廠牌/型號/顏色</t>
  </si>
  <si>
    <t>牌/</t>
  </si>
  <si>
    <t>型/</t>
  </si>
  <si>
    <t>色</t>
  </si>
  <si>
    <t>行動電話
門號/電信公司</t>
  </si>
  <si>
    <t>門號：</t>
  </si>
  <si>
    <t>電信</t>
  </si>
  <si>
    <t>IMEI</t>
  </si>
  <si>
    <t>開機密碼</t>
  </si>
  <si>
    <t>□</t>
  </si>
  <si>
    <t>無密碼</t>
  </si>
  <si>
    <t>有密碼：</t>
  </si>
  <si>
    <t>SIM密碼</t>
  </si>
  <si>
    <t>應受尿液採驗人尿液檢體採集送驗記錄 （第一聯：由採尿處所存查）</t>
  </si>
  <si>
    <t>檢體編號</t>
  </si>
  <si>
    <t>採尿日時</t>
  </si>
  <si>
    <t>採尿人員</t>
  </si>
  <si>
    <t>第一聯：由採尿處所存查</t>
  </si>
  <si>
    <t>所轄分局</t>
  </si>
  <si>
    <t>採尿人員記載事項</t>
  </si>
  <si>
    <t>應受尿液採驗人於前三日內曾否服用藥物？
□否
□是
檢體重要特殊跡象：
□無
□有</t>
  </si>
  <si>
    <t>送驗機關</t>
  </si>
  <si>
    <t>地址</t>
  </si>
  <si>
    <t>應受尿液採驗
人姓名</t>
  </si>
  <si>
    <t>應受尿液採驗人</t>
  </si>
  <si>
    <t>應受尿液採驗人
簽名</t>
  </si>
  <si>
    <t>應受尿液採驗
人左拇指紋印</t>
  </si>
  <si>
    <t>送驗日期</t>
  </si>
  <si>
    <t>年     月     日</t>
  </si>
  <si>
    <t>送驗人員</t>
  </si>
  <si>
    <t>………………………………………………………………………………………………………………………………………………………………………………………………………………………</t>
  </si>
  <si>
    <t>應受尿液採驗人尿液檢體採集送驗記錄（第二聯：經檢驗機構簽收，待檢驗完成連同檢驗報告送回送驗機關）</t>
  </si>
  <si>
    <t>第
二
聯
：
連 經
同 檢
檢 驗
驗 機
報 構
告 簽
送 收
回 ，
送 待
驗 檢
機 驗
關 完
成</t>
  </si>
  <si>
    <t>送請檢驗項目:
□鴉片類藥物
□安非他命類藥物
□其他</t>
  </si>
  <si>
    <t>檢驗機構名稱：</t>
  </si>
  <si>
    <t>檢驗結果：□安非他命類藥物
            □安非他命    □陽性□未檢出
            □甲基安非他命□陽性□未檢出
          □鴉片類藥物
            □嗎啡        □陽性□未檢出
            □可待因      □陽性□未檢出
          □其他                   </t>
  </si>
  <si>
    <t>應受尿液採驗人左拇指紋印</t>
  </si>
  <si>
    <t>收件人：</t>
  </si>
  <si>
    <t>請貼條碼</t>
  </si>
  <si>
    <t>應受尿液採驗人尿液檢體採集送驗記錄（第三聯：連同尿液檢體送交檢驗機關）</t>
  </si>
  <si>
    <t>第三聯：連同尿液檢體送交檢驗機關</t>
  </si>
  <si>
    <t>查獲初犯涉毒少年即時實施關懷工作紀錄表</t>
  </si>
  <si>
    <t>少年姓名</t>
  </si>
  <si>
    <t>□ 毒品初犯□再犯</t>
  </si>
  <si>
    <t>毒品等級</t>
  </si>
  <si>
    <t>實施關懷時間</t>
  </si>
  <si>
    <t xml:space="preserve">   年   月   日   時   分</t>
  </si>
  <si>
    <t>被關懷人/
與少年關係</t>
  </si>
  <si>
    <t>連絡電話/
電子郵件</t>
  </si>
  <si>
    <t>查獲單位</t>
  </si>
  <si>
    <t>承辦人員</t>
  </si>
  <si>
    <t>關懷服務內容</t>
  </si>
  <si>
    <t>□ 說明司法流程</t>
  </si>
  <si>
    <t>□ 提供教育部編列之家長親職手冊</t>
  </si>
  <si>
    <t>□ 少年輔導委員會或毒品危害防制中心等相關資源</t>
  </si>
  <si>
    <t>關懷服務方式</t>
  </si>
  <si>
    <t>□ 簡訊關懷</t>
  </si>
  <si>
    <t>□ 電子郵件關懷</t>
  </si>
  <si>
    <t>□ 親自關懷</t>
  </si>
  <si>
    <t>□ 電話關懷</t>
  </si>
  <si>
    <t>□ 其他方式關懷</t>
  </si>
  <si>
    <t>藥物濫用青少年親職手冊網址：http://enc.moe.edu.tw/UploadFile/eBook/20160819134838052559/index.html#p=1</t>
  </si>
  <si>
    <t>查訪時間</t>
  </si>
  <si>
    <t>查訪地點</t>
  </si>
  <si>
    <t>受訪人</t>
  </si>
  <si>
    <t>身分證號</t>
  </si>
  <si>
    <t>連絡電話</t>
  </si>
  <si>
    <t>住居地</t>
  </si>
  <si>
    <t>問：</t>
  </si>
  <si>
    <t>答：</t>
  </si>
  <si>
    <t>是的，好。</t>
  </si>
  <si>
    <t>有，沒有。有</t>
  </si>
  <si>
    <t>目前該兒童          是由何人照顧、監護？</t>
  </si>
  <si>
    <t>都是我自己照顧。</t>
  </si>
  <si>
    <t>是否需要轉介單位提供服務？</t>
  </si>
  <si>
    <t>不需要。</t>
  </si>
  <si>
    <t>以上訪談將作成紀錄，請問是否還有需要我們警方提供協助之處？</t>
  </si>
  <si>
    <t xml:space="preserve">沒有。 </t>
  </si>
  <si>
    <t>以下空白</t>
  </si>
  <si>
    <t>查訪人：</t>
  </si>
  <si>
    <t>查獲毒品危害防制條例案件現行犯監護照顧未滿12歲子女或兒童紀錄表</t>
  </si>
  <si>
    <t>嫌犯基本資料</t>
  </si>
  <si>
    <t>移送書文號</t>
  </si>
  <si>
    <t>移送司法機關</t>
  </si>
  <si>
    <t>嫌犯姓名</t>
  </si>
  <si>
    <t>嫌犯戶籍地</t>
  </si>
  <si>
    <t>實際居所地</t>
  </si>
  <si>
    <t>未滿12歲子女或兒童資料</t>
  </si>
  <si>
    <t>未滿12歲孩童</t>
  </si>
  <si>
    <t>就讀學校</t>
  </si>
  <si>
    <t>身心障礙情形</t>
  </si>
  <si>
    <t>基本資料</t>
  </si>
  <si>
    <t>□    是   □ 無</t>
  </si>
  <si>
    <t>孩童照顧狀態</t>
  </si>
  <si>
    <t>□嫌犯拒不說明孩童下落，或經初步查證為行方不明、情狀不明等，已通知本轄婦幼警察隊派員面訪調查。</t>
  </si>
  <si>
    <t>□確認孩童現無人照顧後，已通知社政單位及轄區派出所員警前往處理，並至警政知識聯網「婦幼安全線上通報系統」通報兒少保護案件。</t>
  </si>
  <si>
    <t>□孩童委託友人照顧，電訪確認及記錄後，已通知本轄婦幼警察隊派員實施面訪。</t>
  </si>
  <si>
    <t xml:space="preserve">   □有兒少福權法第53條兒少保護或第54條高風險家庭情事（檢核指標如後頁），□或照顧者表示有照顧困難或需關懷協助事項，已至警政知識聯網「婦幼安全線上通報系統」通報          市(縣)社政單位處理，並於通報表「案情簡述」欄位內詳細填寫電訪時間、兒童受照顧狀況等紀錄。</t>
  </si>
  <si>
    <t xml:space="preserve">   □電訪遭拒或查詢得知兒童行方不明，已通知本轄婦幼警察隊派員面訪調查。</t>
  </si>
  <si>
    <t>□孩童已由社政單位安置，電話聯繫社政單位確認其現於社福機構或寄養家庭照顧中。</t>
  </si>
  <si>
    <t>□其他：</t>
  </si>
  <si>
    <t>孩童現所在地</t>
  </si>
  <si>
    <t>實際照顧者</t>
  </si>
  <si>
    <t>聯絡地址</t>
  </si>
  <si>
    <t>□ 同孩童現所在地   □ 不同請註明</t>
  </si>
  <si>
    <t>填表人員</t>
  </si>
  <si>
    <t>警察局別</t>
  </si>
  <si>
    <t>單位別</t>
  </si>
  <si>
    <t>執行員警核章處</t>
  </si>
  <si>
    <t>單位主管核章處</t>
  </si>
  <si>
    <t>兒童及少年福利與權益保障法法定通報事由檢核指標</t>
  </si>
  <si>
    <t>第53條  兒少保護案件</t>
  </si>
  <si>
    <t>g兒少有下列行為者：</t>
  </si>
  <si>
    <t xml:space="preserve"> c兒少施用毒品、非法施用管制藥品或其他有害身心健康之物質。</t>
  </si>
  <si>
    <t xml:space="preserve"> c兒少充當酒家、特種咖啡茶室、限制級電子遊戲場及其他涉及賭博、色情、暴力等足以危害其身心健康場所之侍應。</t>
  </si>
  <si>
    <t>g任何人對兒少有下列行為者：</t>
  </si>
  <si>
    <t xml:space="preserve"> c遺棄c身心虐待c利用其從事有害健康等危險性活動或欺騙之行為c利用身心障礙或畸形兒童供人參觀。</t>
  </si>
  <si>
    <t xml:space="preserve"> c利用其行乞。c剝奪或妨礙其接受國民教育之機會。c強迫其婚嫁。c拐騙、綁架、買賣、質押，或以其為擔保之行為。</t>
  </si>
  <si>
    <t xml:space="preserve"> c強迫、引誘、容留或媒介其為猥褻行為或性交。c供應刀械或其他危險物品。</t>
  </si>
  <si>
    <t xml:space="preserve"> c利用其拍攝或錄製暴力、猥褻、色情或其他有害其身心發展之出版品、影片、光碟、網際網路或其他物品。</t>
  </si>
  <si>
    <t xml:space="preserve"> c違反媒體分級辦法，對其提供或播送有害其身心發展之出版品、影片、光碟、網際網路或其他物品。</t>
  </si>
  <si>
    <t xml:space="preserve"> c帶領或誘使其進入有礙其身心健康之場所。</t>
  </si>
  <si>
    <t xml:space="preserve"> c強迫、引誘、容留或媒介兒童及少年為自殺行為。</t>
  </si>
  <si>
    <t xml:space="preserve"> c其他對兒童及少年或利用兒童及少年犯罪或為不正當之行為。</t>
  </si>
  <si>
    <t>g父母、監護人或其他實際照顧兒童及少年之人對兒少有下列行為者：</t>
  </si>
  <si>
    <t xml:space="preserve"> c使兒童獨處於易發生危險或傷害之環境。</t>
  </si>
  <si>
    <t xml:space="preserve"> c對於6歲以下兒童或需要特別看護之兒童及少年，使其獨處或由不適當之人代為照顧。</t>
  </si>
  <si>
    <t>g發生緊急情況：</t>
  </si>
  <si>
    <t xml:space="preserve"> c兒少有以上列舉之保護情事，致其生命身體或自由有立即之危險或有危險之虞者。</t>
  </si>
  <si>
    <t xml:space="preserve"> c兒少未受適當之養育或照顧，致其生命身體或自由有立即之危險或有危險之虞者。</t>
  </si>
  <si>
    <t xml:space="preserve"> c兒少有立即接受診治之必要，但未就醫者，致其生命身體或自由有立即之危險或有危險之虞者。</t>
  </si>
  <si>
    <t xml:space="preserve"> c兒少遭受其他迫害，致其其生命身體或自由有立即之危險或有危險之虞者。</t>
  </si>
  <si>
    <t>第54條  高風險家庭</t>
  </si>
  <si>
    <t>□家庭成員關係紊亂或家庭衝突：如家中成人時常劇烈爭吵、無婚姻關係帶年幼子女與人同居、或有離家出走之念頭者等，以致影響兒少日常生活食衣住行育醫等照顧者功能者。</t>
  </si>
  <si>
    <t>□家中兒童少年父母或主要照顧者罹患精神疾病、酒癮、藥癮並未就醫或未持續就醫，以致影響兒少日常生活食衣住行育醫等照顧者功能者。</t>
  </si>
  <si>
    <t>□家中兒童少年父母或主要照顧者有自殺風險個案，尚未強迫、引誘、容留或媒介兒童及少年為自殺行為，惟影響兒少日常生活食衣住行育醫等照顧者功能者。</t>
  </si>
  <si>
    <t>□因貧困、單親、隔代教養或其他不利因素，以致影響兒少日常生活食衣住行育醫等照顧者功能者。</t>
  </si>
  <si>
    <t>□非自願性失業或重複失業者：負擔家計者遭裁員、資遣、強迫退休等，以致影響兒少日常生活食衣住行育醫等照顧者功能者。</t>
  </si>
  <si>
    <t>□負擔家計者死亡、出走、重病、入獄服刑等，以致影響兒少日常生活食衣住行育醫等照顧者功能者。</t>
  </si>
  <si>
    <t>毒品案件被告通聯紀錄表</t>
  </si>
  <si>
    <t>(甲式102.5版)</t>
  </si>
  <si>
    <t>移送
單位</t>
  </si>
  <si>
    <t>被告姓名</t>
  </si>
  <si>
    <t>被告攜帶手機共 1 支
(每支填寫一張本表)</t>
  </si>
  <si>
    <t>填製
單位：</t>
  </si>
  <si>
    <t>綽 號</t>
  </si>
  <si>
    <t>製表人：</t>
  </si>
  <si>
    <t>被告遭查獲前之最近「撥出」之對方門號</t>
  </si>
  <si>
    <t>被告遭查獲前之最近「接收」之對方門號</t>
  </si>
  <si>
    <t>對方門號</t>
  </si>
  <si>
    <t>姓名(綽號)</t>
  </si>
  <si>
    <t>關係</t>
  </si>
  <si>
    <t>毒犯</t>
  </si>
  <si>
    <t>□ 販
□ 吸</t>
  </si>
  <si>
    <t>被告有無供出毒
品上游或其他販
毒者：</t>
  </si>
  <si>
    <t>被告供出本件毒品上游：
□ 有(□販賣/□轉讓) □ 無
上游姓名(綽號)：
電話：</t>
  </si>
  <si>
    <t>被告供出其他販毒者：
□ 有 □ 無
上游姓名(綽號)：
電話：</t>
  </si>
  <si>
    <t>(上述資訊請將手機畫面拍照並列印，連同「移送書」影本、「筆錄」正本附於本表後)</t>
  </si>
  <si>
    <t>臺北市政府消防局救護資料申請書</t>
  </si>
  <si>
    <t>申請單位</t>
  </si>
  <si>
    <t>申 請 人
姓    名</t>
  </si>
  <si>
    <t>案件時間</t>
  </si>
  <si>
    <t>案件地址</t>
  </si>
  <si>
    <t>申請用途</t>
  </si>
  <si>
    <t>□現場死亡(未送醫)佐證</t>
  </si>
  <si>
    <t>□其他(辦案需求)：________________________________________
    (當事人未死亡請勾選此項)</t>
  </si>
  <si>
    <t>申請資料</t>
  </si>
  <si>
    <t>■救護紀錄表
■受理報案紀錄</t>
  </si>
  <si>
    <t>領取方式</t>
  </si>
  <si>
    <t>□親自領取：臺北市政府消防局(臺北市信義區松仁路1號)</t>
  </si>
  <si>
    <t xml:space="preserve">□公務信箱：________________________________________                                          
                                                                   </t>
  </si>
  <si>
    <t>備註
(請勾選)</t>
  </si>
  <si>
    <t>■當事人已確定死亡，不受個人資料保護法規範。
□當事人未死亡，申請單位遵守個人資料保護法規範。</t>
  </si>
  <si>
    <t xml:space="preserve"> 臺北市政府消防局</t>
  </si>
  <si>
    <t>申請人：</t>
  </si>
  <si>
    <t>申請單位主管：</t>
  </si>
  <si>
    <t xml:space="preserve">申請日期(年/月/日)：        </t>
  </si>
  <si>
    <t>申請單位：</t>
  </si>
  <si>
    <t xml:space="preserve">說明：
</t>
  </si>
  <si>
    <t>1.  本表僅提供警察機關申請救護案件資料使用，當事人未死亡之個案，警察機關應
    派員至本局親自領取，以符合個人資料保謢法規範。
2.  請附上申請人服務證件，申請單位請蓋機關章(圓戳章可)；案內公務信箱係指各
    單位專用之信箱。
3.  申請表填具後，上班時間(8時30分至17時30分)請傳真至緊急救護科：
    (02)2345-6386；查詢電話(02)2729-7668轉6415；非上班時間請傳真至救災救護
    指揮中心：(02)2758-7865；查詢電話(02)2729-7668轉9。</t>
  </si>
  <si>
    <t xml:space="preserve">      法律扶助基金會檢警律師陪同到場專案-指派律師通知表113年06月版</t>
  </si>
  <si>
    <t xml:space="preserve">            ________地方法院                        ________檢察署</t>
  </si>
  <si>
    <t>警察局</t>
  </si>
  <si>
    <t>分局____隊</t>
  </si>
  <si>
    <t>分駐/派出所</t>
  </si>
  <si>
    <t>犯罪嫌疑人姓名</t>
  </si>
  <si>
    <t>身分別</t>
  </si>
  <si>
    <t>□原住民族：_____________族。</t>
  </si>
  <si>
    <t>犯罪嫌疑人聯絡電話</t>
  </si>
  <si>
    <t>（僅限符合右列情形使用）</t>
  </si>
  <si>
    <t>□因神經系統構造及精神、心智功能損傷或不全，無法為完全陳述。</t>
  </si>
  <si>
    <t>犯罪嫌疑人涉犯罪名</t>
  </si>
  <si>
    <t>□第一次接受訊問，涉犯最輕本刑三年以上有期徒刑或高等法院管轄第一審之罪。</t>
  </si>
  <si>
    <t xml:space="preserve">實際到場時間：______年______月_______日_______時________分  </t>
  </si>
  <si>
    <t>由犯罪嫌疑人自行填寫</t>
  </si>
  <si>
    <t>□犯罪嫌疑人</t>
  </si>
  <si>
    <t>犯罪嫌疑人因涉有上列罪嫌，現於上開通報機關等候詢問，請自本通知單傳真到達法扶起，協助指派律師到達通報機關所在地點。經法扶回傳本通知單起4小時後，若無律師到場，將逕行依法詢問。</t>
  </si>
  <si>
    <t>需要陪偵律師</t>
  </si>
  <si>
    <t>通報機關地址：____________________________________________________</t>
  </si>
  <si>
    <t>□犯罪嫌疑人表示</t>
  </si>
  <si>
    <t>犯罪嫌疑人所述原因： （請勿自行另設選項）</t>
  </si>
  <si>
    <t>本人簽名</t>
  </si>
  <si>
    <t>□不需要律師，可自行處理</t>
  </si>
  <si>
    <t>不需要陪偵律師</t>
  </si>
  <si>
    <t>□不願等候律師到場</t>
  </si>
  <si>
    <t>□已自行委任律師</t>
  </si>
  <si>
    <t>註：本會指派律師均不收費</t>
  </si>
  <si>
    <t>請適時保護自己： 1.你可以詢問自己罪名是什麼；2.可以請求律師到場；3. 律師到場前，
可以不回答問題；4.律師到場後，有充分時間與律師討論案情。</t>
  </si>
  <si>
    <t xml:space="preserve"> 以下欄位由法扶客服中心填寫</t>
  </si>
  <si>
    <t>□是</t>
  </si>
  <si>
    <t>□否，原因：□不符合身分別   □無律師可前往   □其他：</t>
  </si>
  <si>
    <t>客服中心</t>
  </si>
  <si>
    <t>承辦人</t>
  </si>
  <si>
    <t>注  意  事  項</t>
  </si>
  <si>
    <t>受理資訊</t>
  </si>
  <si>
    <t>105年5月1日起，統一由法扶客服中心受理並派遣律師，請電洽服務專線02-2559-2119。請勿將本單張傳真至法扶總會或各分會，以免無人接收傳真而遲誤作業時間。</t>
  </si>
  <si>
    <t>傳真事項</t>
  </si>
  <si>
    <t>敬請於傳真後，應以電話確認客服中心是否收到傳真、傳真內容是否清楚可辨認，謝謝。</t>
  </si>
  <si>
    <t>本會官網（http://www.laf.org.tw）可下載，路徑：法扶服務&gt;&gt;下載文件區&gt;&gt;檢警專案相關表單。</t>
  </si>
  <si>
    <t>備註</t>
  </si>
  <si>
    <t>查處外來人口在臺逾期停留、居留或其他非法案件通知書</t>
  </si>
  <si>
    <t>查處方式</t>
  </si>
  <si>
    <t>案    類</t>
  </si>
  <si>
    <t>□臺灣地區與大陸地區人民關係條例</t>
  </si>
  <si>
    <t>□香港澳門關係條例</t>
  </si>
  <si>
    <t>非法雇主</t>
  </si>
  <si>
    <t>□有（共  名，應檢附勞工檢查紀錄表或臨檢表）</t>
  </si>
  <si>
    <t>■無（應於本表案情紀錄欄詳述發現經過）</t>
  </si>
  <si>
    <t>檢附文件</t>
  </si>
  <si>
    <t xml:space="preserve">□ 護照正（影）本                    □ 外僑居留證        </t>
  </si>
  <si>
    <t xml:space="preserve">□ 臨檢表                            □ 檢查紀錄表       </t>
  </si>
  <si>
    <t>■ 調查筆錄                          □ 外僑居留電腦資料</t>
  </si>
  <si>
    <t>■ 入出境電腦資料                    ■ 其他（相關附表）</t>
  </si>
  <si>
    <t>財物保管</t>
  </si>
  <si>
    <t>□ 新臺幣      元（或    幣        元）         □ 機票</t>
  </si>
  <si>
    <t>□ 貴重物品（金飾      、手機      支）         □ 其他(              )</t>
  </si>
  <si>
    <t>被查獲人</t>
  </si>
  <si>
    <t>姓      名</t>
  </si>
  <si>
    <t>國
籍</t>
  </si>
  <si>
    <t>護照號碼</t>
  </si>
  <si>
    <t>出  生
年月日</t>
  </si>
  <si>
    <t>被查獲人
簽名捺印</t>
  </si>
  <si>
    <t>（國民身份證統一編號）</t>
  </si>
  <si>
    <t>案情摘要</t>
  </si>
  <si>
    <t>※(本欄項必填)
□被查獲人因涉及          案件，請專勤隊暫緩執行遣返出國(境)事宜。
■被查獲人違法情事已調查完畢，得由專勤隊儘速執行遣返出國(境)事宜。</t>
  </si>
  <si>
    <t>接 送
單 位</t>
  </si>
  <si>
    <t>查獲/移送人員</t>
  </si>
  <si>
    <t>單位主管</t>
  </si>
  <si>
    <t>（職章）</t>
  </si>
  <si>
    <t>專勤隊接收時間：   年  月  日   時   分（由專勤隊填寫）</t>
  </si>
  <si>
    <t>接 辦
單 位</t>
  </si>
  <si>
    <t>接辦人員</t>
  </si>
  <si>
    <t>備註：</t>
  </si>
  <si>
    <t>1.自首之意義</t>
  </si>
  <si>
    <t>自首意義：刑法第62條本文規定：「對於未發覺之罪自首而受裁判者，得減輕其刑。所</t>
  </si>
  <si>
    <t>謂自首，祇以犯人在犯罪未發覺之前，向該管公務員申告犯罪事實，並受裁判之意。所</t>
  </si>
  <si>
    <t>稱「該管公務員」，係指有偵查犯罪職權之公務員，如檢察官、司法警察官或司法警察。</t>
  </si>
  <si>
    <t>自首必須符合下列要件：</t>
  </si>
  <si>
    <t>一、自首必須在犯罪未發覺前為之：所謂「未發覺」，係指有偵查權之公務員尚未發覺犯</t>
  </si>
  <si>
    <t>罪事實，或已發覺犯罪事實，但不知誰為犯罪者。若有偵查權之公務員尚未發覺犯</t>
  </si>
  <si>
    <t>罪，即使被害人或其他人已發覺犯罪，仍屬未發覺犯罪。</t>
  </si>
  <si>
    <t>二、自首必須申告自己所為之犯罪行為。</t>
  </si>
  <si>
    <t>三、自首必須向有偵查權之公務員為之：自首方式，可以言詞陳述，或以書面、電話、</t>
  </si>
  <si>
    <t>傳真、電報或e-mail，或託請他人代為申告，或向非偵查機關請其代為轉送者，以</t>
  </si>
  <si>
    <t>轉送至偵查機關始生效力。</t>
  </si>
  <si>
    <t>四、自首必須自動接受裁判：所謂「自動接受裁判」，固不必即時親自到偵查機關接受偵</t>
  </si>
  <si>
    <t>查，例如告知自己所在處所，使偵查機關隨時可以進行追訴工作亦可；如告知犯罪</t>
  </si>
  <si>
    <t>事實後隨即逃亡，則不成立自首。</t>
  </si>
  <si>
    <t>2.主動投案(自行到案)之意義</t>
  </si>
  <si>
    <t>係指偵查機關已發覺犯人之犯罪事實，且未經拘提或逮捕，而自行到案情形。</t>
  </si>
  <si>
    <t xml:space="preserve">                 法律扶助基金會 檢警律師陪同到場專案 - 指派律師通知表113年06月版</t>
  </si>
  <si>
    <t>（僅限符合右列情形使用； 身心障礙者不以持有證明者為限）</t>
  </si>
  <si>
    <t xml:space="preserve"> □因身心障礙，致無法為完全陳述。
   □無身心障礙證明
   □有身心障礙證明，障礙別為第1類【b1】:神
     經系統構造及精神、心智功能障礙
   □有身心障礙證明，障礙別為第【______】類
   (為統計所需，請參身心障礙證明背面填載障礙類別代碼)</t>
  </si>
  <si>
    <t>身分證/居留證/護照證號</t>
  </si>
  <si>
    <t xml:space="preserve"> □第一次接受訊問，涉犯最輕本刑三年以上有期
   徒刑或高等法院管轄第一審之罪。</t>
  </si>
  <si>
    <t>□犯罪嫌疑人
 需要陪偵律師</t>
  </si>
  <si>
    <t xml:space="preserve"> 犯罪嫌疑人因涉有上列罪嫌，現於上開通報機關等候詢問，請自本通知單傳
 真到達法扶起，協助指派律師到達通報機關所在地點。經法扶回傳本通知單
 起4小時後，若無律師到場，將逕行依法詢問。</t>
  </si>
  <si>
    <t>□犯罪嫌疑人表示
 不需要陪偵律師</t>
  </si>
  <si>
    <t>犯罪嫌疑人所述原因：（請勿自行另設選項）</t>
  </si>
  <si>
    <t xml:space="preserve"> □不需要律師，可自行處理</t>
  </si>
  <si>
    <t xml:space="preserve"> □不願等候律師到場</t>
  </si>
  <si>
    <t xml:space="preserve"> □已自行委任律師</t>
  </si>
  <si>
    <t>※請適時保護自己：1.您可以詢問自己罪名是什麼；2.可以請求律師到場；3.律師到場前，可以不回答問題；4.
  律師到場後，有充分時間與律師討論案情。
※申請律師後最遲於 45 分鐘內即可得知有無律師；律師平均約 1~4 小時抵達偵訊機關。如後續有偵查中辯護或
  法律扶助之需求，可請陪偵律師協助您填寫「檢警陪偵後-法律扶助申請書」進行申請。</t>
  </si>
  <si>
    <t>以下欄位由法扶客服中心填寫</t>
  </si>
  <si>
    <t>贓物認領保管單</t>
  </si>
  <si>
    <t xml:space="preserve">           具領人：</t>
  </si>
  <si>
    <t>職業：</t>
  </si>
  <si>
    <t xml:space="preserve">           出生年月日：</t>
  </si>
  <si>
    <t xml:space="preserve">           身分証號碼：</t>
  </si>
  <si>
    <t xml:space="preserve">           住址：</t>
  </si>
  <si>
    <t>　　　　　　保證人：　　　　　　</t>
  </si>
  <si>
    <t>商號名稱：</t>
  </si>
  <si>
    <t xml:space="preserve">　　　　　　姓名：                           </t>
  </si>
  <si>
    <t>聯絡電話：</t>
  </si>
  <si>
    <t>所長核章：</t>
  </si>
  <si>
    <t>職別</t>
  </si>
  <si>
    <t>優良具體事蹟</t>
  </si>
  <si>
    <t>隨附事證</t>
  </si>
  <si>
    <t>刑案陳報單、移送書</t>
  </si>
  <si>
    <t>擬辦</t>
  </si>
  <si>
    <t>會辦</t>
  </si>
  <si>
    <t>（督察組查證）</t>
  </si>
  <si>
    <t>被害人通用</t>
  </si>
  <si>
    <t>過失傷害</t>
  </si>
  <si>
    <t>傷害</t>
  </si>
  <si>
    <t>竊盜</t>
  </si>
  <si>
    <t>侵占</t>
  </si>
  <si>
    <t>毀損</t>
  </si>
  <si>
    <t>妨害電腦使用</t>
  </si>
  <si>
    <t>恐嚇</t>
  </si>
  <si>
    <t>違反保護令</t>
  </si>
  <si>
    <t>妨害自由</t>
  </si>
  <si>
    <t>偽造文書</t>
  </si>
  <si>
    <t>跟蹤騷擾</t>
  </si>
  <si>
    <t>誣告</t>
  </si>
  <si>
    <t>詐欺</t>
  </si>
  <si>
    <t>性騷擾</t>
  </si>
  <si>
    <t>聲請保護令</t>
  </si>
  <si>
    <t>妨害性隱私</t>
  </si>
  <si>
    <t>你於何時、何地與何人發生車禍？如何發生車禍(雙方所駕駛之車輛當時狀態？行進方向？當時發現對方車輛時雙方相距約幾公尺？採取何種反應措施？發生碰撞前時速約達每小時幾公里？發生碰撞前、時速度為何？交通號誌為何？)？</t>
  </si>
  <si>
    <t>你於何時、何地如何遭人傷害？因何事與對方起爭執？他為何要傷害你？請詳述案發經過。</t>
  </si>
  <si>
    <t>你於何時、何地如何發現你的財物遭何人竊取？該竊嫌竊取物品時的裝扮、特徵？如何竊取？過程為何？遭竊取的財物為何？數量為何？價值多少？請詳述之。</t>
  </si>
  <si>
    <t>妳是於何時、何地，遭何人侵占？請問你為何將該物放置於此？該人是如何侵占你的物品？請詳述之。</t>
  </si>
  <si>
    <t>你是何時、何地、以何方式，發現你的物品遭毀損？請詳述之。</t>
  </si>
  <si>
    <t>你居住地址為何？你的公司是？你公司的位置為何？電子郵件為何？</t>
  </si>
  <si>
    <t>你於何時、何地、如何遭人妨害名譽？請詳述案發經過。</t>
  </si>
  <si>
    <t>你於何時？何地？遭何人恐嚇？</t>
  </si>
  <si>
    <t>你所申請保護令的主文為何？發文日期為何？其文號為何？</t>
  </si>
  <si>
    <t>上記年籍資料是否正確？目前從事何業？有無前科？</t>
  </si>
  <si>
    <t>上記年籍資料是否正確？目前從事何業？</t>
  </si>
  <si>
    <t>上述年籍資料是否為你本人?</t>
  </si>
  <si>
    <t>真實姓名對照表內之資料是否正確？是否為你本人？</t>
  </si>
  <si>
    <t>本案涉及性影像，你是否有想指定性別員警受理？現由一名女警對你詢問及製作筆錄，你是否同意？</t>
  </si>
  <si>
    <t>是否知悉該犯罪嫌疑人（被告）的長相？穿著特徵？及其身分資料？</t>
  </si>
  <si>
    <t>當時的天氣如何?視野如何視線是否有遭遮蔽?標誌標線是否清楚？</t>
  </si>
  <si>
    <t>你有無打（反擊）該名？是否有造成對方受傷？</t>
  </si>
  <si>
    <t>你的財物遭竊取當時你是否在場？是否有人看管？</t>
  </si>
  <si>
    <t>你遭侵占的物品特徵、價值、數量為何？</t>
  </si>
  <si>
    <t>妳遭毀損何物？價值為何？你為何會認為你遭染色之衣物是遭故意毀棄、損壞或致令不堪用？</t>
  </si>
  <si>
    <t>你於犯罪發生或發現之時間及地點（涉及網路或行動通訊，其犯罪行為實體時地不明時，應詢問上網或接獲通訊之時間及地點）？如何發現？犯罪過程？</t>
  </si>
  <si>
    <t>請問他對你的侮辱(沒有敘述具體的事實，單純的謾罵、侮辱的行為、文字或圖片)是否有故意貶低你的人格、名譽、尊嚴？其行為為何？</t>
  </si>
  <si>
    <t>對方以何種方式(文字、言詞或其他方式)對你恐嚇？</t>
  </si>
  <si>
    <t>我是○○○年○○月○○日聲請，文號為臺灣新北地方法院跟蹤騷擾保護令文號為○○○年度○○字第○○○號。該保護令內容為「一、相對人不能對被聲請人實施身體或精神上不法侵害之行為。二、相對人不得對聲請人為下列聯絡行為：騷擾。三、本保護令之有效期間為○年。」</t>
  </si>
  <si>
    <t>你於何時？何地？遭何人妨害自由（強制罪）？請詳述案發經過。</t>
  </si>
  <si>
    <t>你於何時、何地發現遭人冒用身分或偽造文書之情事？請詳述經過。</t>
  </si>
  <si>
    <t>你遭行為人實施跟蹤騷擾行為，一共發生幾次或持續多久？</t>
  </si>
  <si>
    <t>你於何時、何地遭何人誣告？請詳述經過。</t>
  </si>
  <si>
    <t>姓名綽號性别特徵出生年月日出生地職業國民身分證統一編號</t>
  </si>
  <si>
    <t>你的文書送達地址為何？</t>
  </si>
  <si>
    <t>妳是否要聲請保護令？要聲請何種保護令（通常保護令／暫時保護令）？聲請保護令之相對人年籍資料為何？</t>
  </si>
  <si>
    <t>你是否需要親友或社工師到場陪同製作筆錄？</t>
  </si>
  <si>
    <t>發生擦撞之撞擊部位為何？車輀受損狀況？是否有估價單？</t>
  </si>
  <si>
    <t>用何種器具傷害你身體何處？使你何處受傷，傷勢如何？在哪家醫院診斷？是否能提出診斷證明書？</t>
  </si>
  <si>
    <t>承上述，你是否有上鎖？該竊嫌是否有使用工具竊取？</t>
  </si>
  <si>
    <t>你是否知道誰取走你的物品與侵占你物品之人的裝扮、特徵？</t>
  </si>
  <si>
    <t>該遭毀損之物為何人所有？在何處遭到毀損？以何方式遭到毀損？毀損程度如何？除對你住所（或所有物）毀損外，有無其他侵害行為？</t>
  </si>
  <si>
    <t>你的現住地及戶籍地</t>
  </si>
  <si>
    <t>請問他是否在公然的場所侮辱你？第三人是否可以聽得見、看得見、知情？是否有散布於眾？散布於何處？</t>
  </si>
  <si>
    <t>你看到對方恐嚇你的方式有何感受？</t>
  </si>
  <si>
    <t>你是否知道是何人違反你所聲請的保護令（保護令文號為○○○年度○○字第○○○號）？其年籍資料為何？</t>
  </si>
  <si>
    <t>對方是以何種行為限制你行動自由？（例如：肢體阻擋、鎖門、脅迫等）</t>
  </si>
  <si>
    <t>你如何確定遭他人偽造文書？對方以何種方式冒用你的名義？</t>
  </si>
  <si>
    <t>行為人第一次於何時、何地、以何種方式對你實施跟蹤騷擾行為？</t>
  </si>
  <si>
    <t>對方誣告你的內容為何？對方對你所為之指控具體為何？</t>
  </si>
  <si>
    <t>地址電話家庭及經濟狀況教育程度</t>
  </si>
  <si>
    <t>〈代號〉-〈代號〉號姓名對照表(彌封)之年籍資料是否正確？是否為你本人？</t>
  </si>
  <si>
    <t>相對人（對方）與你之關係為何？是否有同住家屬、子女監護或婚姻關係？</t>
  </si>
  <si>
    <t>依據犯罪被害人權益保障法第40條規定，應於製作筆錄時告知第35條、第36條規定（詳如保護命令告知書），是否清楚？有無註明意見？</t>
  </si>
  <si>
    <t>對於特定或不特定人士做不實指控或謊報、隱匿實情，致使公務人員於文書登載不實必須擔負法律責任，是否清楚？</t>
  </si>
  <si>
    <t>當時為何人駕駛？車號車種為何？你車上共乘幾人？對方駕駛為何人？車號車種為何？對方車上共乘幾人？</t>
  </si>
  <si>
    <t>有無其他物品遭毀損？</t>
  </si>
  <si>
    <t>該竊嫌是否有同伙？有幾人？往何方向逃逸？</t>
  </si>
  <si>
    <t>你是否清楚侵占你物品的人使用何交通工具？往何處逃逸？</t>
  </si>
  <si>
    <t>該名犯嫌是以何種方式毀損你之財物？有無使用工具？何種工具？逃逸時，有無使用交通工具？</t>
  </si>
  <si>
    <t>你們本次的交易內容是？你是否知道他們的交易商品為何？金額為何？</t>
  </si>
  <si>
    <t>你是否如何知悉他所罵是你？</t>
  </si>
  <si>
    <t>對方以何種平台或管道對你恐嚇？其可供識別之ID、名稱或聯絡方式為何？</t>
  </si>
  <si>
    <t>相對人○○○何時、何地對你違反保護令？相對人違反保護令之行為態樣為何？相對人違反保護令之行為態樣有無證據提供給警方？</t>
  </si>
  <si>
    <t>對方之行為是否使你無法自由離去、被迫行無義務之事？</t>
  </si>
  <si>
    <t>你的身分證、健保卡、印章、存摺等文件是否曾遺失或遭人竊取、借走？</t>
  </si>
  <si>
    <t>行為人是否有監視、觀察、跟蹤、盯梢、守候或尾隨你？請詳述情形。</t>
  </si>
  <si>
    <t>對方提告內容是否為扭曲捏造、無中生有之事？你如何認定渠意圖使你受刑事上處分？</t>
  </si>
  <si>
    <t>為利本案調查程序，並維護你的司法權益，有關你於警詢筆錄內所登載之現住地，將以你目前較常居住之地點為主（即接受警方通知後，方便前往釐清案情或提供佐證資料之地點），警方後續如有案情進展或偵查需求，將即時通知你前往該地點所在地之警察機關協助接受警詢或提供相關資料，對於前述內容你是否清楚?你目前的現住地是否與調查筆錄登載內容一致?你今日因何事至所製作筆錄?</t>
  </si>
  <si>
    <t>警方告知今(24)日因處理「〈代號〉-〈代號〉」115年03月23日所提性騷擾申訴及告訴事件通知你到場製作調查筆錄，是否清楚？</t>
  </si>
  <si>
    <t>你是否有遭受相對人身體或精神上不法侵害之情形？有無驗傷單、對話紀錄或證人可提供？</t>
  </si>
  <si>
    <t>遭拍攝/散布之性影像內容為何？你如何發現遭拍攝或散布？有無已知之散布平臺或網址？</t>
  </si>
  <si>
    <t>現場有無裝設監視器或其他人見聞？時間有無誤差？有無聯絡方式？有無佐證資料可提供警方?或有利事證須請警方協助調查?</t>
  </si>
  <si>
    <t>車禍當時有無向警方報案？警方有無到場處理？對方是否有留在現場或逃逸？現場是否有移動？有無拍照或標繪？</t>
  </si>
  <si>
    <t>你還記得傷害你的那個男子的特徵、外貌？</t>
  </si>
  <si>
    <t>該竊嫌有無使用交通工具？使用交通工具後，往何處逃逸？</t>
  </si>
  <si>
    <t>刑法第337條所規定侵占遺失物、漂流物或其他離本人持有之物，係指該物並非出於本人意思而脫離本人持有，且尚未落入任何人管領而持有之物，亦即依法律及一般社會通念尚難謂該物已與他人具有事實上監督及管領之支配關係而言。行為人取得該物時，該物若尚在持有權人支配管領所及範圍，應論以竊盜之罪，反之則應論以刑法第337條侵占遺失物、漂流物或其他離本人持有之物罪（最高法院110年度台上字第3477號判決意旨參照）。本案被害人將其
雨傘置放於自家店外傘架上，該物仍在其支配管領範圍內，而遭不明人士取走，應受理竊盜罪(列為第一案類)為宜。</t>
  </si>
  <si>
    <t>妳是否認識上述毀損妳物品的犯嫌？有無糾紛或仇恨？</t>
  </si>
  <si>
    <t>你為何會幫同崴股份有限公司進行交易？同崴股份有限公司的詳細資料是？你與同崴股份有限公司共進行過幾次交易？</t>
  </si>
  <si>
    <t>他是否有對你使用強制力（強暴手段）做出妨害名譽的行為？</t>
  </si>
  <si>
    <t>對方對你恐嚇之言語或行為，是否使你心生畏懼、感到害怕？為何會使你心生畏懼？</t>
  </si>
  <si>
    <t>你與相對人○○○是何種關係？相對人○○○於何時、何地對你實施家庭暴力？你是否有申請保護令？</t>
  </si>
  <si>
    <t>案發當時有無撥打110報案或至派出所報案？</t>
  </si>
  <si>
    <t>你與對方是否認識？雙方有無仇恨、糾紛或金錢借貸關係？</t>
  </si>
  <si>
    <t>行為人是否有以電話、簡訊、電子郵件、社群軟體或其他電子設備對你進行干擾？具體內容為何？</t>
  </si>
  <si>
    <t>對方指控與事實不符之處為何？你可否具體說明。</t>
  </si>
  <si>
    <t>為維護你的權益，你如有心理諮商需求，可撥打衛生福利部〈代號〉安心專線；如有社會救助需求，可撥打〈代號〉福利諮詢專線；如有法律扶助相關需求，可撥打法律扶助基金會412-〈代號〉轉2諮詢，對於前述內容你是否清楚？你是否有要轉介心理諮商？</t>
  </si>
  <si>
    <t>依性騷擾防治法第18條規定，因本案係權勢性騷擾以外之性騷擾事件，任一方當事人如有意願進行調解，得以書面或言詞向直轄市、縣（市）社政主管機關申請調解，你是否知悉？你是否有意願申請調解？</t>
  </si>
  <si>
    <t>為協助解決兩造紛爭，本案是否同意由地檢署轉介調解？</t>
  </si>
  <si>
    <t>你是否知悉依刑訴法第237條告訴期為六個月？是否曾經提告此案過？或是否曾經撤回告訴過？</t>
  </si>
  <si>
    <t>車禍當時有無人員受傷？受傷情形為何？當時有沒有叫救護車？有無前往醫院就醫並開立診斷證明？</t>
  </si>
  <si>
    <t>依北市警刑偵字第1133115422號所分，按刑法第337條所規定侵占遺失物、漂流物或其他離本人持有之物，係指該物並非出於本人意思而脫離本人持有，且尚未落入任何人管領而持有之物，亦即依法律及一般社會通念尚難謂該物已與他人具有事實上監督及管領之支配關係而言。行為人取得該物時，該物若尚在持有權人支配管領所及範圍，應論以竊盜之罪，反之則應論以刑法第337條侵占遺失物、漂流物或其他離本人持有之物罪（最高法院110年度台上字第3477號判決意旨參照）。本案被害人將其雨傘置放於自家店外傘架上，該物仍在其支配管領範圍內，而遭不明人士取走，應受理竊盜罪(列為第一案類)為宜。請問你是否清楚？要提告何告訴？</t>
  </si>
  <si>
    <t>你與你的海峽國際私人有限公司共使用電子郵件進行了幾次交易？</t>
  </si>
  <si>
    <t>請問他是否故意去散播會損害你的名譽的評價真偽具體事件或事實，而不只是單純的辱罵而已？使用何種方式(敘述、文字、圖像)？其內容為何？</t>
  </si>
  <si>
    <t>你與對方是否認識？雙方有無仇恨、嫌隙或金錢糾紛？對方為何要恐嚇你？</t>
  </si>
  <si>
    <t>你是否向法院聲請保護令？保護令之文號、核發日期及主文內容為何？</t>
  </si>
  <si>
    <t>遭冒用的文書內容為何？（例如：契約、證件申請、報稅、貸款等）</t>
  </si>
  <si>
    <t>行為人是否有對你為警告、威脅、嘲弄、辱罵、歧視或不當追求之言語、行動？</t>
  </si>
  <si>
    <t>你與對方為何種關係？雙方有無發生過嫌隙、糾紛或金錢債務關係？</t>
  </si>
  <si>
    <t>切勿輕信網路上自稱駭客或律師宣稱可追回詐騙款項的訊息，警察及司法機關也不會以任何名義要求你匯款或收取保證金，如接獲上述訊息請撥打165專線或向原報案警察機關查證，以免再次遭受詐騙，你是否了解？</t>
  </si>
  <si>
    <t>你現在精神狀況如何？是否可以製作詢問紀錄？</t>
  </si>
  <si>
    <t>你是否要提出告訴？提出何種告訴？是否曾向其他警察單位報案（有無開立證明單或未獲受理緣由過程）？是否附帶民事求償？有無與嫌犯和解或調解之意願？</t>
  </si>
  <si>
    <t>有無開立交通事故登記聯單？有無核發交通事故初步分析研判表？肇事原因為何？有無申請鑑定？</t>
  </si>
  <si>
    <t>你公司的電子郵件遭冒用的帳號是？</t>
  </si>
  <si>
    <t>他所使你損害名譽是否出於自衛、自辯或保護合法之利益或可受公評之事，而為適當之評論？</t>
  </si>
  <si>
    <t>對方除上開恐嚇行為外，有無其他恐嚇行為或財物損失？</t>
  </si>
  <si>
    <t>相對人何時、何地違反保護令？相對人違反保護令之行為態樣為何？</t>
  </si>
  <si>
    <t>對方有無使用工具或攜帶武器？現場有無其他人在場目睹？</t>
  </si>
  <si>
    <t>經警方提示相關文書供你辨識，其上簽名是否非你本人所簽？</t>
  </si>
  <si>
    <t>你與行為人是否認識？雙方關係為何？有無感情糾紛或金錢糾紛？</t>
  </si>
  <si>
    <t>你是否可提供與對方之通訊紀錄、證人或相關文件供警方偵辦？</t>
  </si>
  <si>
    <t>意圖使公務員登載不實或誣告他人將負刑事責任，你是否清楚？</t>
  </si>
  <si>
    <t>你於民國114年02月09日16:00許人在何處？發生何事？請詳述。</t>
  </si>
  <si>
    <t>你是否知悉依刑事訴訟法第 238 條 告訴乃論之罪，告訴人於第一審辯論終結前，得撤回其告訴。撤回告訴之人，不得再為同一件事提出告訴？</t>
  </si>
  <si>
    <t>你車禍發生時有無服用酒類或其他含有酒精成分之飲品或食品？有無實施酒精濃度測試？</t>
  </si>
  <si>
    <t>你是否清楚共有幾人，接收到假冒你公司的名義所發出之電子郵件詐騙訊息？相關資料為何？</t>
  </si>
  <si>
    <t>他所使你損害名譽是否能證明其為真實？</t>
  </si>
  <si>
    <t>你是否要對該恐嚇之人提出告訴？欲提出何種告訴？</t>
  </si>
  <si>
    <t>相對人違反保護令之行為是否造成你身體或精神上之傷害？有無驗傷或就醫紀錄？</t>
  </si>
  <si>
    <t>經警方提供監視器（行車紀錄器）畫面，畫面中之行為人是否為對方？</t>
  </si>
  <si>
    <t>對方有無因此獲得利益或使你受有損害？</t>
  </si>
  <si>
    <t>對方之行為是否違反你的意願且令你心生畏怖？是否足以影響你的日常生活或社會活動？</t>
  </si>
  <si>
    <t>此次遭對方誣告有無造成你名譽、財產或精神上之損失？</t>
  </si>
  <si>
    <t>你(29)日因何事至本所製作詢問筆錄？</t>
  </si>
  <si>
    <t>請詳述案發過程。</t>
  </si>
  <si>
    <t>如警方通知涉嫌人後，你是否同意與對方和解？</t>
  </si>
  <si>
    <t>你當下行駛過程中是否有在車上使用行動電話或其他足以造成行車安全之行為?對方是否有使用？</t>
  </si>
  <si>
    <t>你公司的電子郵件，使用平台為何？有無裝設防毒軟體？你公司是否有資管相關設備？</t>
  </si>
  <si>
    <t>你是否要請求依民法第18條或民法第184、195條的損害賠償或回復名譽？</t>
  </si>
  <si>
    <t>相對人違反保護令當時有無其他人目睹？有無證據（監視器、錄音、簡訊、對話紀錄）可提供警方？</t>
  </si>
  <si>
    <t>當下你有無受傷？有無驗傷證明或其他事證？</t>
  </si>
  <si>
    <t>你是否可提供相關證據或與對方之聯絡紀錄供警方偵辦？</t>
  </si>
  <si>
    <t>你是否曾向行為人表達不滿、抗議或拒絕？有無蒐證或報警紀錄？</t>
  </si>
  <si>
    <t>你是否願意配合臺北地檢署轉介調解業務？</t>
  </si>
  <si>
    <t>你是否願意由警察機關現場協助你安裝警政服務APP或追蹤165全民防騙臉書粉絲專頁，以利接收最新反詐騙資訊？</t>
  </si>
  <si>
    <t>你現在任職單位的職稱(位)為何？任現職多久？工作內容為何？薪資由何人支應？（釐清性平三法之適用）</t>
  </si>
  <si>
    <t>你是否需要鑑識小隊採證？</t>
  </si>
  <si>
    <t>你是否有裝設行車紀錄器?是否知悉對方有無裝設?你是否清楚案發地有無監視器的設置?</t>
  </si>
  <si>
    <t>你公司的電子郵件帳號是否有借予他人使用過？是否有其他人知道你公司的電子郵件帳號及密碼？</t>
  </si>
  <si>
    <t>相對人是否知悉保護令之內容及效力？你是否已將保護令送達或告知相對人？</t>
  </si>
  <si>
    <t>你是否要對該嫌疑人提出告訴？提出何種告訴？</t>
  </si>
  <si>
    <t>你是否要向對方提出告訴？</t>
  </si>
  <si>
    <t>你是否要向對方提出跟蹤騷擾罪告訴？是否需轉介社福單位？</t>
  </si>
  <si>
    <t>你是否要提出告訴？提出何種告訴？</t>
  </si>
  <si>
    <t>你於何時？何地？遭何人詐騙？請詳述詐欺之過程。</t>
  </si>
  <si>
    <t>是否領有身心障礙證明？是否經醫囑使用精神藥物？身障類別、鑑定向度及障礙程度為何？</t>
  </si>
  <si>
    <t>案件後續司法文書有無指定收件之處所？是否能提供聲請變更送達處所狀？</t>
  </si>
  <si>
    <t>事後你與對方有無商談相關賠償事宜?是否有達成和解？</t>
  </si>
  <si>
    <t>你是否清楚是何人冒用你的名義？你是否清楚犯嫌是如何得知你與你的客戶使用電子郵件進行交易的？你是否清楚犯嫌是如何得知你公司的電子郵件帳戶的？你都在何處使用電腦上網並使用電子郵件的？</t>
  </si>
  <si>
    <t>相對人除本案外，有無其他違反保護令或家庭暴力之前案紀錄？</t>
  </si>
  <si>
    <t>你如何得知信用卡遭盜刷？總共損失金額？</t>
  </si>
  <si>
    <t>你有無因本事件產生焦慮、失眠、惡夢、食慾不振等情況？</t>
  </si>
  <si>
    <t>你是否確定要撤回告訴？為何你要撤回告訴？請詳述原因。撤回告訴狀與和解書是否由你親自填寫？是否能提供給警方？</t>
  </si>
  <si>
    <t>你有無向調解委員會聲請調解程序？調解情形為何？</t>
  </si>
  <si>
    <t>該犯嫌共假冒你公司的電子郵件帳號幾次？於何時開始假冒你公司的名義？ 到目前為止，是否有因為你公司的電子郵件帳戶遭犯嫌冒用， 而發生任何財物損失？</t>
  </si>
  <si>
    <t>你目前居住處所是否安全？是否需警方協助戒護或轉介社福單位？</t>
  </si>
  <si>
    <t>遭詐欺對您經濟、生活、工作、身體、心理、精神、婚姻、家庭造成的影響、具體損害金額及影響情形？能否提出可資佐證上開影響及情形之證據？</t>
  </si>
  <si>
    <t>你是否認識被害人？是否曾有仇怨糾紛或借貸關係？</t>
  </si>
  <si>
    <t>你能提供何種資料(事故聯單、初判表、車鑑表、驗傷單)供警方後續偵辦使用?</t>
  </si>
  <si>
    <t>針對本案，你是否有向交易的對象表示，你的電子郵件遭不明犯嫌冒用？</t>
  </si>
  <si>
    <t>你是否要向對方提出違反保護令罪告訴？</t>
  </si>
  <si>
    <t>你信用卡分別於何時何地遭盜刷？總共遭盜刷幾次？總損失多少？有無明細可供警方參考？</t>
  </si>
  <si>
    <t>針對以上所述，是否可以提供警方相關佐證資料以證明之你所主張之真實性？</t>
  </si>
  <si>
    <t>以上所述是否屬實？有無其他意見補充？</t>
  </si>
  <si>
    <t>你是否要對詐騙你的嫌犯提出詐欺告訴？有無與嫌犯和解或調解之意願？</t>
  </si>
  <si>
    <t>以上所言是否屬實？有無其他補充意見？</t>
  </si>
  <si>
    <t>你是否要提出告訴？對何人提出何種告訴？</t>
  </si>
  <si>
    <t>以上內容是否為你自由意識下所為之陳述？</t>
  </si>
  <si>
    <t>請問你是否要對詐欺你的人提出詐欺告訴？</t>
  </si>
  <si>
    <t>以上所言是否實在？有無其他補充陳述之意見？</t>
  </si>
  <si>
    <t>涉嫌人通用</t>
  </si>
  <si>
    <t>撤回告訴</t>
  </si>
  <si>
    <t>性騷擾防治法</t>
  </si>
  <si>
    <t>逃逸外勞</t>
  </si>
  <si>
    <t>妨害秩序</t>
  </si>
  <si>
    <t>警方所告知之罪名及權利你是否清楚?你有無刑案紀錄？</t>
  </si>
  <si>
    <t>警方有無告知你的應告知事項及罪名？你有無前述具有原住民、低收入戶或心智障礙等身分？有無需要請親友或辯護人到場？</t>
  </si>
  <si>
    <t>上記年籍資料是否正確？是否有刑案紀錄？你現在精神狀況是否清楚？</t>
  </si>
  <si>
    <t>是否領有身心障礙證明？</t>
  </si>
  <si>
    <t>你是否為未滿12歲兒童之父母、監護人或其他實際照顧兒童之人？</t>
  </si>
  <si>
    <t>你是何時、何地逃逸？因何事逃逸？</t>
  </si>
  <si>
    <t>上記年籍資料是否正確？是否有刑案紀錄？現在精神狀況是否清楚？</t>
  </si>
  <si>
    <t>你是否具有低收入戶、中低收入戶、原住民或其他依法令得請求法律扶助者的身分？妳是否需要通知親屬、法扶或委任律師陪同到場？</t>
  </si>
  <si>
    <t>你為何要拿取該物品？</t>
  </si>
  <si>
    <t>現因警力不足，你是否同意警方一人為你製作筆錄？</t>
  </si>
  <si>
    <t>上述警方所告知涉嫌罪名及得行使之權利，你是否清楚？你是否具有身心障礙、低收入戶、中低收入戶及原住民等身分？是否需要請辯護人及親友到場陪同製作筆錄？</t>
  </si>
  <si>
    <t>警方所告知涉嫌罪名及得行使之權利，你是否清楚？你是否具有身心障礙、低收入戶、中低收入戶及原住民等身分？是否需要請辯護人及親友到場陪同製作筆錄？</t>
  </si>
  <si>
    <t>警方告知你涉嫌妨害名譽罪名及得行使之三項權利，你是否清楚？你是否具有身心障礙、低收入戶、中低收入戶及原住民等身分？是否需要請辯護人及親友到場陪同製作筆錄？</t>
  </si>
  <si>
    <t>警方告知你涉嫌恐嚇罪名及得行使之三項權利，你是否清楚？你是否具有身心障礙、低收入戶、中低收入戶及原住民等身分？是否需要請辯護人及親友到場陪同製作筆錄？</t>
  </si>
  <si>
    <t>警方告知今(  )日因處理「代號：○○○」○○○年○○月○○日所提性騷擾申訴事件通知你到場製作詢問紀錄，是否清楚?</t>
  </si>
  <si>
    <t>你目前居於何處？是否有收到法院或地方檢察署通知傳票？為何未出庭？</t>
  </si>
  <si>
    <t>未滿12歲之兒童現在是否有人照顧？未滿12歲兒童之現居地？由何人照顧？照顧人聯絡資料？是否有獲得適當之照顧？</t>
  </si>
  <si>
    <t>你逃逸期間有無打工？在何處打工？居住何處？</t>
  </si>
  <si>
    <t>警方告知你涉嫌妨害秩序罪名及得行使之三項權利，你是否清楚？你是否具有身心障礙、低收入戶、中低收入戶及原住民等身分？是否需要請辯護人及親友到場陪同製作筆錄？</t>
  </si>
  <si>
    <t>警方告知你涉嫌妨害自由罪名及得行使之三項權利，你是否清楚？你是否具有低收入戶、中低收入戶及原住民等身分？是否需要請辯護人到場陪同製作筆錄？</t>
  </si>
  <si>
    <t>警方告知你涉嫌偽造文書、使公務員登載不實罪名及得行使之三項權利，你是否清楚？是否需要請辯護人到場？</t>
  </si>
  <si>
    <t>警方告知你涉嫌違反跟蹤騷擾防制法罪名及得行使之三項權利，你是否清楚？是否需要請辯護人到場？</t>
  </si>
  <si>
    <t>警方告知你涉嫌誣告罪名及得行使之三項權利，你是否清楚？是否需要請辯護人到場？</t>
  </si>
  <si>
    <t>警方告知你涉嫌違反保護令罪及得行使之三項權利，你是否清楚？是否需要請辯護人到場？</t>
  </si>
  <si>
    <t>依據提審法第1條之規定，人民被法院以外之任何機關逮捕、拘禁時，其本人或他人得向逮捕、拘禁地之地方法院聲請提審。但其他法律規定得聲請及時由法院審查者，依其規定。前項聲請及第10條之抗告，免徵費用，你是否清楚此規定？是否需要聲請提審？</t>
  </si>
  <si>
    <t>你拿取該物品時，有無結帳？</t>
  </si>
  <si>
    <t>上開年籍資料是否為你本人？是否正確？</t>
  </si>
  <si>
    <t>現因警力不足，是否同意由警方一人為你製作筆錄？</t>
  </si>
  <si>
    <t>你現在精神狀況如何？是否可以製作詢問紀錄?</t>
  </si>
  <si>
    <t>你飲酒結束時間為何？且至警方將你攔停時間是否已經超過15分鐘以上？警方於現場施測前有無提供礦泉水讓你漱口或飲用？</t>
  </si>
  <si>
    <t>通緝期間你目前經濟來源為何？有無他人幫你藏匿，及再犯其他刑案？</t>
  </si>
  <si>
    <t>毒品危害防制條例第十七條第一項規定：「犯第四條至第八條、第十條或第十一條之罪，供出毒品來源，因而查獲其他正犯或共犯者，減輕或免除其刑」；第二項規定：「犯第四條至第八條之罪於偵查及審判中均自白者，減輕其刑」你是否清楚？</t>
  </si>
  <si>
    <t>你逃逸期間經濟來源為何？</t>
  </si>
  <si>
    <t>你是否為低收入戶、中低收入戶、原住民身分？是否領有身心障礙證明手冊？</t>
  </si>
  <si>
    <t>你是否為低收入戶、中低收入戶、原住民身分？是否領有身心障礙證明？現因警力不足，是否同意由警方一人為你製作筆錄？</t>
  </si>
  <si>
    <t>你今（6/19）因何事前來派出所製作調查筆錄？</t>
  </si>
  <si>
    <t>你今日因何事至派出所製作筆錄？</t>
  </si>
  <si>
    <t>依刑法第57條規定，犯案後之態度將作為檢察官及法官日後審案量刑之依據，你是否清楚？是否願意向警方據實陳述？</t>
  </si>
  <si>
    <t>你今日因何事至本所製作筆錄？</t>
  </si>
  <si>
    <t>贓物認領保管單是否為妳本人確認無誤後親自簽名?</t>
  </si>
  <si>
    <t>你現在任職單位為何?職稱(位)為何？任現職多久？工作內容為何?薪資由何人支應? （釐清性平三法之適用，並請詳加調查行為人所屬單位或是否為最高負責人）</t>
  </si>
  <si>
    <t>你於發布通緝日之後，有無再犯其他案件？</t>
  </si>
  <si>
    <t>你是否知道如主動供出毒品之上游來源，使警方因而破獲者，依法可獲得減刑？</t>
  </si>
  <si>
    <t>你是逃逸外勞依法須遣送離台有無意見？</t>
  </si>
  <si>
    <t>依刑法第57條規定，犯案後之態度將作為日後檢察官及法官量刑之依據，你是否清楚？是否願意向警方據實陳述？</t>
  </si>
  <si>
    <t>你拿取物品時有無使用工具？</t>
  </si>
  <si>
    <t>你於何時、何地、如何取得該物品？你取得該物品時，是否知悉該物品係他人所有？請詳述案發經過。</t>
  </si>
  <si>
    <t>你是否為該帳號之申請人或所有人？該帳號平時由何人使用？</t>
  </si>
  <si>
    <t>警方受理被害人報案稱你於何時、何地對渠發表何種言論或行為，你是否知悉此事？</t>
  </si>
  <si>
    <t>警方受理被害人報案稱你於何時、何地，以何種言語或行為使渠心生畏懼，你是否知悉此事？</t>
  </si>
  <si>
    <t>為何你要撤回告訴？請詳述原因。撤回告訴狀與和解書是否由你親自填寫？是否能提供給警方？</t>
  </si>
  <si>
    <t>你於○○○年○○月○○日○○時○○分（被害人指述之時間）人在何處?發生何事?請詳述?</t>
  </si>
  <si>
    <t>你於何時？何地？因何事為警方查獲？現場尚有何人？</t>
  </si>
  <si>
    <t>你目前身上有多少現金？你的護照目前在何處?</t>
  </si>
  <si>
    <t>警方受理被害人報案稱你於何時、何地，有無實施丟擲鞭炮、噴灑滅火器等足以妨害公共秩序之行為，你是否知悉此事？</t>
  </si>
  <si>
    <t>你拿取物品後往何處離開？有無使用交通工具？</t>
  </si>
  <si>
    <t>據被害人指稱渠於案發當日掉落該物品，與你所稱拾取該物品之經過是否相符？</t>
  </si>
  <si>
    <t>警方受理被害人報案稱渠所有之物品於案發時、地遭人毀損，你是否知悉此事？</t>
  </si>
  <si>
    <t>你是否曾將該帳號、密碼提供或借予他人使用？或告知他人帳號密碼？</t>
  </si>
  <si>
    <t>你是否有於網路上或公開場所發表上開言論？請說明該言論之內容及散布管道。</t>
  </si>
  <si>
    <t>你是否曾對被害人說出上開言語或做出上開行為？請說明當時情形。</t>
  </si>
  <si>
    <t>依刑事訴訟法第 238 條 告訴乃論之罪，告訴人於第一審辯論終結前，得撤回其告訴。撤回告訴之人，不得再為同一件事提出告訴。你是否確定要撤回告訴？</t>
  </si>
  <si>
    <t>被害人向警方指稱…（被害人對行為人之指訴內容），是否屬實?</t>
  </si>
  <si>
    <t>你於何時、何地與何人一同喝酒？是飲用何種酒？共喝多少？你於何時結束飲酒？飲酒後騎乘何駕駛工具？車號？該車主為何人？</t>
  </si>
  <si>
    <t>你當場為警方查獲何物？係何人所有？有何用途？</t>
  </si>
  <si>
    <t>你是否可以備妥金錢、機票及護照？警方將把你移交內政部移民署遣返回國，是否清楚？</t>
  </si>
  <si>
    <t>你是否曾於上開時、地做出上開行為？請說明當時情形。</t>
  </si>
  <si>
    <t>警方受理被害人報案稱你於何時、何地，有無以肢體、言語或其他方法妨害渠行動自由，你是否知悉此事？</t>
  </si>
  <si>
    <t>被害人報案稱你於何時、何地對渠實施監視、觀察、跟蹤、盯梢、守候或尾隨等行為，你是否知悉此事？</t>
  </si>
  <si>
    <t>被害人報案稱你明知虛偽仍向檢察官或警察機關提出刑事告訴，意圖使渠受刑事處分，你是否知悉此事？</t>
  </si>
  <si>
    <t>被害人指稱你於何時、何地違反法院核發之保護令，你是否知悉此事？</t>
  </si>
  <si>
    <t>你於何時、何地遭受行為人實施性騷擾行為？請詳述案發過程</t>
  </si>
  <si>
    <t>你是否知悉於警詢筆錄中做不實陳述須負法律責任?</t>
  </si>
  <si>
    <t>你是否願意前往商家結帳？是否願意提供明細？</t>
  </si>
  <si>
    <t>你取得該物品後，將該物品放置於何處？</t>
  </si>
  <si>
    <t>警方出示監視器畫面供你辨識，畫面中之行為人是否為你本人？</t>
  </si>
  <si>
    <t>你於何時、何地、如何登入使用該帳號？最後一次登入使用該帳號是何時？</t>
  </si>
  <si>
    <t>你為何要發表上開言論？目的為何？</t>
  </si>
  <si>
    <t>經警方出示監視器畫面或對話紀錄，畫面（內容）中之人是否為你本人？</t>
  </si>
  <si>
    <t>你是否為被害人所指稱之行為人?</t>
  </si>
  <si>
    <t>依就業服務法第60條規定，若查無非法容留、聘僱或媒介外國
人從事工作者及遣送事由可歸責之雇主者，其收容費用應由被
遣送之外國人負擔，你是否清楚？</t>
  </si>
  <si>
    <t>經警方出示監視器畫面供你辨識，畫面中之行為人是否為你本人？</t>
  </si>
  <si>
    <t>經警方出示監視器（行車紀錄器）畫面供你辨識，畫面中之行為人是否為你本人？</t>
  </si>
  <si>
    <t>被害人報案稱你未經同意擅自使用渠身分資料、冒名簽署或行使偽造文書，你是否知悉此事？</t>
  </si>
  <si>
    <t>承上，你是否有以電話、簡訊、電子郵件、社群軟體或其他電子通訊設備，對被害人反覆或持續干擾？請說明具體內容。</t>
  </si>
  <si>
    <t>你是否曾向地檢署、法院或警察機關提出告訴、告發或申告？內容為何？請詳述。</t>
  </si>
  <si>
    <t>你是否知悉被害人已向法院聲請保護令並經核發？有無收到保護令之送達？</t>
  </si>
  <si>
    <t>你有無為自己或他人推卸刑責而向警方為不實陳述？</t>
  </si>
  <si>
    <t>該物品現於何處？是否可以當場交付予警方？</t>
  </si>
  <si>
    <t>經警方提示監視器畫面，你是否確有毀損他人之物品？請說明當時情形。</t>
  </si>
  <si>
    <t>該帳號之登入裝置、地點與時間為何？有無他人同時使用該帳號之情形？</t>
  </si>
  <si>
    <t>上開言論所述內容是否屬實？有無相當理由確信其為真實？你有無事前查證？</t>
  </si>
  <si>
    <t>你為何要對被害人說出上開言語或做出上開行為？目的為何？</t>
  </si>
  <si>
    <t>○○網域虛擬代號「○○」是否為你本人使用?（網路性騷擾使用）</t>
  </si>
  <si>
    <t>你於108年7月1日酒駕新法上路後是否有因酒後駕車遭警方查獲？</t>
  </si>
  <si>
    <t>遭警方逮捕時有無受傷？逃逸期間有無遭人虐待？</t>
  </si>
  <si>
    <t>你為何要為上開行為？目的為何？</t>
  </si>
  <si>
    <t>你是否曾阻止被害人離去、限制渠行動或強迫渠行無義務之事？請說明當時情形。</t>
  </si>
  <si>
    <t>你是如何取得被害人之身分證件、帳戶資料或印章等文件？請詳述來源。</t>
  </si>
  <si>
    <t>你是否曾對被害人為警告、威脅、嘲弄、辱罵、歧視或不當追求之言語、行動？</t>
  </si>
  <si>
    <t>你提告當時所陳述之事實是否屬實？有何根據或證據？</t>
  </si>
  <si>
    <t>你違反保護令之行為為何？（例如：接近被害人住居所、以電話或訊息騷擾、實施暴力等）請詳述。</t>
  </si>
  <si>
    <t>警方製作警詢筆錄時，有無全程錄音錄影？</t>
  </si>
  <si>
    <t>你為何要侵占該物品？</t>
  </si>
  <si>
    <t>你為何要毀損該物品？目的為何？</t>
  </si>
  <si>
    <t>你是否知悉他人未經授權入侵、登入或使用該帳號？你如何知悉？</t>
  </si>
  <si>
    <t>你所發表之言論係指涉何人？是否知悉該言論會貶損他人名譽？</t>
  </si>
  <si>
    <t>你為上開行為時，有無其他人共同參與？有無受人指使、教唆？</t>
  </si>
  <si>
    <t>你對被害人之指述作何主張?請詳加描述當時情況?</t>
  </si>
  <si>
    <t>店家是否有告知酒後不能駕車，或是提供勿酒後駕車之標語，標示?請問你為何會有酒後駕車的行為？</t>
  </si>
  <si>
    <t>你於何時、何地、以何種方式冒用被害人名義製作或行使何種文書？請說明該文書之種類、內容及用途。</t>
  </si>
  <si>
    <t>經警方提示監視器畫面或被害人提供之對話紀錄供你辨識，畫面（紀錄）中之人是否為你本人？你承不承認？</t>
  </si>
  <si>
    <t>承上，經警方查明被害人所稱與事實不符，你有何解釋？是否有誤認、誤信或受人誤導之情形？</t>
  </si>
  <si>
    <t>被害人報案前你是否已知悉保護令之內容？保護令主文禁止你做何事？</t>
  </si>
  <si>
    <t>警方於偵訊時你所陳述之事實是否為你自由意識下所陳述？警方有無以強暴脅迫等不正方法對你取供？警方在逮捕你時，有無使你受傷？</t>
  </si>
  <si>
    <t>你是如何侵占該物品？有無使用工具或遮掩？</t>
  </si>
  <si>
    <t>你是如何毀損該物品？有無使用工具？使用何種工具？</t>
  </si>
  <si>
    <t>你是否同意或授權他人使用該帳號？有無書面或其他證明？</t>
  </si>
  <si>
    <t>你發表上開言論時，現場有無其他人在場或見聞？</t>
  </si>
  <si>
    <t>你是否認識被害人？雙方有無仇恨、糾紛或其他利益衝突？</t>
  </si>
  <si>
    <t>（就陳述之疑點反問）</t>
  </si>
  <si>
    <t>你酒後駕車期間是否有與人發生交通事故？</t>
  </si>
  <si>
    <t>你最後一次施用毒品係於何時、何地、如何施用？</t>
  </si>
  <si>
    <t>你是否認識被害人（報案人）？雙方有無仇恨、糾紛或嫌隙？</t>
  </si>
  <si>
    <t>經警方提示相關文書（契約、證件申請書、報稅資料等）供你辨識，其上簽名是否為你本人所簽？你承不承認？</t>
  </si>
  <si>
    <t>你為何要為上開行為？是否知悉被害人已明確表達不願與你往來或請你不要靠近？</t>
  </si>
  <si>
    <t>你提出上開告訴之目的為何？有無圖使被害人受刑事或懲戒處分之意圖？</t>
  </si>
  <si>
    <t>你為何要違反保護令之規定接近或騷擾被害人？目的為何？</t>
  </si>
  <si>
    <t>警方於偵訊時你所陳述之事實是否為你自由意識下所陳述？警方有無以強暴脅迫等不正方法對你取供？</t>
  </si>
  <si>
    <t>你侵占該物品時，有無其他共犯？有無受他人指使、教唆？</t>
  </si>
  <si>
    <t>你犯案時有無其他人陪同？是否共同實施？有無受人唆使？</t>
  </si>
  <si>
    <t>你有無點擊不明網站連結、釣魚郵件或提供驗證碼予他人？</t>
  </si>
  <si>
    <t>你發表上開言論時，有無其他人共同參與？有無受人指使、教唆？</t>
  </si>
  <si>
    <t>你是否知悉你所為之言語或行為足以使人心生畏懼？</t>
  </si>
  <si>
    <t>你對被害人施以前揭行為時，被害人有何反應(反抗或制止行為)?</t>
  </si>
  <si>
    <t>警方於查獲你時，妳車上是否有附載未滿12歲之人或其他乘客？</t>
  </si>
  <si>
    <t>你使用之電話號碼？其申登人為何？開機密碼？鎖屏密碼？</t>
  </si>
  <si>
    <t>你是否知悉你所為之行為足以造成公眾或他人生命、身體、財產之危險或心生畏懼？</t>
  </si>
  <si>
    <t>你是否認識被害人？雙方有無仇恨、糾紛或金錢借貸關係？</t>
  </si>
  <si>
    <t>你為上開偽造行為之目的為何？有無獲得任何利益？</t>
  </si>
  <si>
    <t>你與被害人為何種關係？雙方有無感情糾紛、金錢借貸或其他仇恨？</t>
  </si>
  <si>
    <t>你與被害人為何種關係？雙方有無糾紛、嫌隙或金錢債務關係？</t>
  </si>
  <si>
    <t>你與被害人為何種關係？雙方有無糾紛或誤會？</t>
  </si>
  <si>
    <t>物品是否為你同意並主動交付？且搜索扣押筆錄是否由你親自審視後，並簽名捺印？</t>
  </si>
  <si>
    <t>你是否認識該物品之所有人？有無仇恨或糾紛？</t>
  </si>
  <si>
    <t>你是否認識該物品之所有人？雙方有無仇恨、糾紛或金錢借貸關係？</t>
  </si>
  <si>
    <t>經警方出示登入紀錄，畫面中所示之登入時間、IP位址是否為你所為？</t>
  </si>
  <si>
    <t>你是否知悉恐嚇他人屬違法行為？</t>
  </si>
  <si>
    <t>為何要對被害人施予前揭行為?</t>
  </si>
  <si>
    <t>你身體有無任何不適之症狀?如發燒?你於駕車前是否有使用酒精成分物（食）品（如蜂膠、感冒糖漿、漱口水）等物？</t>
  </si>
  <si>
    <t>你近日是否有服用其他藥品？</t>
  </si>
  <si>
    <t>你是否知悉妨害秩序屬違法行為？</t>
  </si>
  <si>
    <t>你是否知悉妨害他人行動自由屬違法行為？</t>
  </si>
  <si>
    <t>你是否收到警方核發之書面告誡或法院核發之保護令？知悉其內容嗎？</t>
  </si>
  <si>
    <t>你提告時是否明知所述內容為虛偽不實？當時是否知悉誣告屬違法行為？</t>
  </si>
  <si>
    <t>經警方提示監視器畫面或被害人提供之對話紀錄，畫面（紀錄）中之人是否為你本人？你承不承認？</t>
  </si>
  <si>
    <t>你當時有無使用交通工具前來或離去？你是否為該車輛之車主？有無相關證明可供佐證？</t>
  </si>
  <si>
    <t>你毀損他人物品後，前往何處？做何事？</t>
  </si>
  <si>
    <t>你為何要入侵、盜用該帳號？目的為何？</t>
  </si>
  <si>
    <t>你是否知悉發表不實言論或公然侮辱屬違法行為？</t>
  </si>
  <si>
    <t>你有無相關對話紀錄、通聯紀錄或其他證據可提供警方？</t>
  </si>
  <si>
    <t>你是如何與對方發生車禍？對方車牌為何</t>
  </si>
  <si>
    <t>你有無因施用毒品經緩起訴處分、觀察勒戒或強制戒治？</t>
  </si>
  <si>
    <t>你有無相關監視器畫面、對話紀錄或其他證據可提供警方？</t>
  </si>
  <si>
    <t>你有無相關行車紀錄器、監視器畫面、對話紀錄或其他證據可提供警方？</t>
  </si>
  <si>
    <t>你是否知悉反覆或持續實施跟蹤騷擾行為，經被害人報案並令渠心生畏怖，屬違法行為？</t>
  </si>
  <si>
    <t>你為上開行為時，有無其他人共同參與？有無受人教唆、指使？</t>
  </si>
  <si>
    <t>你是否知悉違反保護令屬刑事犯罪，可處有期徒刑、拘役或罰金？</t>
  </si>
  <si>
    <t>警方出示監視器畫面供你辨識，畫面中之男子是否為你本人？</t>
  </si>
  <si>
    <t>你是否知道毀損他人物品屬違法之行為？</t>
  </si>
  <si>
    <t>你入侵該帳號時，有無使用工具、程式或特殊技術？有無其他共犯或受人指使、教唆？</t>
  </si>
  <si>
    <t>你事後有無刪除該言論或向被害人道歉、澄清？</t>
  </si>
  <si>
    <t>因本案為告訴乃論之罪，你是否願意配合臺北地檢署進行調解？</t>
  </si>
  <si>
    <t>你是否認識被害人？是否曾有仇怨糾紛或借貸關係?</t>
  </si>
  <si>
    <t>你當時行駛之車道為何？車速為何？行經上述肇事路口時路口號誌為何？</t>
  </si>
  <si>
    <t>你是否仍在緩起訴期間？(如答是，請續問在哪個地檢署?哪個醫療院所?)</t>
  </si>
  <si>
    <t>你是否願意配合臺北地檢署進行調解？</t>
  </si>
  <si>
    <t>你是否願意配合臺北地檢署進行調解或和解？</t>
  </si>
  <si>
    <t>你是否清楚未經他人同意冒用其身分、偽造或變造文書屬違法行為？</t>
  </si>
  <si>
    <t>你有無相關事證可證明你提告時係出於合理懷疑或誤認？</t>
  </si>
  <si>
    <t>你有無有利之證據可提供警方，或有請求警方調查之處？</t>
  </si>
  <si>
    <t>該帳號遭使用後，有無不明款項匯出、匯入或其他財務損失？</t>
  </si>
  <si>
    <t>你事後有無向被害人道歉或採取補救措施？</t>
  </si>
  <si>
    <t>被害人任職(所屬)單位機構?職稱(職位)為何?與你係何關係?( 釐清性平三法之適用：有無共同作業(同事)或業務（商務）往來?雙方有無雇傭、從屬、監督及其他權力不對等之權勢關係)</t>
  </si>
  <si>
    <t>你是否知悉你碰撞自小客貨6N-5698車體何處？</t>
  </si>
  <si>
    <t>你是否知道各地方政府毒品危害防制中心有連結社政、衛政、醫療等資源，為藥癮者本人或家屬提供諮詢服務，包含戒癮治療、愛滋病篩檢、心理輔導、醫療諮詢、社會扶助、職業訓練及就業協助等？</t>
  </si>
  <si>
    <t>你有無相關契約、簽名、影像或通訊紀錄等證據可提供警方？</t>
  </si>
  <si>
    <t>你有無相關通訊紀錄、影像或其他證據可提供警方？</t>
  </si>
  <si>
    <t>你是否願意配合臺北地檢署調解或與被害人達成和解？</t>
  </si>
  <si>
    <t>你事後有無停止騷擾行為或採取補救措施？是否願意配合調解或和解？</t>
  </si>
  <si>
    <t>以上筆錄是否為你自由意識下之陳述？警方有無使用暴力、脅迫、威脅、利誘或其他不正方法向你取供？警方製作筆錄過程中有無全程錄音、錄影？</t>
  </si>
  <si>
    <t>上開筆錄是否為你自由意識下之陳述？警方有無以強暴、脅迫或其他不正方法向你取供？</t>
  </si>
  <si>
    <t>你有無相關登入紀錄、通聯紀錄或其他證據可提供警方？</t>
  </si>
  <si>
    <t>你有無相關對話紀錄、發文紀錄或其他證據可提供警方？</t>
  </si>
  <si>
    <t>警方在製作筆錄時，你的精神狀況如何？意識是否清楚？有無遭警方脅迫或威脅等違法情事？</t>
  </si>
  <si>
    <t>依性騷擾防治法第18條規定，因本案係權勢性騷擾以外之性騷擾事件，任一方當事人如有意願進行調解，得以書面或言詞向直轄市、縣（市）社政主管機關申請調解，你是否知悉?你是否有意願申請調解? (如非適用性騷擾防治法，或本案涉及權勢性騷擾，請刪除)</t>
  </si>
  <si>
    <t>你是否知悉你酒後駕車肇事後有無造成任何人受傷？</t>
  </si>
  <si>
    <t>上述政府機關提供的各項服務方案，是為了協助藥癮者及早接受戒癮治療及回復社會生活，請問你是否有意願接受轉介，並由你本人自行前往毒品危害防制中心接受協助？（警方僅會協助將你的資料轉介給毒品危害防制中心進行評估及提供服務，不會派員陪你前往該處）</t>
  </si>
  <si>
    <t>你事後有無歸還相關證件或採取補救措施？是否願意配合調解或和解？</t>
  </si>
  <si>
    <t>你事後是否知悉警方查明事實後，有撤回告訴或更正陳述之意願？</t>
  </si>
  <si>
    <t>你目前是否有喝酒或施用毒品？精神狀況是否正常？有無需要協助之情形？</t>
  </si>
  <si>
    <t>筆錄內容記載有無錯誤？有何意見補充？</t>
  </si>
  <si>
    <t>筆錄內容記載是否屬實正確？有無其他意見補充？</t>
  </si>
  <si>
    <t>以上筆錄是否為你自由意識下之陳述？警方有無使用強暴、脅迫或其他不正方法向你取供？筆錄內容記載是否屬實正確？有無其他意見補充？</t>
  </si>
  <si>
    <t>以上筆錄所述登載是否屬實正確？有無其他意見補充？</t>
  </si>
  <si>
    <t>你的文書送達地址為何?</t>
  </si>
  <si>
    <t>通用</t>
  </si>
  <si>
    <t>證人通用</t>
  </si>
  <si>
    <t>你向警方表示你係為美國人士，請問你的中文聽、說、讀、寫能力如何？</t>
  </si>
  <si>
    <t>你與被害人為何種關係？如何認識？</t>
  </si>
  <si>
    <t>你上述年籍資料是否正確？是否為你本人？有無攜帶身分證明文件?</t>
  </si>
  <si>
    <t>是否知道對方年籍資料、聯絡方式？與對方是否認識？有無仇恨或糾紛？</t>
  </si>
  <si>
    <t>上述所說是否實在？有無其他意見補充？</t>
  </si>
  <si>
    <t>妳與涉嫌人是否認識？何種關係？有無任何仇恨、糾紛？</t>
  </si>
  <si>
    <t>本事件發生地的場所主人（管理人）為何人？事件發生後你有無告知該人？該場所主人（管理人）作何處置？（發生在營造物或一般商場之案件，以利調閱相關資料）</t>
  </si>
  <si>
    <t>公司地址為何？現任何職？是否有公司授權委託書？</t>
  </si>
  <si>
    <t>你是否知悉使公務員登載不實須負相關責任?</t>
  </si>
  <si>
    <t>現場是否留有凶器或打鬥之痕跡？死者身上及現場周遭是否有外傷等明顯非自然痕跡（身上勒痕、環境鞋痕、車痕等）？有無遭翻動財物痕跡？現場是否有監視器？</t>
  </si>
  <si>
    <t>你是否要提出申訴？對何人提出？（如為性別平等工作法可對雇主提出申訴）</t>
  </si>
  <si>
    <t>請問你是否現為或曾為犯罪嫌疑人之配偶、直系血親、三親等內之旁系血親、二親等內之姻親或家長、家屬者？</t>
  </si>
  <si>
    <t>請問你是否與犯罪嫌疑人訂有婚約者？</t>
  </si>
  <si>
    <t>請問你是否現為或曾為犯罪嫌疑人之法定代理人或現由或曾由犯罪嫌疑人為其法定代理人者？</t>
  </si>
  <si>
    <t>你現在精神狀況如何？是否可以製作筆錄？是否需要家屬或社工到場陪同？</t>
  </si>
  <si>
    <t>是否領有身心障礙證明或經醫囑使用精神藥物？類別、鑑定向度及障礙程度為何？</t>
  </si>
  <si>
    <t>你遭行為人實施性騷擾行為，一共發生幾次？或持續多久？</t>
  </si>
  <si>
    <t>本案你是否曾向雇主或所任職相關單位反映過？其後續處理情形或調查結果為何？你是否接受？（性別平等工作法第32-1條第1項相關申訴規定）</t>
  </si>
  <si>
    <t>本事件是否曾經提出申訴或告訴？</t>
  </si>
  <si>
    <t>本案你是否曾撤回申訴或經調解成立？（性騷擾防治法第14條第4項撤回申訴而再行申訴之規定）</t>
  </si>
  <si>
    <t>你是否要提出性騷擾罪（性騷擾防治法第25條）或其他刑事告訴？對何人提出？（如提告本罪，須另製作調查筆錄）</t>
  </si>
  <si>
    <t>警局</t>
  </si>
  <si>
    <t>發生地點</t>
  </si>
  <si>
    <t>取照地點</t>
  </si>
  <si>
    <t>機關全名</t>
  </si>
  <si>
    <t>機關地址</t>
  </si>
  <si>
    <t>聯絡人</t>
  </si>
  <si>
    <t>發文日期</t>
  </si>
  <si>
    <t>發文字號</t>
  </si>
  <si>
    <t>報案時間</t>
  </si>
  <si>
    <t>犯案地點</t>
  </si>
  <si>
    <t>案
號</t>
  </si>
  <si>
    <t>案次編號</t>
  </si>
  <si>
    <t>編號01</t>
  </si>
  <si>
    <t>編號03</t>
  </si>
  <si>
    <t>說明：警方對嫌疑人告知酒測器之合格證書。</t>
  </si>
  <si>
    <t>說明：酒測器施測前，與嫌疑人共同確認酒測值為 0.00 mg/L。</t>
  </si>
  <si>
    <t>編號02</t>
  </si>
  <si>
    <t>編號04</t>
  </si>
  <si>
    <t>說明：警方對嫌疑人告知其拒測及宣讀權利。</t>
  </si>
  <si>
    <t>□110</t>
  </si>
  <si>
    <t>□破獲</t>
  </si>
  <si>
    <t>□線上立破  □傳真</t>
  </si>
  <si>
    <t>□網路</t>
  </si>
  <si>
    <t>□重大            □普通</t>
  </si>
  <si>
    <t>□2號</t>
  </si>
  <si>
    <t>□發生</t>
  </si>
  <si>
    <t>單一窗口</t>
  </si>
  <si>
    <t>□本轉它</t>
  </si>
  <si>
    <t>□民眾</t>
  </si>
  <si>
    <t>□它轉本</t>
  </si>
  <si>
    <t>地點</t>
  </si>
  <si>
    <t>里別</t>
  </si>
  <si>
    <t>□中山里□聚盛里□聚葉里□民安里□集英里</t>
  </si>
  <si>
    <t>地段</t>
  </si>
  <si>
    <t>歸
檔
表
單</t>
  </si>
  <si>
    <t>□搜索、扣押筆錄</t>
  </si>
  <si>
    <t>■陳報單</t>
  </si>
  <si>
    <t>□臨檢表</t>
  </si>
  <si>
    <t>■筆錄</t>
  </si>
  <si>
    <t>□工作紀錄簿</t>
  </si>
  <si>
    <t>■權力告知書</t>
  </si>
  <si>
    <t>□查扣清冊</t>
  </si>
  <si>
    <t>□線上立破單</t>
  </si>
  <si>
    <t>□通報表</t>
  </si>
  <si>
    <t>□調查表</t>
  </si>
  <si>
    <t>□領單據</t>
  </si>
  <si>
    <t>□訪查表</t>
  </si>
  <si>
    <t>□輸入電腦證明單</t>
  </si>
  <si>
    <t>□執行紀錄表</t>
  </si>
  <si>
    <t>□證明表</t>
  </si>
  <si>
    <t>□其它</t>
  </si>
  <si>
    <t>■各式附表</t>
  </si>
  <si>
    <t>普通竊案
（增填）</t>
  </si>
  <si>
    <t>□住宅竊案  □公司竊案  □車內財損  □其它（   ）</t>
  </si>
  <si>
    <t>汽機車
（增填）</t>
  </si>
  <si>
    <t>汽車</t>
  </si>
  <si>
    <t>機車</t>
  </si>
  <si>
    <t>三四聯單號碼</t>
  </si>
  <si>
    <t>承辦
員警</t>
  </si>
  <si>
    <t>名稱</t>
  </si>
  <si>
    <t>ㄧ般刑事案件</t>
  </si>
  <si>
    <t>日期</t>
  </si>
  <si>
    <t>案類/檢核(V)</t>
  </si>
  <si>
    <t>檢核(V)</t>
  </si>
  <si>
    <t>備考(說明)</t>
  </si>
  <si>
    <t>V</t>
  </si>
  <si>
    <t>報案人身分證明文件</t>
  </si>
  <si>
    <t>受理各類案件紀錄表</t>
  </si>
  <si>
    <t>*監視錄影器影像畫面(□截圖 □光碟)</t>
  </si>
  <si>
    <t>受(處)理案件證明單(1式三份)</t>
  </si>
  <si>
    <t>*真實姓名對照表(性騷擾、強制性交、性交猥褻等案類或其他使用代號案件)</t>
  </si>
  <si>
    <t>筆錄</t>
  </si>
  <si>
    <t>被害人(告訴人)戶籍資料</t>
  </si>
  <si>
    <t>刑案紀錄表(1份+1份筆錄)</t>
  </si>
  <si>
    <t>*犯罪嫌疑人(被告)戶籍資料及刑案資料</t>
  </si>
  <si>
    <t>*詐欺案類(165反詐騙諮詢專線紀錄表)</t>
  </si>
  <si>
    <t>是否受騙欄位勾選(切勿誤植勾選否)</t>
  </si>
  <si>
    <t>是否設定二層警示帳戶，並上傳相關附件?</t>
  </si>
  <si>
    <t>案情內容簡短(文字敘述至少3行，建議使用範本匯入)</t>
  </si>
  <si>
    <t>是否填寫受話號碼(接獲詐騙電話之被害人門號，非詐騙電話+886……)及是否填寫疑似竄改門號(即詐騙電話+886……)?</t>
  </si>
  <si>
    <t>有無完成後續處理?
(處理時間、報案證明單單號勿缺漏)</t>
  </si>
  <si>
    <t>是否輸入詐騙電話、冒用機構(請填輸電商名稱，非銀行名稱)</t>
  </si>
  <si>
    <t>財損大於100萬元、假投資(涉及虛擬通貨)案類是否使用預製筆錄?</t>
  </si>
  <si>
    <t>是否填寫涉案LINE或Telegram ID?</t>
  </si>
  <si>
    <t>被害人有無臨櫃匯款?  筆錄有無詢問臨櫃匯款 3 問句?(何處匯款?行員是否關懷提問?歹徒有無教導閃避說詞?)</t>
  </si>
  <si>
    <t>是否填寫詐騙標的?網站名稱?投資網址? 詐騙電子錢包?</t>
  </si>
  <si>
    <t>是否上傳受理卷宗?</t>
  </si>
  <si>
    <t>境外匯款是否輸入詐騙帳號?(銀行代碼111)及國際匯款代碼?(swift code)</t>
  </si>
  <si>
    <t>填表說明
(注意事項)</t>
  </si>
  <si>
    <t>一、未註明*之項目皆為每案必附資料。</t>
  </si>
  <si>
    <t>承辦員警</t>
  </si>
  <si>
    <t>毀損</t>
    <phoneticPr fontId="1" type="noConversion"/>
  </si>
  <si>
    <t>臺北市信義區吳興街206號</t>
    <phoneticPr fontId="1" type="noConversion"/>
  </si>
  <si>
    <t>報案人稱於115年09月12日12時18分載乘客至臺北市信義區吳興街206號，遭不知名民眾敲擊自小營(TDW-2575)右後側板金，並造成凹陷，故至所報案。</t>
    <phoneticPr fontId="1" type="noConversion"/>
  </si>
  <si>
    <t>黃軾錦</t>
    <phoneticPr fontId="1" type="noConversion"/>
  </si>
  <si>
    <t>C121205026</t>
    <phoneticPr fontId="1" type="noConversion"/>
  </si>
  <si>
    <t>基隆市</t>
    <phoneticPr fontId="1" type="noConversion"/>
  </si>
  <si>
    <t>基隆市七堵區百一街149號</t>
    <phoneticPr fontId="1" type="noConversion"/>
  </si>
  <si>
    <t>司機</t>
    <phoneticPr fontId="1" type="noConversion"/>
  </si>
  <si>
    <t>Z115099AWBN1NGL</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</si>
</sst>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00000000000"/>
    <numFmt numFmtId="177" formatCode="000&quot;年&quot;00&quot;月&quot;00&quot;日&quot;00&quot;時&quot;00&quot;分&quot;"/>
    <numFmt numFmtId="178" formatCode="00"/>
    <numFmt numFmtId="179" formatCode="0000000000"/>
    <numFmt numFmtId="180" formatCode="000&quot;年&quot;00&quot;月&quot;00&quot;日&quot;"/>
    <numFmt numFmtId="181" formatCode="0.00_);\(0.00\)"/>
    <numFmt numFmtId="182" formatCode="[$-404]ggge&quot;年&quot;m&quot;月&quot;d&quot;日&quot;;@"/>
    <numFmt numFmtId="183" formatCode="[$-404]e/m/d;@"/>
    <numFmt numFmtId="184" formatCode="h:mm;@"/>
    <numFmt numFmtId="185" formatCode="[$-404]e&quot;年&quot;m&quot;月&quot;d&quot;日&quot;;@"/>
    <numFmt numFmtId="186" formatCode="00&quot;時&quot;00&quot;分&quot;"/>
    <numFmt numFmtId="187" formatCode="[&gt;99999999]0000\-000\-000;000\-000\-000"/>
  </numFmts>
  <fonts count="114" x14ac:knownFonts="1">
    <font>
      <sz val="12"/>
      <color theme="1"/>
      <name val="新細明體"/>
      <family val="2"/>
      <charset val="136"/>
      <scheme val="minor"/>
    </font>
    <font>
      <sz val="9"/>
      <name val="新細明體"/>
      <family val="2"/>
      <charset val="136"/>
      <scheme val="minor"/>
    </font>
    <font>
      <sz val="14"/>
      <name val="標楷體"/>
      <family val="4"/>
      <charset val="136"/>
    </font>
    <font>
      <b/>
      <sz val="14"/>
      <name val="標楷體"/>
      <family val="4"/>
      <charset val="136"/>
    </font>
    <font>
      <b/>
      <sz val="24"/>
      <name val="標楷體"/>
      <family val="4"/>
      <charset val="136"/>
    </font>
    <font>
      <sz val="12"/>
      <color theme="1"/>
      <name val="標楷體"/>
      <family val="4"/>
      <charset val="136"/>
    </font>
    <font>
      <sz val="14"/>
      <color theme="1"/>
      <name val="標楷體"/>
      <family val="4"/>
      <charset val="136"/>
    </font>
    <font>
      <sz val="18"/>
      <color theme="1"/>
      <name val="標楷體"/>
      <family val="4"/>
      <charset val="136"/>
    </font>
    <font>
      <sz val="14"/>
      <color theme="1"/>
      <name val="Times New Roman"/>
      <family val="1"/>
    </font>
    <font>
      <sz val="26"/>
      <color theme="1"/>
      <name val="標楷體"/>
      <family val="4"/>
      <charset val="136"/>
    </font>
    <font>
      <sz val="22"/>
      <color theme="1"/>
      <name val="標楷體"/>
      <family val="4"/>
      <charset val="136"/>
    </font>
    <font>
      <sz val="20"/>
      <color theme="1"/>
      <name val="標楷體"/>
      <family val="4"/>
      <charset val="136"/>
    </font>
    <font>
      <sz val="16"/>
      <color theme="1"/>
      <name val="Times New Roman"/>
      <family val="1"/>
    </font>
    <font>
      <sz val="24"/>
      <color theme="1"/>
      <name val="標楷體"/>
      <family val="4"/>
      <charset val="136"/>
    </font>
    <font>
      <sz val="26"/>
      <color theme="1"/>
      <name val="Times New Roman"/>
      <family val="1"/>
    </font>
    <font>
      <b/>
      <sz val="28"/>
      <color theme="1"/>
      <name val="標楷體"/>
      <family val="4"/>
      <charset val="136"/>
    </font>
    <font>
      <sz val="28"/>
      <color theme="1"/>
      <name val="標楷體"/>
      <family val="4"/>
      <charset val="136"/>
    </font>
    <font>
      <sz val="36"/>
      <color theme="1"/>
      <name val="標楷體"/>
      <family val="4"/>
      <charset val="136"/>
    </font>
    <font>
      <sz val="36"/>
      <color theme="1"/>
      <name val="Times New Roman"/>
      <family val="1"/>
    </font>
    <font>
      <sz val="48"/>
      <color theme="1"/>
      <name val="標楷體"/>
      <family val="4"/>
      <charset val="136"/>
    </font>
    <font>
      <sz val="12"/>
      <name val="新細明體"/>
      <family val="1"/>
      <charset val="136"/>
    </font>
    <font>
      <sz val="12"/>
      <name val="標楷體"/>
      <family val="4"/>
      <charset val="136"/>
    </font>
    <font>
      <sz val="22"/>
      <name val="標楷體"/>
      <family val="4"/>
      <charset val="136"/>
    </font>
    <font>
      <b/>
      <sz val="32"/>
      <name val="標楷體"/>
      <family val="4"/>
      <charset val="136"/>
    </font>
    <font>
      <b/>
      <sz val="12"/>
      <color theme="1"/>
      <name val="標楷體"/>
      <family val="4"/>
      <charset val="136"/>
    </font>
    <font>
      <sz val="12"/>
      <color theme="1" tint="4.9989318521683403E-2"/>
      <name val="標楷體"/>
      <family val="4"/>
      <charset val="136"/>
    </font>
    <font>
      <b/>
      <sz val="16"/>
      <color theme="1"/>
      <name val="標楷體"/>
      <family val="4"/>
      <charset val="136"/>
    </font>
    <font>
      <b/>
      <sz val="18"/>
      <color theme="1"/>
      <name val="標楷體"/>
      <family val="4"/>
      <charset val="136"/>
    </font>
    <font>
      <b/>
      <sz val="18"/>
      <color theme="1"/>
      <name val="Times New Roman"/>
      <family val="1"/>
    </font>
    <font>
      <b/>
      <sz val="12"/>
      <color theme="1"/>
      <name val="Times New Roman"/>
      <family val="1"/>
    </font>
    <font>
      <sz val="16"/>
      <color theme="1"/>
      <name val="標楷體"/>
      <family val="4"/>
      <charset val="136"/>
    </font>
    <font>
      <b/>
      <sz val="14"/>
      <color theme="1"/>
      <name val="標楷體"/>
      <family val="4"/>
      <charset val="136"/>
    </font>
    <font>
      <sz val="18"/>
      <color theme="1"/>
      <name val="Times New Roman"/>
      <family val="1"/>
    </font>
    <font>
      <b/>
      <sz val="20"/>
      <color theme="1"/>
      <name val="標楷體"/>
      <family val="4"/>
      <charset val="136"/>
    </font>
    <font>
      <sz val="11"/>
      <color theme="1"/>
      <name val="標楷體"/>
      <family val="4"/>
      <charset val="136"/>
    </font>
    <font>
      <b/>
      <sz val="12"/>
      <color theme="1"/>
      <name val="Times New Roman"/>
      <family val="4"/>
      <charset val="136"/>
    </font>
    <font>
      <b/>
      <sz val="12"/>
      <color theme="1"/>
      <name val="新細明體"/>
      <family val="2"/>
      <charset val="136"/>
      <scheme val="minor"/>
    </font>
    <font>
      <sz val="10"/>
      <color theme="1"/>
      <name val="標楷體"/>
      <family val="4"/>
      <charset val="136"/>
    </font>
    <font>
      <i/>
      <sz val="12"/>
      <name val="新細明體"/>
      <family val="1"/>
      <charset val="136"/>
    </font>
    <font>
      <sz val="12"/>
      <color theme="1"/>
      <name val="Times New Roman"/>
      <family val="1"/>
    </font>
    <font>
      <sz val="22"/>
      <color theme="1"/>
      <name val="新細明體"/>
      <family val="2"/>
      <charset val="136"/>
      <scheme val="minor"/>
    </font>
    <font>
      <sz val="3"/>
      <color theme="1"/>
      <name val="Times New Roman"/>
      <family val="1"/>
    </font>
    <font>
      <sz val="10"/>
      <color theme="1"/>
      <name val="Times New Roman"/>
      <family val="1"/>
    </font>
    <font>
      <sz val="12"/>
      <color rgb="FF000000"/>
      <name val="標楷體"/>
      <family val="4"/>
      <charset val="136"/>
    </font>
    <font>
      <sz val="10"/>
      <color rgb="FF000000"/>
      <name val="標楷體"/>
      <family val="4"/>
      <charset val="136"/>
    </font>
    <font>
      <sz val="12"/>
      <color rgb="FFFF0000"/>
      <name val="標楷體"/>
      <family val="4"/>
      <charset val="136"/>
    </font>
    <font>
      <b/>
      <sz val="17"/>
      <color theme="1"/>
      <name val="標楷體"/>
      <family val="4"/>
      <charset val="136"/>
    </font>
    <font>
      <sz val="11.5"/>
      <color theme="1"/>
      <name val="標楷體"/>
      <family val="4"/>
      <charset val="136"/>
    </font>
    <font>
      <b/>
      <sz val="12"/>
      <color theme="1"/>
      <name val="新細明體"/>
      <family val="1"/>
      <charset val="136"/>
      <scheme val="minor"/>
    </font>
    <font>
      <sz val="9"/>
      <color theme="1"/>
      <name val="標楷體"/>
      <family val="4"/>
      <charset val="136"/>
    </font>
    <font>
      <b/>
      <sz val="22"/>
      <color theme="1"/>
      <name val="標楷體"/>
      <family val="4"/>
      <charset val="136"/>
    </font>
    <font>
      <sz val="24"/>
      <color theme="1"/>
      <name val="新細明體"/>
      <family val="2"/>
      <charset val="136"/>
      <scheme val="minor"/>
    </font>
    <font>
      <b/>
      <sz val="48"/>
      <color theme="1"/>
      <name val="標楷體"/>
      <family val="4"/>
      <charset val="136"/>
    </font>
    <font>
      <sz val="14"/>
      <color rgb="FF000000"/>
      <name val="標楷體"/>
      <family val="4"/>
      <charset val="136"/>
    </font>
    <font>
      <b/>
      <sz val="26"/>
      <color theme="1"/>
      <name val="標楷體"/>
      <family val="4"/>
      <charset val="136"/>
    </font>
    <font>
      <sz val="16"/>
      <name val="標楷體"/>
      <family val="4"/>
      <charset val="136"/>
    </font>
    <font>
      <b/>
      <sz val="11"/>
      <color theme="1"/>
      <name val="Times New Roman"/>
      <family val="1"/>
    </font>
    <font>
      <b/>
      <sz val="11"/>
      <color theme="1"/>
      <name val="標楷體"/>
      <family val="4"/>
      <charset val="136"/>
    </font>
    <font>
      <b/>
      <sz val="14"/>
      <color theme="1"/>
      <name val="Times New Roman"/>
      <family val="1"/>
    </font>
    <font>
      <sz val="12"/>
      <color theme="1"/>
      <name val="Times New Roman"/>
      <family val="4"/>
      <charset val="136"/>
    </font>
    <font>
      <sz val="12"/>
      <color theme="1"/>
      <name val="新細明體"/>
      <family val="1"/>
      <charset val="136"/>
    </font>
    <font>
      <sz val="12"/>
      <color theme="1"/>
      <name val="Calibri"/>
      <family val="2"/>
    </font>
    <font>
      <b/>
      <sz val="8"/>
      <color theme="1"/>
      <name val="標楷體"/>
      <family val="4"/>
      <charset val="136"/>
    </font>
    <font>
      <b/>
      <u/>
      <sz val="14"/>
      <color theme="1"/>
      <name val="標楷體"/>
      <family val="4"/>
      <charset val="136"/>
    </font>
    <font>
      <b/>
      <sz val="12"/>
      <color rgb="FF000000"/>
      <name val="標楷體"/>
      <family val="4"/>
      <charset val="136"/>
    </font>
    <font>
      <b/>
      <sz val="9"/>
      <color theme="1"/>
      <name val="標楷體"/>
      <family val="4"/>
      <charset val="136"/>
    </font>
    <font>
      <b/>
      <u/>
      <sz val="14"/>
      <color theme="1"/>
      <name val="Times New Roman"/>
      <family val="1"/>
    </font>
    <font>
      <b/>
      <sz val="16"/>
      <color theme="1"/>
      <name val="Times New Roman"/>
      <family val="1"/>
    </font>
    <font>
      <b/>
      <sz val="13"/>
      <color theme="1"/>
      <name val="標楷體"/>
      <family val="4"/>
      <charset val="136"/>
    </font>
    <font>
      <sz val="8"/>
      <color theme="1"/>
      <name val="標楷體"/>
      <family val="4"/>
      <charset val="136"/>
    </font>
    <font>
      <b/>
      <sz val="13.5"/>
      <color theme="1"/>
      <name val="標楷體"/>
      <family val="4"/>
      <charset val="136"/>
    </font>
    <font>
      <u/>
      <sz val="12"/>
      <color theme="10"/>
      <name val="新細明體"/>
      <family val="2"/>
      <charset val="136"/>
      <scheme val="minor"/>
    </font>
    <font>
      <sz val="13"/>
      <color theme="1"/>
      <name val="標楷體"/>
      <family val="4"/>
      <charset val="136"/>
    </font>
    <font>
      <sz val="10"/>
      <color rgb="FF000000"/>
      <name val="Times New Roman"/>
      <family val="1"/>
    </font>
    <font>
      <b/>
      <sz val="14"/>
      <color rgb="FF000000"/>
      <name val="標楷體"/>
      <family val="4"/>
      <charset val="136"/>
    </font>
    <font>
      <sz val="11"/>
      <name val="標楷體"/>
      <family val="4"/>
      <charset val="136"/>
    </font>
    <font>
      <sz val="10"/>
      <color theme="1"/>
      <name val="新細明體"/>
      <family val="1"/>
      <charset val="136"/>
    </font>
    <font>
      <b/>
      <sz val="12"/>
      <color theme="1"/>
      <name val="新細明體"/>
      <family val="1"/>
      <charset val="136"/>
    </font>
    <font>
      <sz val="9"/>
      <color rgb="FF000000"/>
      <name val="Webdings"/>
      <family val="1"/>
      <charset val="2"/>
    </font>
    <font>
      <sz val="10"/>
      <color rgb="FF000000"/>
      <name val="Webdings"/>
      <family val="1"/>
      <charset val="2"/>
    </font>
    <font>
      <sz val="9"/>
      <color theme="1"/>
      <name val="Webdings"/>
      <family val="1"/>
      <charset val="2"/>
    </font>
    <font>
      <sz val="10"/>
      <color theme="1"/>
      <name val="Webdings"/>
      <family val="1"/>
      <charset val="2"/>
    </font>
    <font>
      <b/>
      <sz val="12"/>
      <color theme="0"/>
      <name val="新細明體"/>
      <family val="1"/>
      <charset val="136"/>
    </font>
    <font>
      <sz val="10"/>
      <color rgb="FFFF0000"/>
      <name val="新細明體"/>
      <family val="1"/>
      <charset val="136"/>
    </font>
    <font>
      <sz val="12"/>
      <color rgb="FFFF0000"/>
      <name val="新細明體"/>
      <family val="1"/>
      <charset val="136"/>
    </font>
    <font>
      <sz val="12"/>
      <color rgb="FF0000FF"/>
      <name val="新細明體"/>
      <family val="1"/>
      <charset val="136"/>
    </font>
    <font>
      <b/>
      <sz val="14"/>
      <color theme="1"/>
      <name val="新細明體"/>
      <family val="1"/>
      <charset val="136"/>
    </font>
    <font>
      <u/>
      <sz val="10"/>
      <color theme="10"/>
      <name val="新細明體"/>
      <family val="2"/>
      <charset val="136"/>
      <scheme val="minor"/>
    </font>
    <font>
      <sz val="12"/>
      <color rgb="FF0000CC"/>
      <name val="Times New Roman"/>
      <family val="1"/>
    </font>
    <font>
      <sz val="14"/>
      <color rgb="FFFF0000"/>
      <name val="標楷體"/>
      <family val="4"/>
      <charset val="136"/>
    </font>
    <font>
      <b/>
      <sz val="16"/>
      <color rgb="FF0000CC"/>
      <name val="標楷體"/>
      <family val="4"/>
      <charset val="136"/>
    </font>
    <font>
      <sz val="16"/>
      <color rgb="FF0070C0"/>
      <name val="標楷體"/>
      <family val="4"/>
      <charset val="136"/>
    </font>
    <font>
      <sz val="17"/>
      <color theme="1"/>
      <name val="標楷體"/>
      <family val="4"/>
      <charset val="136"/>
    </font>
    <font>
      <sz val="20"/>
      <color rgb="FF000000"/>
      <name val="標楷體"/>
      <family val="4"/>
      <charset val="136"/>
    </font>
    <font>
      <sz val="8"/>
      <color rgb="FFFF0000"/>
      <name val="標楷體"/>
      <family val="4"/>
      <charset val="136"/>
    </font>
    <font>
      <sz val="7"/>
      <color rgb="FFFF0000"/>
      <name val="標楷體"/>
      <family val="4"/>
      <charset val="136"/>
    </font>
    <font>
      <sz val="10"/>
      <name val="標楷體"/>
      <family val="4"/>
      <charset val="136"/>
    </font>
    <font>
      <b/>
      <sz val="12"/>
      <name val="標楷體"/>
      <family val="4"/>
      <charset val="136"/>
    </font>
    <font>
      <b/>
      <sz val="10"/>
      <name val="標楷體"/>
      <family val="4"/>
      <charset val="136"/>
    </font>
    <font>
      <sz val="8"/>
      <name val="標楷體"/>
      <family val="4"/>
      <charset val="136"/>
    </font>
    <font>
      <sz val="9"/>
      <name val="標楷體"/>
      <family val="4"/>
      <charset val="136"/>
    </font>
    <font>
      <b/>
      <sz val="20"/>
      <name val="標楷體"/>
      <family val="4"/>
      <charset val="136"/>
    </font>
    <font>
      <b/>
      <sz val="14"/>
      <color theme="1"/>
      <name val="Times New Roman"/>
      <family val="1"/>
      <charset val="136"/>
    </font>
    <font>
      <sz val="14"/>
      <color theme="1"/>
      <name val="新細明體"/>
      <family val="1"/>
      <charset val="136"/>
      <scheme val="minor"/>
    </font>
    <font>
      <sz val="11"/>
      <color rgb="FF000000"/>
      <name val="微軟正黑體"/>
      <family val="2"/>
      <charset val="136"/>
    </font>
    <font>
      <sz val="12"/>
      <color theme="1"/>
      <name val="微軟正黑體"/>
      <family val="2"/>
      <charset val="136"/>
    </font>
    <font>
      <b/>
      <u/>
      <sz val="14"/>
      <color theme="1"/>
      <name val="微軟正黑體"/>
      <family val="1"/>
      <charset val="136"/>
    </font>
    <font>
      <b/>
      <sz val="10"/>
      <color rgb="FF000000"/>
      <name val="標楷體"/>
      <family val="4"/>
      <charset val="136"/>
    </font>
    <font>
      <b/>
      <sz val="10.5"/>
      <color rgb="FF000000"/>
      <name val="標楷體"/>
      <family val="4"/>
      <charset val="136"/>
    </font>
    <font>
      <b/>
      <sz val="11"/>
      <color rgb="FF000000"/>
      <name val="標楷體"/>
      <family val="4"/>
      <charset val="136"/>
    </font>
    <font>
      <sz val="12"/>
      <color rgb="FF343434"/>
      <name val="Arial"/>
      <family val="2"/>
    </font>
    <font>
      <sz val="12"/>
      <color rgb="FF343434"/>
      <name val="微軟正黑體"/>
      <family val="2"/>
      <charset val="136"/>
    </font>
    <font>
      <sz val="16"/>
      <color rgb="FF000000"/>
      <name val="標楷體"/>
      <family val="4"/>
      <charset val="136"/>
    </font>
    <font>
      <sz val="12"/>
      <color rgb="FF000000"/>
      <name val="新細明體"/>
      <family val="1"/>
      <charset val="136"/>
    </font>
  </fonts>
  <fills count="22">
    <fill>
      <patternFill patternType="none"/>
    </fill>
    <fill>
      <patternFill patternType="gray125"/>
    </fill>
    <fill>
      <patternFill patternType="solid">
        <fgColor rgb="FFFFC000"/>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bgColor indexed="64"/>
      </patternFill>
    </fill>
    <fill>
      <patternFill patternType="solid">
        <fgColor theme="7"/>
        <bgColor indexed="64"/>
      </patternFill>
    </fill>
    <fill>
      <patternFill patternType="solid">
        <fgColor theme="4" tint="0.59999389629810485"/>
        <bgColor indexed="64"/>
      </patternFill>
    </fill>
    <fill>
      <patternFill patternType="solid">
        <fgColor theme="9"/>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F2F2F2"/>
        <bgColor indexed="64"/>
      </patternFill>
    </fill>
    <fill>
      <patternFill patternType="solid">
        <fgColor rgb="FFBFBFBF"/>
        <bgColor indexed="64"/>
      </patternFill>
    </fill>
    <fill>
      <patternFill patternType="solid">
        <fgColor rgb="FFFFFFFF"/>
        <bgColor indexed="64"/>
      </patternFill>
    </fill>
    <fill>
      <patternFill patternType="solid">
        <fgColor rgb="FFD9D9D9"/>
        <bgColor indexed="64"/>
      </patternFill>
    </fill>
    <fill>
      <patternFill patternType="solid">
        <fgColor rgb="FF0C0C0C"/>
        <bgColor indexed="64"/>
      </patternFill>
    </fill>
    <fill>
      <patternFill patternType="solid">
        <fgColor rgb="FFE0E0E0"/>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2"/>
        <bgColor indexed="64"/>
      </patternFill>
    </fill>
  </fills>
  <borders count="292">
    <border>
      <left/>
      <right/>
      <top/>
      <bottom/>
      <diagonal/>
    </border>
    <border>
      <left style="thin">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right style="mediumDashed">
        <color indexed="64"/>
      </right>
      <top/>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double">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indexed="64"/>
      </left>
      <right/>
      <top/>
      <bottom style="thin">
        <color indexed="64"/>
      </bottom>
      <diagonal/>
    </border>
    <border>
      <left/>
      <right style="thin">
        <color indexed="64"/>
      </right>
      <top/>
      <bottom/>
      <diagonal/>
    </border>
    <border>
      <left style="double">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diagonal/>
    </border>
    <border>
      <left/>
      <right/>
      <top style="double">
        <color indexed="64"/>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top/>
      <bottom/>
      <diagonal/>
    </border>
    <border>
      <left style="thin">
        <color indexed="64"/>
      </left>
      <right style="thin">
        <color indexed="64"/>
      </right>
      <top/>
      <bottom/>
      <diagonal/>
    </border>
    <border>
      <left/>
      <right style="thick">
        <color indexed="64"/>
      </right>
      <top/>
      <bottom style="thick">
        <color indexed="64"/>
      </bottom>
      <diagonal/>
    </border>
    <border>
      <left/>
      <right style="medium">
        <color indexed="64"/>
      </right>
      <top/>
      <bottom style="thick">
        <color indexed="64"/>
      </bottom>
      <diagonal/>
    </border>
    <border>
      <left style="thick">
        <color indexed="64"/>
      </left>
      <right style="medium">
        <color indexed="64"/>
      </right>
      <top/>
      <bottom style="thick">
        <color indexed="64"/>
      </bottom>
      <diagonal/>
    </border>
    <border>
      <left/>
      <right style="thick">
        <color indexed="64"/>
      </right>
      <top style="thick">
        <color indexed="64"/>
      </top>
      <bottom style="thick">
        <color indexed="64"/>
      </bottom>
      <diagonal/>
    </border>
    <border>
      <left/>
      <right style="medium">
        <color indexed="64"/>
      </right>
      <top style="thick">
        <color indexed="64"/>
      </top>
      <bottom style="thick">
        <color indexed="64"/>
      </bottom>
      <diagonal/>
    </border>
    <border>
      <left style="thick">
        <color indexed="64"/>
      </left>
      <right style="medium">
        <color indexed="64"/>
      </right>
      <top style="thick">
        <color indexed="64"/>
      </top>
      <bottom style="thick">
        <color indexed="64"/>
      </bottom>
      <diagonal/>
    </border>
    <border>
      <left/>
      <right/>
      <top/>
      <bottom style="thick">
        <color indexed="64"/>
      </bottom>
      <diagonal/>
    </border>
    <border>
      <left/>
      <right style="thick">
        <color auto="1"/>
      </right>
      <top/>
      <bottom/>
      <diagonal/>
    </border>
    <border>
      <left style="thick">
        <color auto="1"/>
      </left>
      <right/>
      <top/>
      <bottom/>
      <diagonal/>
    </border>
    <border>
      <left style="thick">
        <color auto="1"/>
      </left>
      <right/>
      <top/>
      <bottom style="thick">
        <color auto="1"/>
      </bottom>
      <diagonal/>
    </border>
    <border>
      <left/>
      <right style="thick">
        <color auto="1"/>
      </right>
      <top/>
      <bottom style="thin">
        <color auto="1"/>
      </bottom>
      <diagonal/>
    </border>
    <border>
      <left style="thick">
        <color auto="1"/>
      </left>
      <right/>
      <top style="thin">
        <color auto="1"/>
      </top>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right/>
      <top style="medium">
        <color auto="1"/>
      </top>
      <bottom style="thin">
        <color indexed="64"/>
      </bottom>
      <diagonal/>
    </border>
    <border>
      <left/>
      <right/>
      <top/>
      <bottom style="medium">
        <color auto="1"/>
      </bottom>
      <diagonal/>
    </border>
    <border>
      <left/>
      <right style="medium">
        <color auto="1"/>
      </right>
      <top/>
      <bottom style="medium">
        <color auto="1"/>
      </bottom>
      <diagonal/>
    </border>
    <border>
      <left/>
      <right style="thick">
        <color auto="1"/>
      </right>
      <top/>
      <bottom style="medium">
        <color auto="1"/>
      </bottom>
      <diagonal/>
    </border>
    <border>
      <left style="medium">
        <color auto="1"/>
      </left>
      <right/>
      <top style="medium">
        <color auto="1"/>
      </top>
      <bottom style="thin">
        <color auto="1"/>
      </bottom>
      <diagonal/>
    </border>
    <border>
      <left/>
      <right style="medium">
        <color auto="1"/>
      </right>
      <top/>
      <bottom/>
      <diagonal/>
    </border>
    <border>
      <left/>
      <right style="medium">
        <color auto="1"/>
      </right>
      <top style="medium">
        <color auto="1"/>
      </top>
      <bottom style="thin">
        <color auto="1"/>
      </bottom>
      <diagonal/>
    </border>
    <border>
      <left style="thick">
        <color auto="1"/>
      </left>
      <right/>
      <top style="medium">
        <color auto="1"/>
      </top>
      <bottom style="thin">
        <color auto="1"/>
      </bottom>
      <diagonal/>
    </border>
    <border>
      <left style="thick">
        <color auto="1"/>
      </left>
      <right/>
      <top/>
      <bottom style="medium">
        <color auto="1"/>
      </bottom>
      <diagonal/>
    </border>
    <border>
      <left/>
      <right style="thick">
        <color auto="1"/>
      </right>
      <top style="medium">
        <color auto="1"/>
      </top>
      <bottom style="thin">
        <color auto="1"/>
      </bottom>
      <diagonal/>
    </border>
    <border>
      <left style="thick">
        <color auto="1"/>
      </left>
      <right/>
      <top style="medium">
        <color auto="1"/>
      </top>
      <bottom/>
      <diagonal/>
    </border>
    <border>
      <left/>
      <right style="thin">
        <color auto="1"/>
      </right>
      <top style="medium">
        <color auto="1"/>
      </top>
      <bottom/>
      <diagonal/>
    </border>
    <border>
      <left style="thick">
        <color auto="1"/>
      </left>
      <right/>
      <top/>
      <bottom style="thin">
        <color indexed="64"/>
      </bottom>
      <diagonal/>
    </border>
    <border>
      <left/>
      <right/>
      <top style="medium">
        <color indexed="64"/>
      </top>
      <bottom/>
      <diagonal/>
    </border>
    <border>
      <left style="medium">
        <color indexed="64"/>
      </left>
      <right style="thin">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ck">
        <color indexed="64"/>
      </bottom>
      <diagonal/>
    </border>
    <border>
      <left style="thick">
        <color indexed="64"/>
      </left>
      <right style="medium">
        <color indexed="64"/>
      </right>
      <top/>
      <bottom/>
      <diagonal/>
    </border>
    <border>
      <left/>
      <right style="thick">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style="thick">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ck">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right style="thick">
        <color indexed="64"/>
      </right>
      <top style="thin">
        <color indexed="64"/>
      </top>
      <bottom style="thin">
        <color indexed="64"/>
      </bottom>
      <diagonal/>
    </border>
    <border>
      <left style="thin">
        <color indexed="64"/>
      </left>
      <right style="thick">
        <color indexed="64"/>
      </right>
      <top style="medium">
        <color indexed="64"/>
      </top>
      <bottom style="thin">
        <color indexed="64"/>
      </bottom>
      <diagonal/>
    </border>
    <border>
      <left style="thin">
        <color indexed="64"/>
      </left>
      <right/>
      <top style="medium">
        <color indexed="64"/>
      </top>
      <bottom/>
      <diagonal/>
    </border>
    <border>
      <left style="thick">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ck">
        <color indexed="64"/>
      </right>
      <top style="thin">
        <color indexed="64"/>
      </top>
      <bottom/>
      <diagonal/>
    </border>
    <border>
      <left/>
      <right style="thick">
        <color indexed="64"/>
      </right>
      <top style="thick">
        <color indexed="64"/>
      </top>
      <bottom style="thin">
        <color indexed="64"/>
      </bottom>
      <diagonal/>
    </border>
    <border>
      <left/>
      <right/>
      <top style="thick">
        <color indexed="64"/>
      </top>
      <bottom style="thin">
        <color indexed="64"/>
      </bottom>
      <diagonal/>
    </border>
    <border>
      <left style="thick">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right/>
      <top/>
      <bottom style="dashed">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top/>
      <bottom style="medium">
        <color indexed="64"/>
      </bottom>
      <diagonal/>
    </border>
    <border>
      <left/>
      <right/>
      <top style="thin">
        <color indexed="64"/>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style="thick">
        <color indexed="64"/>
      </left>
      <right style="thick">
        <color indexed="64"/>
      </right>
      <top/>
      <bottom style="thick">
        <color indexed="64"/>
      </bottom>
      <diagonal/>
    </border>
    <border>
      <left style="thick">
        <color indexed="64"/>
      </left>
      <right style="thick">
        <color indexed="64"/>
      </right>
      <top/>
      <bottom/>
      <diagonal/>
    </border>
    <border>
      <left style="thick">
        <color indexed="64"/>
      </left>
      <right style="thick">
        <color indexed="64"/>
      </right>
      <top style="thick">
        <color indexed="64"/>
      </top>
      <bottom/>
      <diagonal/>
    </border>
    <border>
      <left style="thin">
        <color rgb="FF000000"/>
      </left>
      <right/>
      <top/>
      <bottom/>
      <diagonal/>
    </border>
    <border>
      <left/>
      <right/>
      <top style="thin">
        <color rgb="FF000000"/>
      </top>
      <bottom/>
      <diagonal/>
    </border>
    <border>
      <left style="thin">
        <color rgb="FF000000"/>
      </left>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right style="thin">
        <color rgb="FF000000"/>
      </right>
      <top/>
      <bottom/>
      <diagonal/>
    </border>
    <border>
      <left style="thin">
        <color rgb="FF000000"/>
      </left>
      <right style="thin">
        <color rgb="FF000000"/>
      </right>
      <top/>
      <bottom/>
      <diagonal/>
    </border>
    <border>
      <left/>
      <right style="thin">
        <color rgb="FF000000"/>
      </right>
      <top style="thin">
        <color rgb="FF000000"/>
      </top>
      <bottom/>
      <diagonal/>
    </border>
    <border>
      <left/>
      <right style="thick">
        <color indexed="64"/>
      </right>
      <top style="thin">
        <color indexed="64"/>
      </top>
      <bottom style="thick">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style="thin">
        <color indexed="64"/>
      </left>
      <right/>
      <top style="thin">
        <color indexed="64"/>
      </top>
      <bottom style="thick">
        <color indexed="64"/>
      </bottom>
      <diagonal/>
    </border>
    <border>
      <left/>
      <right style="thick">
        <color indexed="64"/>
      </right>
      <top style="medium">
        <color indexed="64"/>
      </top>
      <bottom style="medium">
        <color indexed="64"/>
      </bottom>
      <diagonal/>
    </border>
    <border>
      <left style="thick">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thick">
        <color indexed="64"/>
      </top>
      <bottom style="medium">
        <color indexed="64"/>
      </bottom>
      <diagonal/>
    </border>
    <border>
      <left/>
      <right style="double">
        <color indexed="64"/>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double">
        <color indexed="64"/>
      </right>
      <top style="medium">
        <color indexed="64"/>
      </top>
      <bottom style="medium">
        <color indexed="64"/>
      </bottom>
      <diagonal/>
    </border>
    <border>
      <left style="double">
        <color indexed="64"/>
      </left>
      <right style="medium">
        <color indexed="64"/>
      </right>
      <top/>
      <bottom style="medium">
        <color indexed="64"/>
      </bottom>
      <diagonal/>
    </border>
    <border>
      <left/>
      <right style="double">
        <color indexed="64"/>
      </right>
      <top style="thick">
        <color indexed="64"/>
      </top>
      <bottom style="medium">
        <color indexed="64"/>
      </bottom>
      <diagonal/>
    </border>
    <border>
      <left/>
      <right style="double">
        <color indexed="64"/>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double">
        <color indexed="64"/>
      </right>
      <top/>
      <bottom style="medium">
        <color indexed="64"/>
      </bottom>
      <diagonal/>
    </border>
    <border>
      <left/>
      <right style="thick">
        <color indexed="64"/>
      </right>
      <top style="medium">
        <color rgb="FF000000"/>
      </top>
      <bottom style="medium">
        <color indexed="64"/>
      </bottom>
      <diagonal/>
    </border>
    <border>
      <left/>
      <right/>
      <top style="medium">
        <color rgb="FF000000"/>
      </top>
      <bottom style="medium">
        <color indexed="64"/>
      </bottom>
      <diagonal/>
    </border>
    <border>
      <left/>
      <right style="thick">
        <color indexed="64"/>
      </right>
      <top style="medium">
        <color indexed="64"/>
      </top>
      <bottom style="medium">
        <color rgb="FF000000"/>
      </bottom>
      <diagonal/>
    </border>
    <border>
      <left/>
      <right/>
      <top style="medium">
        <color indexed="64"/>
      </top>
      <bottom style="medium">
        <color rgb="FF000000"/>
      </bottom>
      <diagonal/>
    </border>
    <border>
      <left style="thick">
        <color indexed="64"/>
      </left>
      <right style="medium">
        <color indexed="64"/>
      </right>
      <top/>
      <bottom style="medium">
        <color rgb="FF000000"/>
      </bottom>
      <diagonal/>
    </border>
    <border>
      <left style="medium">
        <color auto="1"/>
      </left>
      <right style="medium">
        <color auto="1"/>
      </right>
      <top style="medium">
        <color auto="1"/>
      </top>
      <bottom style="medium">
        <color auto="1"/>
      </bottom>
      <diagonal/>
    </border>
    <border>
      <left style="thin">
        <color indexed="64"/>
      </left>
      <right/>
      <top/>
      <bottom style="thin">
        <color theme="0" tint="-0.14993743705557422"/>
      </bottom>
      <diagonal/>
    </border>
    <border>
      <left/>
      <right/>
      <top/>
      <bottom style="thin">
        <color theme="0" tint="-0.14993743705557422"/>
      </bottom>
      <diagonal/>
    </border>
    <border>
      <left style="thin">
        <color indexed="64"/>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style="thin">
        <color indexed="64"/>
      </left>
      <right/>
      <top style="thin">
        <color theme="0" tint="-0.14993743705557422"/>
      </top>
      <bottom/>
      <diagonal/>
    </border>
    <border>
      <left/>
      <right/>
      <top style="thin">
        <color theme="0" tint="-0.14993743705557422"/>
      </top>
      <bottom/>
      <diagonal/>
    </border>
    <border>
      <left/>
      <right/>
      <top/>
      <bottom style="thin">
        <color theme="0" tint="-0.14990691854609822"/>
      </bottom>
      <diagonal/>
    </border>
    <border>
      <left/>
      <right style="thin">
        <color indexed="64"/>
      </right>
      <top/>
      <bottom style="thin">
        <color theme="0" tint="-0.24994659260841701"/>
      </bottom>
      <diagonal/>
    </border>
    <border>
      <left/>
      <right/>
      <top/>
      <bottom style="thin">
        <color theme="0" tint="-0.24994659260841701"/>
      </bottom>
      <diagonal/>
    </border>
    <border>
      <left/>
      <right style="thin">
        <color theme="0" tint="-0.14990691854609822"/>
      </right>
      <top/>
      <bottom style="thin">
        <color theme="0" tint="-0.14990691854609822"/>
      </bottom>
      <diagonal/>
    </border>
    <border>
      <left style="thin">
        <color theme="0" tint="-0.14990691854609822"/>
      </left>
      <right/>
      <top/>
      <bottom style="thin">
        <color theme="0" tint="-0.14993743705557422"/>
      </bottom>
      <diagonal/>
    </border>
    <border>
      <left style="thin">
        <color theme="0" tint="-0.14990691854609822"/>
      </left>
      <right/>
      <top/>
      <bottom style="thin">
        <color theme="0" tint="-0.14990691854609822"/>
      </bottom>
      <diagonal/>
    </border>
    <border>
      <left/>
      <right style="thin">
        <color theme="0" tint="-0.14990691854609822"/>
      </right>
      <top style="thin">
        <color theme="0" tint="-0.14990691854609822"/>
      </top>
      <bottom/>
      <diagonal/>
    </border>
    <border>
      <left/>
      <right/>
      <top style="thin">
        <color theme="0" tint="-0.14990691854609822"/>
      </top>
      <bottom/>
      <diagonal/>
    </border>
    <border>
      <left style="thin">
        <color theme="0" tint="-0.14990691854609822"/>
      </left>
      <right/>
      <top style="thin">
        <color theme="0" tint="-0.14990691854609822"/>
      </top>
      <bottom/>
      <diagonal/>
    </border>
    <border>
      <left/>
      <right/>
      <top/>
      <bottom style="thin">
        <color theme="0" tint="-0.1498764000366222"/>
      </bottom>
      <diagonal/>
    </border>
    <border>
      <left style="thin">
        <color theme="0" tint="-0.14990691854609822"/>
      </left>
      <right/>
      <top/>
      <bottom style="thin">
        <color theme="0" tint="-0.1498764000366222"/>
      </bottom>
      <diagonal/>
    </border>
    <border>
      <left/>
      <right/>
      <top style="thin">
        <color theme="0" tint="-0.24994659260841701"/>
      </top>
      <bottom/>
      <diagonal/>
    </border>
    <border>
      <left style="thin">
        <color theme="0" tint="-0.24994659260841701"/>
      </left>
      <right/>
      <top/>
      <bottom style="thin">
        <color theme="0" tint="-0.24994659260841701"/>
      </bottom>
      <diagonal/>
    </border>
    <border>
      <left style="thin">
        <color theme="0" tint="-0.14990691854609822"/>
      </left>
      <right/>
      <top style="thin">
        <color theme="0" tint="-0.1498764000366222"/>
      </top>
      <bottom style="thin">
        <color theme="0" tint="-0.1498764000366222"/>
      </bottom>
      <diagonal/>
    </border>
    <border>
      <left/>
      <right/>
      <top style="thin">
        <color theme="0" tint="-0.1498764000366222"/>
      </top>
      <bottom style="thin">
        <color theme="0" tint="-0.1498764000366222"/>
      </bottom>
      <diagonal/>
    </border>
    <border>
      <left/>
      <right/>
      <top/>
      <bottom style="thin">
        <color theme="0" tint="-0.1498458815271462"/>
      </bottom>
      <diagonal/>
    </border>
    <border>
      <left/>
      <right style="thin">
        <color indexed="64"/>
      </right>
      <top/>
      <bottom style="thin">
        <color theme="0" tint="-0.1498458815271462"/>
      </bottom>
      <diagonal/>
    </border>
    <border>
      <left/>
      <right style="thin">
        <color theme="0" tint="-0.14990691854609822"/>
      </right>
      <top style="thin">
        <color theme="0" tint="-0.1498764000366222"/>
      </top>
      <bottom style="thin">
        <color theme="0" tint="-0.1498764000366222"/>
      </bottom>
      <diagonal/>
    </border>
    <border>
      <left/>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theme="0" tint="-0.14990691854609822"/>
      </left>
      <right/>
      <top/>
      <bottom/>
      <diagonal/>
    </border>
    <border>
      <left/>
      <right style="thin">
        <color theme="0" tint="-0.14990691854609822"/>
      </right>
      <top/>
      <bottom/>
      <diagonal/>
    </border>
    <border>
      <left/>
      <right style="thin">
        <color theme="0" tint="-0.1498764000366222"/>
      </right>
      <top style="thin">
        <color theme="0" tint="-0.1498764000366222"/>
      </top>
      <bottom style="thin">
        <color theme="0" tint="-0.1498764000366222"/>
      </bottom>
      <diagonal/>
    </border>
    <border>
      <left style="thin">
        <color theme="0" tint="-0.1498764000366222"/>
      </left>
      <right/>
      <top style="thin">
        <color theme="0" tint="-0.1498764000366222"/>
      </top>
      <bottom/>
      <diagonal/>
    </border>
    <border>
      <left/>
      <right/>
      <top style="thin">
        <color theme="0" tint="-0.1498764000366222"/>
      </top>
      <bottom/>
      <diagonal/>
    </border>
    <border>
      <left style="thick">
        <color indexed="64"/>
      </left>
      <right style="thin">
        <color indexed="64"/>
      </right>
      <top style="double">
        <color indexed="64"/>
      </top>
      <bottom style="thin">
        <color indexed="64"/>
      </bottom>
      <diagonal/>
    </border>
    <border>
      <left/>
      <right style="hair">
        <color auto="1"/>
      </right>
      <top/>
      <bottom/>
      <diagonal/>
    </border>
    <border>
      <left style="hair">
        <color auto="1"/>
      </left>
      <right/>
      <top/>
      <bottom/>
      <diagonal/>
    </border>
    <border>
      <left style="thin">
        <color indexed="64"/>
      </left>
      <right/>
      <top/>
      <bottom style="double">
        <color auto="1"/>
      </bottom>
      <diagonal/>
    </border>
    <border>
      <left/>
      <right style="thin">
        <color indexed="64"/>
      </right>
      <top/>
      <bottom style="double">
        <color auto="1"/>
      </bottom>
      <diagonal/>
    </border>
    <border>
      <left style="dotted">
        <color auto="1"/>
      </left>
      <right style="dotted">
        <color auto="1"/>
      </right>
      <top style="double">
        <color auto="1"/>
      </top>
      <bottom style="dotted">
        <color auto="1"/>
      </bottom>
      <diagonal/>
    </border>
    <border>
      <left style="dotted">
        <color auto="1"/>
      </left>
      <right style="dotted">
        <color auto="1"/>
      </right>
      <top style="dotted">
        <color auto="1"/>
      </top>
      <bottom style="dotted">
        <color auto="1"/>
      </bottom>
      <diagonal/>
    </border>
    <border>
      <left/>
      <right/>
      <top/>
      <bottom style="double">
        <color auto="1"/>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right style="medium">
        <color indexed="64"/>
      </right>
      <top style="thin">
        <color indexed="64"/>
      </top>
      <bottom style="medium">
        <color indexed="64"/>
      </bottom>
      <diagonal/>
    </border>
    <border>
      <left style="thick">
        <color auto="1"/>
      </left>
      <right style="thin">
        <color indexed="64"/>
      </right>
      <top/>
      <bottom/>
      <diagonal/>
    </border>
    <border>
      <left/>
      <right/>
      <top style="medium">
        <color auto="1"/>
      </top>
      <bottom/>
      <diagonal/>
    </border>
    <border>
      <left/>
      <right/>
      <top style="thin">
        <color indexed="64"/>
      </top>
      <bottom style="medium">
        <color auto="1"/>
      </bottom>
      <diagonal/>
    </border>
    <border>
      <left style="thin">
        <color indexed="64"/>
      </left>
      <right style="thin">
        <color indexed="64"/>
      </right>
      <top style="thin">
        <color indexed="64"/>
      </top>
      <bottom style="double">
        <color auto="1"/>
      </bottom>
      <diagonal/>
    </border>
    <border>
      <left/>
      <right style="dotted">
        <color auto="1"/>
      </right>
      <top style="dotted">
        <color auto="1"/>
      </top>
      <bottom style="dotted">
        <color auto="1"/>
      </bottom>
      <diagonal/>
    </border>
    <border>
      <left/>
      <right/>
      <top style="dotted">
        <color auto="1"/>
      </top>
      <bottom style="dotted">
        <color auto="1"/>
      </bottom>
      <diagonal/>
    </border>
    <border>
      <left/>
      <right style="dotted">
        <color auto="1"/>
      </right>
      <top style="double">
        <color auto="1"/>
      </top>
      <bottom style="dotted">
        <color auto="1"/>
      </bottom>
      <diagonal/>
    </border>
    <border>
      <left/>
      <right/>
      <top style="double">
        <color auto="1"/>
      </top>
      <bottom style="dotted">
        <color auto="1"/>
      </bottom>
      <diagonal/>
    </border>
    <border>
      <left style="medium">
        <color indexed="64"/>
      </left>
      <right style="medium">
        <color auto="1"/>
      </right>
      <top/>
      <bottom/>
      <diagonal/>
    </border>
    <border>
      <left style="medium">
        <color indexed="64"/>
      </left>
      <right style="medium">
        <color indexed="64"/>
      </right>
      <top/>
      <bottom style="thin">
        <color indexed="64"/>
      </bottom>
      <diagonal/>
    </border>
    <border>
      <left/>
      <right style="medium">
        <color indexed="64"/>
      </right>
      <top/>
      <bottom/>
      <diagonal/>
    </border>
    <border>
      <left style="medium">
        <color auto="1"/>
      </left>
      <right style="medium">
        <color auto="1"/>
      </right>
      <top style="medium">
        <color auto="1"/>
      </top>
      <bottom style="thin">
        <color auto="1"/>
      </bottom>
      <diagonal/>
    </border>
    <border>
      <left/>
      <right style="medium">
        <color auto="1"/>
      </right>
      <top style="medium">
        <color auto="1"/>
      </top>
      <bottom/>
      <diagonal/>
    </border>
    <border>
      <left/>
      <right/>
      <top style="medium">
        <color auto="1"/>
      </top>
      <bottom style="thin">
        <color auto="1"/>
      </bottom>
      <diagonal/>
    </border>
    <border>
      <left style="medium">
        <color indexed="64"/>
      </left>
      <right style="medium">
        <color auto="1"/>
      </right>
      <top style="thin">
        <color indexed="64"/>
      </top>
      <bottom/>
      <diagonal/>
    </border>
    <border>
      <left/>
      <right style="medium">
        <color auto="1"/>
      </right>
      <top style="thin">
        <color indexed="64"/>
      </top>
      <bottom/>
      <diagonal/>
    </border>
    <border>
      <left style="medium">
        <color indexed="64"/>
      </left>
      <right style="medium">
        <color auto="1"/>
      </right>
      <top/>
      <bottom style="medium">
        <color indexed="64"/>
      </bottom>
      <diagonal/>
    </border>
    <border>
      <left/>
      <right/>
      <top/>
      <bottom style="medium">
        <color indexed="64"/>
      </bottom>
      <diagonal/>
    </border>
    <border>
      <left/>
      <right style="medium">
        <color auto="1"/>
      </right>
      <top/>
      <bottom style="medium">
        <color indexed="64"/>
      </bottom>
      <diagonal/>
    </border>
    <border>
      <left style="thin">
        <color indexed="64"/>
      </left>
      <right style="medium">
        <color auto="1"/>
      </right>
      <top/>
      <bottom style="medium">
        <color auto="1"/>
      </bottom>
      <diagonal/>
    </border>
    <border>
      <left style="thin">
        <color indexed="64"/>
      </left>
      <right/>
      <top/>
      <bottom style="medium">
        <color auto="1"/>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diagonal/>
    </border>
    <border>
      <left style="thick">
        <color auto="1"/>
      </left>
      <right style="medium">
        <color auto="1"/>
      </right>
      <top/>
      <bottom style="medium">
        <color auto="1"/>
      </bottom>
      <diagonal/>
    </border>
    <border>
      <left style="medium">
        <color indexed="64"/>
      </left>
      <right style="medium">
        <color auto="1"/>
      </right>
      <top style="medium">
        <color indexed="64"/>
      </top>
      <bottom style="medium">
        <color auto="1"/>
      </bottom>
      <diagonal/>
    </border>
    <border>
      <left/>
      <right style="medium">
        <color auto="1"/>
      </right>
      <top style="medium">
        <color indexed="64"/>
      </top>
      <bottom/>
      <diagonal/>
    </border>
    <border>
      <left style="medium">
        <color indexed="64"/>
      </left>
      <right/>
      <top/>
      <bottom style="medium">
        <color auto="1"/>
      </bottom>
      <diagonal/>
    </border>
    <border>
      <left style="medium">
        <color indexed="64"/>
      </left>
      <right style="thick">
        <color indexed="64"/>
      </right>
      <top style="medium">
        <color indexed="64"/>
      </top>
      <bottom style="medium">
        <color indexed="64"/>
      </bottom>
      <diagonal/>
    </border>
    <border>
      <left style="thick">
        <color auto="1"/>
      </left>
      <right style="thick">
        <color auto="1"/>
      </right>
      <top/>
      <bottom style="medium">
        <color auto="1"/>
      </bottom>
      <diagonal/>
    </border>
    <border>
      <left style="thick">
        <color indexed="64"/>
      </left>
      <right style="medium">
        <color indexed="64"/>
      </right>
      <top style="medium">
        <color indexed="64"/>
      </top>
      <bottom style="medium">
        <color indexed="64"/>
      </bottom>
      <diagonal/>
    </border>
    <border>
      <left style="thick">
        <color auto="1"/>
      </left>
      <right style="medium">
        <color indexed="64"/>
      </right>
      <top style="medium">
        <color auto="1"/>
      </top>
      <bottom/>
      <diagonal/>
    </border>
    <border>
      <left/>
      <right style="medium">
        <color indexed="64"/>
      </right>
      <top style="medium">
        <color auto="1"/>
      </top>
      <bottom/>
      <diagonal/>
    </border>
    <border>
      <left style="thick">
        <color auto="1"/>
      </left>
      <right style="medium">
        <color auto="1"/>
      </right>
      <top style="medium">
        <color auto="1"/>
      </top>
      <bottom style="medium">
        <color auto="1"/>
      </bottom>
      <diagonal/>
    </border>
    <border>
      <left style="medium">
        <color indexed="64"/>
      </left>
      <right style="thick">
        <color auto="1"/>
      </right>
      <top style="medium">
        <color indexed="64"/>
      </top>
      <bottom style="medium">
        <color auto="1"/>
      </bottom>
      <diagonal/>
    </border>
    <border>
      <left/>
      <right style="thick">
        <color auto="1"/>
      </right>
      <top style="medium">
        <color indexed="64"/>
      </top>
      <bottom/>
      <diagonal/>
    </border>
    <border>
      <left style="medium">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right style="thick">
        <color indexed="64"/>
      </right>
      <top/>
      <bottom/>
      <diagonal/>
    </border>
    <border>
      <left style="medium">
        <color indexed="64"/>
      </left>
      <right style="thick">
        <color auto="1"/>
      </right>
      <top/>
      <bottom/>
      <diagonal/>
    </border>
    <border>
      <left style="medium">
        <color indexed="64"/>
      </left>
      <right style="thick">
        <color auto="1"/>
      </right>
      <top/>
      <bottom style="medium">
        <color indexed="64"/>
      </bottom>
      <diagonal/>
    </border>
    <border>
      <left/>
      <right style="thick">
        <color auto="1"/>
      </right>
      <top/>
      <bottom style="medium">
        <color indexed="64"/>
      </bottom>
      <diagonal/>
    </border>
    <border>
      <left style="thick">
        <color indexed="64"/>
      </left>
      <right/>
      <top/>
      <bottom/>
      <diagonal/>
    </border>
    <border>
      <left style="thick">
        <color auto="1"/>
      </left>
      <right style="thick">
        <color auto="1"/>
      </right>
      <top/>
      <bottom/>
      <diagonal/>
    </border>
    <border>
      <left style="thick">
        <color auto="1"/>
      </left>
      <right style="thick">
        <color indexed="64"/>
      </right>
      <top/>
      <bottom style="thick">
        <color auto="1"/>
      </bottom>
      <diagonal/>
    </border>
    <border>
      <left/>
      <right/>
      <top/>
      <bottom style="thick">
        <color auto="1"/>
      </bottom>
      <diagonal/>
    </border>
    <border>
      <left/>
      <right style="thick">
        <color indexed="64"/>
      </right>
      <top/>
      <bottom style="thick">
        <color auto="1"/>
      </bottom>
      <diagonal/>
    </border>
    <border>
      <left style="thick">
        <color indexed="64"/>
      </left>
      <right style="thick">
        <color indexed="64"/>
      </right>
      <top style="thick">
        <color indexed="64"/>
      </top>
      <bottom style="thick">
        <color indexed="64"/>
      </bottom>
      <diagonal/>
    </border>
    <border>
      <left style="thin">
        <color theme="0" tint="-0.1498764000366222"/>
      </left>
      <right style="thin">
        <color indexed="64"/>
      </right>
      <top/>
      <bottom style="thin">
        <color theme="0" tint="-0.14984588152714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0691854609822"/>
      </left>
      <right style="thin">
        <color theme="0" tint="-0.14990691854609822"/>
      </right>
      <top/>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style="thin">
        <color indexed="64"/>
      </right>
      <top/>
      <bottom style="thin">
        <color indexed="64"/>
      </bottom>
      <diagonal/>
    </border>
    <border>
      <left style="thin">
        <color theme="0" tint="-0.14990691854609822"/>
      </left>
      <right style="thin">
        <color theme="0" tint="-0.14990691854609822"/>
      </right>
      <top style="thin">
        <color theme="0" tint="-0.1498764000366222"/>
      </top>
      <bottom style="thin">
        <color theme="0" tint="-0.1498764000366222"/>
      </bottom>
      <diagonal/>
    </border>
    <border>
      <left style="thick">
        <color indexed="64"/>
      </left>
      <right/>
      <top/>
      <bottom style="thick">
        <color indexed="64"/>
      </bottom>
      <diagonal/>
    </border>
    <border>
      <left style="thick">
        <color indexed="64"/>
      </left>
      <right/>
      <top/>
      <bottom style="thin">
        <color indexed="64"/>
      </bottom>
      <diagonal/>
    </border>
    <border>
      <left style="medium">
        <color indexed="64"/>
      </left>
      <right style="thick">
        <color indexed="64"/>
      </right>
      <top style="medium">
        <color indexed="64"/>
      </top>
      <bottom style="medium">
        <color rgb="FF000000"/>
      </bottom>
      <diagonal/>
    </border>
    <border>
      <left style="medium">
        <color indexed="64"/>
      </left>
      <right style="thick">
        <color indexed="64"/>
      </right>
      <top style="medium">
        <color rgb="FF000000"/>
      </top>
      <bottom style="medium">
        <color indexed="64"/>
      </bottom>
      <diagonal/>
    </border>
    <border>
      <left/>
      <right/>
      <top style="medium">
        <color indexed="64"/>
      </top>
      <bottom style="medium">
        <color auto="1"/>
      </bottom>
      <diagonal/>
    </border>
    <border>
      <left style="medium">
        <color indexed="64"/>
      </left>
      <right style="thick">
        <color indexed="64"/>
      </right>
      <top/>
      <bottom style="thick">
        <color indexed="64"/>
      </bottom>
      <diagonal/>
    </border>
    <border>
      <left style="thick">
        <color indexed="64"/>
      </left>
      <right style="medium">
        <color indexed="64"/>
      </right>
      <top style="medium">
        <color indexed="64"/>
      </top>
      <bottom style="thick">
        <color indexed="64"/>
      </bottom>
      <diagonal/>
    </border>
    <border>
      <left style="double">
        <color indexed="64"/>
      </left>
      <right style="medium">
        <color indexed="64"/>
      </right>
      <top style="medium">
        <color indexed="64"/>
      </top>
      <bottom style="double">
        <color indexed="64"/>
      </bottom>
      <diagonal/>
    </border>
    <border>
      <left style="medium">
        <color indexed="64"/>
      </left>
      <right style="double">
        <color indexed="64"/>
      </right>
      <top style="medium">
        <color indexed="64"/>
      </top>
      <bottom style="double">
        <color indexed="64"/>
      </bottom>
      <diagonal/>
    </border>
    <border>
      <left style="medium">
        <color indexed="64"/>
      </left>
      <right style="double">
        <color indexed="64"/>
      </right>
      <top style="medium">
        <color indexed="64"/>
      </top>
      <bottom style="medium">
        <color indexed="64"/>
      </bottom>
      <diagonal/>
    </border>
    <border>
      <left style="double">
        <color indexed="64"/>
      </left>
      <right style="medium">
        <color indexed="64"/>
      </right>
      <top style="medium">
        <color indexed="64"/>
      </top>
      <bottom style="medium">
        <color indexed="64"/>
      </bottom>
      <diagonal/>
    </border>
    <border>
      <left style="double">
        <color indexed="64"/>
      </left>
      <right style="medium">
        <color indexed="64"/>
      </right>
      <top style="medium">
        <color indexed="64"/>
      </top>
      <bottom style="thick">
        <color indexed="64"/>
      </bottom>
      <diagonal/>
    </border>
    <border>
      <left style="medium">
        <color indexed="64"/>
      </left>
      <right style="double">
        <color indexed="64"/>
      </right>
      <top style="medium">
        <color indexed="64"/>
      </top>
      <bottom style="thick">
        <color indexed="64"/>
      </bottom>
      <diagonal/>
    </border>
    <border>
      <left style="medium">
        <color indexed="64"/>
      </left>
      <right style="double">
        <color indexed="64"/>
      </right>
      <top style="thick">
        <color indexed="64"/>
      </top>
      <bottom style="medium">
        <color indexed="64"/>
      </bottom>
      <diagonal/>
    </border>
    <border>
      <left/>
      <right/>
      <top style="thick">
        <color indexed="64"/>
      </top>
      <bottom style="medium">
        <color indexed="64"/>
      </bottom>
      <diagonal/>
    </border>
    <border>
      <left style="double">
        <color indexed="64"/>
      </left>
      <right style="medium">
        <color auto="1"/>
      </right>
      <top/>
      <bottom style="medium">
        <color indexed="64"/>
      </bottom>
      <diagonal/>
    </border>
    <border>
      <left style="medium">
        <color indexed="64"/>
      </left>
      <right style="double">
        <color indexed="64"/>
      </right>
      <top/>
      <bottom style="medium">
        <color indexed="64"/>
      </bottom>
      <diagonal/>
    </border>
    <border>
      <left/>
      <right style="thick">
        <color auto="1"/>
      </right>
      <top style="thick">
        <color indexed="64"/>
      </top>
      <bottom style="medium">
        <color auto="1"/>
      </bottom>
      <diagonal/>
    </border>
    <border>
      <left/>
      <right style="thick">
        <color auto="1"/>
      </right>
      <top style="thick">
        <color indexed="64"/>
      </top>
      <bottom/>
      <diagonal/>
    </border>
    <border>
      <left style="thick">
        <color auto="1"/>
      </left>
      <right style="thick">
        <color indexed="64"/>
      </right>
      <top style="medium">
        <color auto="1"/>
      </top>
      <bottom/>
      <diagonal/>
    </border>
    <border>
      <left/>
      <right style="thick">
        <color indexed="64"/>
      </right>
      <top style="medium">
        <color auto="1"/>
      </top>
      <bottom/>
      <diagonal/>
    </border>
    <border>
      <left style="thick">
        <color indexed="64"/>
      </left>
      <right style="thick">
        <color indexed="64"/>
      </right>
      <top style="medium">
        <color indexed="64"/>
      </top>
      <bottom style="medium">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style="thick">
        <color auto="1"/>
      </right>
      <top style="thick">
        <color indexed="64"/>
      </top>
      <bottom style="medium">
        <color indexed="64"/>
      </bottom>
      <diagonal/>
    </border>
    <border>
      <left/>
      <right style="thick">
        <color auto="1"/>
      </right>
      <top style="thick">
        <color indexed="64"/>
      </top>
      <bottom style="medium">
        <color indexed="64"/>
      </bottom>
      <diagonal/>
    </border>
    <border>
      <left/>
      <right style="thin">
        <color indexed="64"/>
      </right>
      <top style="thick">
        <color indexed="64"/>
      </top>
      <bottom style="thin">
        <color indexed="64"/>
      </bottom>
      <diagonal/>
    </border>
    <border>
      <left/>
      <right style="thin">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right style="medium">
        <color auto="1"/>
      </right>
      <top style="medium">
        <color auto="1"/>
      </top>
      <bottom style="medium">
        <color auto="1"/>
      </bottom>
      <diagonal/>
    </border>
    <border>
      <left/>
      <right/>
      <top style="medium">
        <color auto="1"/>
      </top>
      <bottom style="medium">
        <color auto="1"/>
      </bottom>
      <diagonal/>
    </border>
    <border>
      <left style="thin">
        <color indexed="64"/>
      </left>
      <right style="medium">
        <color auto="1"/>
      </right>
      <top style="thin">
        <color indexed="64"/>
      </top>
      <bottom/>
      <diagonal/>
    </border>
    <border>
      <left/>
      <right style="thin">
        <color indexed="64"/>
      </right>
      <top/>
      <bottom style="medium">
        <color auto="1"/>
      </bottom>
      <diagonal/>
    </border>
    <border>
      <left style="thin">
        <color indexed="64"/>
      </left>
      <right style="medium">
        <color auto="1"/>
      </right>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auto="1"/>
      </right>
      <top style="medium">
        <color auto="1"/>
      </top>
      <bottom style="thin">
        <color indexed="64"/>
      </bottom>
      <diagonal/>
    </border>
    <border>
      <left style="thick">
        <color indexed="64"/>
      </left>
      <right style="thick">
        <color indexed="64"/>
      </right>
      <top style="thin">
        <color indexed="64"/>
      </top>
      <bottom style="thin">
        <color indexed="64"/>
      </bottom>
      <diagonal/>
    </border>
    <border>
      <left/>
      <right/>
      <top style="thin">
        <color auto="1"/>
      </top>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thick">
        <color indexed="64"/>
      </bottom>
      <diagonal/>
    </border>
  </borders>
  <cellStyleXfs count="4">
    <xf numFmtId="0" fontId="0" fillId="0" borderId="0">
      <alignment vertical="center"/>
    </xf>
    <xf numFmtId="0" fontId="20" fillId="0" borderId="0">
      <alignment vertical="center"/>
    </xf>
    <xf numFmtId="0" fontId="71" fillId="0" borderId="0">
      <alignment vertical="center"/>
    </xf>
    <xf numFmtId="0" fontId="73" fillId="0" borderId="0"/>
  </cellStyleXfs>
  <cellXfs count="1299">
    <xf numFmtId="0" fontId="0" fillId="0" borderId="0" xfId="0" applyAlignment="1">
      <alignment vertical="center"/>
    </xf>
    <xf numFmtId="0" fontId="0" fillId="0" borderId="3" xfId="0" applyBorder="1" applyAlignment="1">
      <alignment vertical="center"/>
    </xf>
    <xf numFmtId="0" fontId="2" fillId="0" borderId="7" xfId="0" applyFont="1" applyBorder="1" applyAlignment="1">
      <alignment horizontal="justify" vertical="top" wrapText="1"/>
    </xf>
    <xf numFmtId="0" fontId="2" fillId="0" borderId="8" xfId="0" applyFont="1" applyBorder="1" applyAlignment="1">
      <alignment horizontal="justify" vertical="top" wrapText="1"/>
    </xf>
    <xf numFmtId="0" fontId="2" fillId="0" borderId="9" xfId="0" applyFont="1" applyBorder="1" applyAlignment="1">
      <alignment horizontal="justify" vertical="top" wrapText="1"/>
    </xf>
    <xf numFmtId="0" fontId="3" fillId="0" borderId="0" xfId="0" applyFont="1" applyAlignment="1">
      <alignment vertical="center"/>
    </xf>
    <xf numFmtId="0" fontId="0" fillId="0" borderId="0" xfId="0" applyAlignment="1" applyProtection="1">
      <alignment vertical="center"/>
      <protection hidden="1"/>
    </xf>
    <xf numFmtId="0" fontId="5" fillId="0" borderId="0" xfId="0" applyFont="1" applyAlignment="1" applyProtection="1">
      <alignment vertical="center"/>
      <protection hidden="1"/>
    </xf>
    <xf numFmtId="0" fontId="6" fillId="0" borderId="0" xfId="0" applyFont="1" applyAlignment="1" applyProtection="1">
      <alignment vertical="center"/>
      <protection hidden="1"/>
    </xf>
    <xf numFmtId="0" fontId="8" fillId="0" borderId="0" xfId="0" applyFont="1" applyAlignment="1" applyProtection="1">
      <alignment vertical="center"/>
      <protection hidden="1"/>
    </xf>
    <xf numFmtId="0" fontId="8" fillId="0" borderId="0" xfId="0" applyFont="1" applyAlignment="1" applyProtection="1">
      <alignment horizontal="left" vertical="center" indent="5"/>
      <protection hidden="1"/>
    </xf>
    <xf numFmtId="0" fontId="7" fillId="0" borderId="0" xfId="0" applyFont="1" applyAlignment="1" applyProtection="1">
      <alignment vertical="center"/>
      <protection hidden="1"/>
    </xf>
    <xf numFmtId="0" fontId="7" fillId="0" borderId="0" xfId="0" applyFont="1" applyAlignment="1" applyProtection="1">
      <alignment vertical="top"/>
      <protection hidden="1"/>
    </xf>
    <xf numFmtId="0" fontId="7" fillId="0" borderId="0" xfId="0" applyFont="1" applyAlignment="1">
      <alignment vertical="center" wrapText="1"/>
    </xf>
    <xf numFmtId="0" fontId="9" fillId="0" borderId="0" xfId="0" applyFont="1" applyAlignment="1">
      <alignment vertical="center"/>
    </xf>
    <xf numFmtId="0" fontId="10" fillId="0" borderId="0" xfId="0" applyFont="1" applyAlignment="1">
      <alignment vertical="center"/>
    </xf>
    <xf numFmtId="0" fontId="12" fillId="0" borderId="0" xfId="0" applyFont="1" applyAlignment="1" applyProtection="1">
      <alignment vertical="center"/>
      <protection hidden="1"/>
    </xf>
    <xf numFmtId="0" fontId="9" fillId="0" borderId="0" xfId="0" applyFont="1" applyAlignment="1" applyProtection="1">
      <alignment vertical="center"/>
      <protection hidden="1"/>
    </xf>
    <xf numFmtId="0" fontId="14" fillId="0" borderId="0" xfId="0" applyFont="1" applyAlignment="1" applyProtection="1">
      <alignment vertical="center"/>
      <protection hidden="1"/>
    </xf>
    <xf numFmtId="0" fontId="15" fillId="0" borderId="0" xfId="0" applyFont="1" applyAlignment="1" applyProtection="1">
      <alignment horizontal="left" vertical="center"/>
      <protection hidden="1"/>
    </xf>
    <xf numFmtId="0" fontId="16" fillId="0" borderId="0" xfId="0" applyFont="1" applyAlignment="1" applyProtection="1">
      <alignment vertical="center"/>
      <protection hidden="1"/>
    </xf>
    <xf numFmtId="0" fontId="17" fillId="0" borderId="0" xfId="0" applyFont="1" applyAlignment="1" applyProtection="1">
      <alignment horizontal="left" vertical="center" wrapText="1"/>
      <protection hidden="1"/>
    </xf>
    <xf numFmtId="0" fontId="17" fillId="0" borderId="0" xfId="0" applyFont="1" applyAlignment="1" applyProtection="1">
      <alignment vertical="center"/>
      <protection hidden="1"/>
    </xf>
    <xf numFmtId="0" fontId="17" fillId="0" borderId="0" xfId="0" applyFont="1" applyAlignment="1" applyProtection="1">
      <alignment horizontal="left" vertical="center" indent="1"/>
      <protection hidden="1"/>
    </xf>
    <xf numFmtId="0" fontId="18" fillId="0" borderId="0" xfId="0" applyFont="1" applyAlignment="1" applyProtection="1">
      <alignment horizontal="center" vertical="center"/>
      <protection hidden="1"/>
    </xf>
    <xf numFmtId="0" fontId="20" fillId="0" borderId="0" xfId="1" applyAlignment="1">
      <alignment vertical="center"/>
    </xf>
    <xf numFmtId="0" fontId="20" fillId="0" borderId="0" xfId="1" applyAlignment="1" applyProtection="1">
      <alignment vertical="center"/>
      <protection hidden="1"/>
    </xf>
    <xf numFmtId="0" fontId="20" fillId="0" borderId="9" xfId="1" applyBorder="1" applyAlignment="1" applyProtection="1">
      <alignment vertical="center"/>
      <protection hidden="1"/>
    </xf>
    <xf numFmtId="0" fontId="20" fillId="0" borderId="13" xfId="1" applyBorder="1" applyAlignment="1" applyProtection="1">
      <alignment vertical="center"/>
      <protection hidden="1"/>
    </xf>
    <xf numFmtId="0" fontId="21" fillId="0" borderId="13" xfId="1" applyFont="1" applyBorder="1" applyAlignment="1" applyProtection="1">
      <alignment vertical="center"/>
      <protection hidden="1"/>
    </xf>
    <xf numFmtId="0" fontId="21" fillId="0" borderId="0" xfId="1" applyFont="1" applyAlignment="1" applyProtection="1">
      <alignment vertical="center"/>
      <protection hidden="1"/>
    </xf>
    <xf numFmtId="0" fontId="21" fillId="0" borderId="0" xfId="1" applyFont="1" applyAlignment="1">
      <alignment vertical="center"/>
    </xf>
    <xf numFmtId="0" fontId="21" fillId="0" borderId="0" xfId="1" applyFont="1" applyAlignment="1" applyProtection="1">
      <alignment horizontal="center" vertical="center"/>
      <protection hidden="1"/>
    </xf>
    <xf numFmtId="0" fontId="0" fillId="0" borderId="0" xfId="0" applyAlignment="1">
      <alignment vertical="center" wrapText="1"/>
    </xf>
    <xf numFmtId="0" fontId="6" fillId="3" borderId="5" xfId="0" applyFont="1" applyFill="1" applyBorder="1" applyAlignment="1">
      <alignment horizontal="center" vertical="center"/>
    </xf>
    <xf numFmtId="0" fontId="5" fillId="2" borderId="5" xfId="0" applyFont="1" applyFill="1" applyBorder="1" applyAlignment="1">
      <alignment vertical="center"/>
    </xf>
    <xf numFmtId="0" fontId="5" fillId="5" borderId="0" xfId="0" applyFont="1" applyFill="1" applyAlignment="1">
      <alignment vertical="center"/>
    </xf>
    <xf numFmtId="0" fontId="6" fillId="7" borderId="5" xfId="0" applyFont="1" applyFill="1" applyBorder="1" applyAlignment="1">
      <alignment horizontal="center" vertical="center"/>
    </xf>
    <xf numFmtId="0" fontId="5" fillId="6" borderId="5" xfId="0" applyFont="1" applyFill="1" applyBorder="1" applyAlignment="1">
      <alignment horizontal="center" vertical="center"/>
    </xf>
    <xf numFmtId="0" fontId="5" fillId="3" borderId="5" xfId="0" applyFont="1" applyFill="1" applyBorder="1" applyAlignment="1">
      <alignment horizontal="center" vertical="center"/>
    </xf>
    <xf numFmtId="0" fontId="2" fillId="0" borderId="13" xfId="1" applyFont="1" applyBorder="1" applyAlignment="1" applyProtection="1">
      <alignment vertical="center"/>
      <protection hidden="1"/>
    </xf>
    <xf numFmtId="0" fontId="2" fillId="0" borderId="13" xfId="1" applyFont="1" applyBorder="1" applyAlignment="1" applyProtection="1">
      <alignment horizontal="center" vertical="center"/>
      <protection hidden="1"/>
    </xf>
    <xf numFmtId="0" fontId="5" fillId="0" borderId="5" xfId="0" applyFont="1" applyBorder="1" applyAlignment="1">
      <alignment vertical="center"/>
    </xf>
    <xf numFmtId="0" fontId="0" fillId="0" borderId="0" xfId="0" applyAlignment="1">
      <alignment horizontal="left" vertical="center"/>
    </xf>
    <xf numFmtId="0" fontId="24" fillId="0" borderId="5" xfId="0" applyFont="1" applyBorder="1" applyAlignment="1">
      <alignment horizontal="center" vertical="center" wrapText="1"/>
    </xf>
    <xf numFmtId="0" fontId="5" fillId="0" borderId="5" xfId="0" applyFont="1" applyBorder="1" applyAlignment="1">
      <alignment vertical="center" wrapText="1"/>
    </xf>
    <xf numFmtId="0" fontId="5" fillId="5" borderId="0" xfId="0" applyFont="1" applyFill="1" applyAlignment="1">
      <alignment horizontal="left" vertical="center"/>
    </xf>
    <xf numFmtId="0" fontId="5" fillId="4" borderId="5" xfId="0" applyFont="1" applyFill="1" applyBorder="1" applyAlignment="1">
      <alignment horizontal="center" vertical="center"/>
    </xf>
    <xf numFmtId="0" fontId="5" fillId="5" borderId="0" xfId="0" applyFont="1" applyFill="1" applyAlignment="1">
      <alignment vertical="center" wrapText="1"/>
    </xf>
    <xf numFmtId="0" fontId="5" fillId="0" borderId="13" xfId="0" applyFont="1" applyBorder="1" applyAlignment="1">
      <alignment vertical="center"/>
    </xf>
    <xf numFmtId="0" fontId="5" fillId="0" borderId="19" xfId="0" applyFont="1" applyBorder="1" applyAlignment="1">
      <alignment vertical="center"/>
    </xf>
    <xf numFmtId="0" fontId="5" fillId="0" borderId="0" xfId="0" applyFont="1" applyAlignment="1">
      <alignment vertical="top" wrapText="1"/>
    </xf>
    <xf numFmtId="0" fontId="24" fillId="0" borderId="0" xfId="0" applyFont="1" applyAlignment="1">
      <alignment vertical="center"/>
    </xf>
    <xf numFmtId="0" fontId="27" fillId="0" borderId="0" xfId="0" applyFont="1" applyAlignment="1">
      <alignment vertical="center"/>
    </xf>
    <xf numFmtId="0" fontId="28" fillId="0" borderId="0" xfId="0" applyFont="1" applyAlignment="1">
      <alignment vertical="center"/>
    </xf>
    <xf numFmtId="0" fontId="29" fillId="0" borderId="0" xfId="0" applyFont="1" applyAlignment="1">
      <alignment vertical="center"/>
    </xf>
    <xf numFmtId="0" fontId="12" fillId="0" borderId="0" xfId="0" applyFont="1" applyAlignment="1">
      <alignment horizontal="justify" vertical="center" wrapText="1"/>
    </xf>
    <xf numFmtId="0" fontId="12" fillId="0" borderId="30" xfId="0" applyFont="1" applyBorder="1" applyAlignment="1">
      <alignment horizontal="justify" vertical="center" wrapText="1"/>
    </xf>
    <xf numFmtId="0" fontId="12" fillId="0" borderId="31" xfId="0" applyFont="1" applyBorder="1" applyAlignment="1">
      <alignment horizontal="justify" vertical="center" wrapText="1"/>
    </xf>
    <xf numFmtId="0" fontId="12" fillId="0" borderId="32" xfId="0" applyFont="1" applyBorder="1" applyAlignment="1">
      <alignment horizontal="justify" vertical="center" wrapText="1"/>
    </xf>
    <xf numFmtId="0" fontId="30" fillId="0" borderId="31" xfId="0" applyFont="1" applyBorder="1" applyAlignment="1">
      <alignment horizontal="justify" vertical="center" wrapText="1"/>
    </xf>
    <xf numFmtId="0" fontId="30" fillId="0" borderId="31" xfId="0" applyFont="1" applyBorder="1" applyAlignment="1">
      <alignment horizontal="center" vertical="center" wrapText="1"/>
    </xf>
    <xf numFmtId="0" fontId="6" fillId="0" borderId="32" xfId="0" applyFont="1" applyBorder="1" applyAlignment="1">
      <alignment horizontal="justify" vertical="center" wrapText="1"/>
    </xf>
    <xf numFmtId="0" fontId="31" fillId="0" borderId="33" xfId="0" applyFont="1" applyBorder="1" applyAlignment="1">
      <alignment horizontal="justify" vertical="center" wrapText="1"/>
    </xf>
    <xf numFmtId="0" fontId="31" fillId="0" borderId="34" xfId="0" applyFont="1" applyBorder="1" applyAlignment="1">
      <alignment horizontal="justify" vertical="center" wrapText="1"/>
    </xf>
    <xf numFmtId="0" fontId="31" fillId="0" borderId="35" xfId="0" applyFont="1" applyBorder="1" applyAlignment="1">
      <alignment horizontal="justify" vertical="center" wrapText="1"/>
    </xf>
    <xf numFmtId="0" fontId="35" fillId="0" borderId="0" xfId="0" applyFont="1" applyAlignment="1">
      <alignment vertical="center"/>
    </xf>
    <xf numFmtId="0" fontId="36" fillId="0" borderId="0" xfId="0" applyFont="1" applyAlignment="1">
      <alignment vertical="center"/>
    </xf>
    <xf numFmtId="0" fontId="5" fillId="0" borderId="40" xfId="0" applyFont="1" applyBorder="1" applyAlignment="1">
      <alignment vertical="center"/>
    </xf>
    <xf numFmtId="0" fontId="5" fillId="0" borderId="41" xfId="0" applyFont="1" applyBorder="1" applyAlignment="1">
      <alignment vertical="center"/>
    </xf>
    <xf numFmtId="0" fontId="5" fillId="0" borderId="37" xfId="0" applyFont="1" applyBorder="1" applyAlignment="1">
      <alignment vertical="center"/>
    </xf>
    <xf numFmtId="0" fontId="5" fillId="0" borderId="38" xfId="0" applyFont="1" applyBorder="1" applyAlignment="1">
      <alignment vertical="center"/>
    </xf>
    <xf numFmtId="0" fontId="30" fillId="0" borderId="41" xfId="0" applyFont="1" applyBorder="1" applyAlignment="1">
      <alignment vertical="center"/>
    </xf>
    <xf numFmtId="0" fontId="5" fillId="0" borderId="39" xfId="0" applyFont="1" applyBorder="1" applyAlignment="1">
      <alignment vertical="center"/>
    </xf>
    <xf numFmtId="0" fontId="5" fillId="0" borderId="36" xfId="0" applyFont="1" applyBorder="1" applyAlignment="1">
      <alignment vertical="center"/>
    </xf>
    <xf numFmtId="0" fontId="5" fillId="0" borderId="30" xfId="0" applyFont="1" applyBorder="1" applyAlignment="1">
      <alignment vertical="center"/>
    </xf>
    <xf numFmtId="0" fontId="37" fillId="0" borderId="0" xfId="0" applyFont="1" applyAlignment="1">
      <alignment vertical="center"/>
    </xf>
    <xf numFmtId="0" fontId="5" fillId="0" borderId="42" xfId="0" applyFont="1" applyBorder="1" applyAlignment="1">
      <alignment vertical="center"/>
    </xf>
    <xf numFmtId="0" fontId="5" fillId="0" borderId="43" xfId="0" applyFont="1" applyBorder="1" applyAlignment="1">
      <alignment vertical="center"/>
    </xf>
    <xf numFmtId="0" fontId="5" fillId="0" borderId="44" xfId="0" applyFont="1" applyBorder="1" applyAlignment="1">
      <alignment vertical="center"/>
    </xf>
    <xf numFmtId="0" fontId="5" fillId="0" borderId="50" xfId="0" applyFont="1" applyBorder="1" applyAlignment="1">
      <alignment vertical="center"/>
    </xf>
    <xf numFmtId="0" fontId="5" fillId="0" borderId="47" xfId="0" applyFont="1" applyBorder="1" applyAlignment="1">
      <alignment vertical="center"/>
    </xf>
    <xf numFmtId="0" fontId="30" fillId="0" borderId="51" xfId="0" applyFont="1" applyBorder="1" applyAlignment="1">
      <alignment vertical="center"/>
    </xf>
    <xf numFmtId="0" fontId="5" fillId="0" borderId="52" xfId="0" applyFont="1" applyBorder="1" applyAlignment="1">
      <alignment vertical="center"/>
    </xf>
    <xf numFmtId="0" fontId="30" fillId="0" borderId="53" xfId="0" applyFont="1" applyBorder="1" applyAlignment="1">
      <alignment vertical="center"/>
    </xf>
    <xf numFmtId="0" fontId="30" fillId="0" borderId="49" xfId="0" applyFont="1" applyBorder="1" applyAlignment="1">
      <alignment vertical="center"/>
    </xf>
    <xf numFmtId="0" fontId="5" fillId="0" borderId="54" xfId="0" applyFont="1" applyBorder="1" applyAlignment="1">
      <alignment vertical="center"/>
    </xf>
    <xf numFmtId="0" fontId="6" fillId="0" borderId="0" xfId="0" applyFont="1" applyAlignment="1">
      <alignment vertical="center"/>
    </xf>
    <xf numFmtId="0" fontId="30" fillId="0" borderId="0" xfId="0" applyFont="1" applyAlignment="1">
      <alignment vertical="center"/>
    </xf>
    <xf numFmtId="0" fontId="5" fillId="0" borderId="55" xfId="0" applyFont="1" applyBorder="1" applyAlignment="1">
      <alignment vertical="center"/>
    </xf>
    <xf numFmtId="0" fontId="5" fillId="0" borderId="56" xfId="0" applyFont="1" applyBorder="1" applyAlignment="1">
      <alignment vertical="center"/>
    </xf>
    <xf numFmtId="0" fontId="5" fillId="0" borderId="16" xfId="0" applyFont="1" applyBorder="1" applyAlignment="1">
      <alignment vertical="center"/>
    </xf>
    <xf numFmtId="0" fontId="5" fillId="0" borderId="57" xfId="0" applyFont="1" applyBorder="1" applyAlignment="1">
      <alignment vertical="center"/>
    </xf>
    <xf numFmtId="0" fontId="5" fillId="0" borderId="14" xfId="0" applyFont="1" applyBorder="1" applyAlignment="1">
      <alignment vertical="center"/>
    </xf>
    <xf numFmtId="0" fontId="38" fillId="0" borderId="0" xfId="1" applyFont="1" applyAlignment="1">
      <alignment vertical="center"/>
    </xf>
    <xf numFmtId="0" fontId="24" fillId="0" borderId="0" xfId="0" applyFont="1" applyAlignment="1">
      <alignment horizontal="left" vertical="center" wrapText="1"/>
    </xf>
    <xf numFmtId="0" fontId="6" fillId="0" borderId="59" xfId="0" applyFont="1" applyBorder="1" applyAlignment="1" applyProtection="1">
      <alignment horizontal="distributed" vertical="center" wrapText="1"/>
      <protection hidden="1"/>
    </xf>
    <xf numFmtId="0" fontId="6" fillId="0" borderId="5" xfId="0" applyFont="1" applyBorder="1" applyAlignment="1" applyProtection="1">
      <alignment horizontal="distributed" vertical="center" wrapText="1"/>
      <protection hidden="1"/>
    </xf>
    <xf numFmtId="0" fontId="6" fillId="0" borderId="5" xfId="0" applyFont="1" applyBorder="1" applyAlignment="1" applyProtection="1">
      <alignment vertical="center" wrapText="1"/>
      <protection hidden="1"/>
    </xf>
    <xf numFmtId="0" fontId="6" fillId="0" borderId="61" xfId="0" applyFont="1" applyBorder="1" applyAlignment="1" applyProtection="1">
      <alignment horizontal="distributed" vertical="center" wrapText="1"/>
      <protection hidden="1"/>
    </xf>
    <xf numFmtId="0" fontId="6" fillId="0" borderId="62" xfId="0" applyFont="1" applyBorder="1" applyAlignment="1" applyProtection="1">
      <alignment horizontal="justify" vertical="center" wrapText="1"/>
      <protection hidden="1"/>
    </xf>
    <xf numFmtId="0" fontId="6" fillId="0" borderId="9" xfId="0" applyFont="1" applyBorder="1" applyAlignment="1" applyProtection="1">
      <alignment horizontal="center" vertical="center" wrapText="1"/>
      <protection hidden="1"/>
    </xf>
    <xf numFmtId="0" fontId="5" fillId="0" borderId="63" xfId="0" applyFont="1" applyBorder="1" applyAlignment="1" applyProtection="1">
      <alignment horizontal="justify" vertical="center" wrapText="1"/>
      <protection hidden="1"/>
    </xf>
    <xf numFmtId="0" fontId="6" fillId="0" borderId="5" xfId="0" applyFont="1" applyBorder="1" applyAlignment="1" applyProtection="1">
      <alignment horizontal="justify" vertical="center" wrapText="1"/>
      <protection hidden="1"/>
    </xf>
    <xf numFmtId="0" fontId="5" fillId="0" borderId="5" xfId="0" applyFont="1" applyBorder="1" applyAlignment="1" applyProtection="1">
      <alignment vertical="center" wrapText="1"/>
      <protection hidden="1"/>
    </xf>
    <xf numFmtId="0" fontId="6" fillId="0" borderId="64" xfId="0" applyFont="1" applyBorder="1" applyAlignment="1" applyProtection="1">
      <alignment horizontal="justify" vertical="center" wrapText="1"/>
      <protection hidden="1"/>
    </xf>
    <xf numFmtId="0" fontId="27" fillId="0" borderId="0" xfId="0" applyFont="1" applyAlignment="1">
      <alignment vertical="center" wrapText="1"/>
    </xf>
    <xf numFmtId="0" fontId="6" fillId="0" borderId="68" xfId="0" applyFont="1" applyBorder="1" applyAlignment="1" applyProtection="1">
      <alignment horizontal="distributed" vertical="center" wrapText="1"/>
      <protection hidden="1"/>
    </xf>
    <xf numFmtId="0" fontId="39" fillId="0" borderId="0" xfId="0" applyFont="1" applyAlignment="1">
      <alignment vertical="center"/>
    </xf>
    <xf numFmtId="0" fontId="8" fillId="0" borderId="0" xfId="0" applyFont="1" applyAlignment="1">
      <alignment vertical="center"/>
    </xf>
    <xf numFmtId="0" fontId="40" fillId="0" borderId="0" xfId="0" applyFont="1" applyAlignment="1">
      <alignment vertical="center"/>
    </xf>
    <xf numFmtId="0" fontId="10" fillId="0" borderId="0" xfId="0" applyFont="1" applyAlignment="1">
      <alignment horizontal="left" vertical="center" wrapText="1"/>
    </xf>
    <xf numFmtId="0" fontId="40" fillId="0" borderId="0" xfId="0" applyFont="1" applyAlignment="1">
      <alignment vertical="distributed"/>
    </xf>
    <xf numFmtId="0" fontId="32" fillId="0" borderId="0" xfId="0" applyFont="1" applyAlignment="1">
      <alignment vertical="center"/>
    </xf>
    <xf numFmtId="0" fontId="41" fillId="0" borderId="0" xfId="0" applyFont="1" applyAlignment="1">
      <alignment vertical="center"/>
    </xf>
    <xf numFmtId="0" fontId="42" fillId="0" borderId="0" xfId="0" applyFont="1" applyAlignment="1">
      <alignment vertical="center" wrapText="1"/>
    </xf>
    <xf numFmtId="0" fontId="5" fillId="0" borderId="31" xfId="0" applyFont="1" applyBorder="1" applyAlignment="1">
      <alignment horizontal="center" vertical="center" wrapText="1"/>
    </xf>
    <xf numFmtId="0" fontId="5" fillId="0" borderId="32" xfId="0" applyFont="1" applyBorder="1" applyAlignment="1">
      <alignment horizontal="center" vertical="center" wrapText="1"/>
    </xf>
    <xf numFmtId="0" fontId="5" fillId="0" borderId="72" xfId="0" applyFont="1" applyBorder="1" applyAlignment="1">
      <alignment horizontal="center" vertical="center" wrapText="1"/>
    </xf>
    <xf numFmtId="0" fontId="5" fillId="0" borderId="48" xfId="0" applyFont="1" applyBorder="1" applyAlignment="1">
      <alignment horizontal="center" vertical="center" wrapText="1"/>
    </xf>
    <xf numFmtId="0" fontId="5" fillId="0" borderId="88" xfId="0" applyFont="1" applyBorder="1" applyAlignment="1">
      <alignment horizontal="center" vertical="center" wrapText="1"/>
    </xf>
    <xf numFmtId="0" fontId="5" fillId="0" borderId="69" xfId="0" applyFont="1" applyBorder="1" applyAlignment="1">
      <alignment horizontal="center" vertical="center" wrapText="1"/>
    </xf>
    <xf numFmtId="0" fontId="24" fillId="0" borderId="37" xfId="0" applyFont="1" applyBorder="1" applyAlignment="1">
      <alignment vertical="top" wrapText="1"/>
    </xf>
    <xf numFmtId="0" fontId="24" fillId="0" borderId="0" xfId="0" applyFont="1" applyAlignment="1">
      <alignment vertical="top" wrapText="1"/>
    </xf>
    <xf numFmtId="0" fontId="24" fillId="0" borderId="92" xfId="0" applyFont="1" applyBorder="1" applyAlignment="1">
      <alignment vertical="top" wrapText="1"/>
    </xf>
    <xf numFmtId="0" fontId="24" fillId="0" borderId="19" xfId="0" applyFont="1" applyBorder="1" applyAlignment="1">
      <alignment vertical="top" wrapText="1"/>
    </xf>
    <xf numFmtId="0" fontId="24" fillId="0" borderId="37" xfId="0" applyFont="1" applyBorder="1" applyAlignment="1">
      <alignment horizontal="left" vertical="center" wrapText="1"/>
    </xf>
    <xf numFmtId="0" fontId="24" fillId="0" borderId="0" xfId="0" applyFont="1" applyAlignment="1">
      <alignment horizontal="center" vertical="center" wrapText="1"/>
    </xf>
    <xf numFmtId="0" fontId="0" fillId="0" borderId="19" xfId="0" applyBorder="1" applyAlignment="1">
      <alignment vertical="center"/>
    </xf>
    <xf numFmtId="0" fontId="24" fillId="0" borderId="19" xfId="0" applyFont="1" applyBorder="1" applyAlignment="1">
      <alignment vertical="center" wrapText="1"/>
    </xf>
    <xf numFmtId="0" fontId="24" fillId="0" borderId="19" xfId="0" applyFont="1" applyBorder="1" applyAlignment="1">
      <alignment horizontal="center" vertical="center" wrapText="1"/>
    </xf>
    <xf numFmtId="49" fontId="24" fillId="0" borderId="19" xfId="0" applyNumberFormat="1" applyFont="1" applyBorder="1" applyAlignment="1">
      <alignment horizontal="center" vertical="center" wrapText="1"/>
    </xf>
    <xf numFmtId="0" fontId="24" fillId="0" borderId="38" xfId="0" applyFont="1" applyBorder="1" applyAlignment="1">
      <alignment horizontal="center" vertical="center" wrapText="1"/>
    </xf>
    <xf numFmtId="0" fontId="24" fillId="0" borderId="94" xfId="0" applyFont="1" applyBorder="1" applyAlignment="1">
      <alignment horizontal="center" vertical="center" wrapText="1"/>
    </xf>
    <xf numFmtId="0" fontId="24" fillId="0" borderId="5" xfId="0" applyFont="1" applyBorder="1" applyAlignment="1">
      <alignment horizontal="distributed" vertical="center" wrapText="1"/>
    </xf>
    <xf numFmtId="0" fontId="24" fillId="0" borderId="0" xfId="0" applyFont="1" applyAlignment="1">
      <alignment vertical="center" wrapText="1"/>
    </xf>
    <xf numFmtId="0" fontId="24" fillId="0" borderId="36" xfId="0" applyFont="1" applyBorder="1" applyAlignment="1">
      <alignment horizontal="center" vertical="center" wrapText="1"/>
    </xf>
    <xf numFmtId="49" fontId="0" fillId="0" borderId="0" xfId="0" applyNumberFormat="1" applyAlignment="1">
      <alignment horizontal="right" vertical="center"/>
    </xf>
    <xf numFmtId="0" fontId="39" fillId="0" borderId="0" xfId="0" applyFont="1" applyAlignment="1">
      <alignment horizontal="left" vertical="center" indent="5"/>
    </xf>
    <xf numFmtId="0" fontId="5" fillId="0" borderId="0" xfId="0" applyFont="1" applyAlignment="1">
      <alignment horizontal="left" vertical="center" indent="5"/>
    </xf>
    <xf numFmtId="0" fontId="6" fillId="0" borderId="63" xfId="0" applyFont="1" applyBorder="1" applyAlignment="1">
      <alignment vertical="center" wrapText="1"/>
    </xf>
    <xf numFmtId="0" fontId="6" fillId="0" borderId="61" xfId="0" applyFont="1" applyBorder="1" applyAlignment="1">
      <alignment horizontal="center" vertical="center" wrapText="1"/>
    </xf>
    <xf numFmtId="49" fontId="6" fillId="0" borderId="5" xfId="0" applyNumberFormat="1" applyFont="1" applyBorder="1" applyAlignment="1">
      <alignment vertical="center" wrapText="1"/>
    </xf>
    <xf numFmtId="49" fontId="6" fillId="0" borderId="5" xfId="0" applyNumberFormat="1" applyFont="1" applyBorder="1" applyAlignment="1">
      <alignment horizontal="center" vertical="center" wrapText="1"/>
    </xf>
    <xf numFmtId="0" fontId="5" fillId="0" borderId="5" xfId="0" applyFont="1" applyBorder="1" applyAlignment="1">
      <alignment horizontal="justify" vertical="center" wrapText="1"/>
    </xf>
    <xf numFmtId="0" fontId="5" fillId="0" borderId="98" xfId="0" applyFont="1" applyBorder="1" applyAlignment="1">
      <alignment horizontal="center" vertical="center" wrapText="1"/>
    </xf>
    <xf numFmtId="0" fontId="5" fillId="0" borderId="99" xfId="0" applyFont="1" applyBorder="1" applyAlignment="1">
      <alignment horizontal="distributed" vertical="center" wrapText="1"/>
    </xf>
    <xf numFmtId="0" fontId="7" fillId="0" borderId="75" xfId="0" applyFont="1" applyBorder="1" applyAlignment="1">
      <alignment vertical="center" wrapText="1"/>
    </xf>
    <xf numFmtId="0" fontId="48" fillId="0" borderId="0" xfId="0" applyFont="1" applyAlignment="1">
      <alignment vertical="center"/>
    </xf>
    <xf numFmtId="0" fontId="0" fillId="0" borderId="100" xfId="0" applyBorder="1" applyAlignment="1">
      <alignment vertical="center"/>
    </xf>
    <xf numFmtId="0" fontId="0" fillId="5" borderId="0" xfId="0" applyFill="1" applyAlignment="1">
      <alignment vertical="center"/>
    </xf>
    <xf numFmtId="49" fontId="5" fillId="0" borderId="0" xfId="0" applyNumberFormat="1" applyFont="1" applyAlignment="1">
      <alignment vertical="center"/>
    </xf>
    <xf numFmtId="0" fontId="25" fillId="9" borderId="5" xfId="0" applyFont="1" applyFill="1" applyBorder="1" applyAlignment="1">
      <alignment horizontal="center" vertical="center"/>
    </xf>
    <xf numFmtId="0" fontId="27" fillId="0" borderId="10" xfId="0" applyFont="1" applyBorder="1" applyAlignment="1">
      <alignment vertical="center" wrapText="1"/>
    </xf>
    <xf numFmtId="0" fontId="37" fillId="0" borderId="0" xfId="0" applyFont="1" applyAlignment="1">
      <alignment vertical="center" wrapText="1"/>
    </xf>
    <xf numFmtId="0" fontId="37" fillId="0" borderId="27" xfId="0" applyFont="1" applyBorder="1" applyAlignment="1">
      <alignment horizontal="justify" wrapText="1"/>
    </xf>
    <xf numFmtId="0" fontId="37" fillId="0" borderId="19" xfId="0" applyFont="1" applyBorder="1" applyAlignment="1">
      <alignment vertical="center" wrapText="1"/>
    </xf>
    <xf numFmtId="0" fontId="37" fillId="0" borderId="13" xfId="0" applyFont="1" applyBorder="1" applyAlignment="1">
      <alignment vertical="center" wrapText="1"/>
    </xf>
    <xf numFmtId="0" fontId="51" fillId="0" borderId="0" xfId="0" applyFont="1" applyAlignment="1">
      <alignment vertical="center"/>
    </xf>
    <xf numFmtId="0" fontId="13" fillId="0" borderId="0" xfId="0" applyFont="1" applyAlignment="1">
      <alignment vertical="center"/>
    </xf>
    <xf numFmtId="0" fontId="11" fillId="0" borderId="0" xfId="0" applyFont="1" applyAlignment="1">
      <alignment vertical="center"/>
    </xf>
    <xf numFmtId="0" fontId="53" fillId="0" borderId="0" xfId="0" applyFont="1" applyAlignment="1">
      <alignment vertical="center"/>
    </xf>
    <xf numFmtId="0" fontId="7" fillId="0" borderId="0" xfId="0" applyFont="1" applyAlignment="1">
      <alignment vertical="center"/>
    </xf>
    <xf numFmtId="0" fontId="6" fillId="6" borderId="5" xfId="0" applyFont="1" applyFill="1" applyBorder="1" applyAlignment="1">
      <alignment horizontal="center" vertical="center"/>
    </xf>
    <xf numFmtId="0" fontId="5" fillId="0" borderId="101" xfId="0" applyFont="1" applyBorder="1" applyAlignment="1">
      <alignment horizontal="left" vertical="center" wrapText="1"/>
    </xf>
    <xf numFmtId="0" fontId="5" fillId="0" borderId="103" xfId="0" applyFont="1" applyBorder="1" applyAlignment="1">
      <alignment horizontal="left" vertical="center" wrapText="1"/>
    </xf>
    <xf numFmtId="0" fontId="5" fillId="0" borderId="105" xfId="0" applyFont="1" applyBorder="1" applyAlignment="1">
      <alignment horizontal="center" vertical="center" wrapText="1"/>
    </xf>
    <xf numFmtId="0" fontId="5" fillId="0" borderId="106" xfId="0" applyFont="1" applyBorder="1" applyAlignment="1">
      <alignment horizontal="left" vertical="center" wrapText="1"/>
    </xf>
    <xf numFmtId="0" fontId="6" fillId="0" borderId="5" xfId="0" applyFont="1" applyBorder="1" applyAlignment="1">
      <alignment horizontal="center" vertical="center"/>
    </xf>
    <xf numFmtId="0" fontId="5" fillId="0" borderId="9" xfId="0" applyFont="1" applyBorder="1" applyAlignment="1">
      <alignment vertical="center"/>
    </xf>
    <xf numFmtId="0" fontId="34" fillId="8" borderId="29" xfId="0" applyFont="1" applyFill="1" applyBorder="1" applyAlignment="1">
      <alignment horizontal="center" vertical="center" wrapText="1"/>
    </xf>
    <xf numFmtId="0" fontId="34" fillId="8" borderId="25" xfId="0" applyFont="1" applyFill="1" applyBorder="1" applyAlignment="1">
      <alignment horizontal="center" vertical="center" wrapText="1"/>
    </xf>
    <xf numFmtId="0" fontId="26" fillId="0" borderId="0" xfId="0" applyFont="1" applyAlignment="1">
      <alignment vertical="center"/>
    </xf>
    <xf numFmtId="0" fontId="45" fillId="0" borderId="5" xfId="0" applyFont="1" applyBorder="1" applyAlignment="1">
      <alignment horizontal="center" vertical="center"/>
    </xf>
    <xf numFmtId="0" fontId="5" fillId="0" borderId="0" xfId="0" applyFont="1" applyAlignment="1">
      <alignment horizontal="left"/>
    </xf>
    <xf numFmtId="0" fontId="37" fillId="0" borderId="5" xfId="0" applyFont="1" applyBorder="1" applyAlignment="1">
      <alignment horizontal="center" vertical="center"/>
    </xf>
    <xf numFmtId="0" fontId="5" fillId="0" borderId="0" xfId="0" applyFont="1" applyAlignment="1">
      <alignment horizontal="left" vertical="center" indent="2"/>
    </xf>
    <xf numFmtId="0" fontId="70" fillId="0" borderId="0" xfId="0" applyFont="1" applyAlignment="1">
      <alignment vertical="center"/>
    </xf>
    <xf numFmtId="0" fontId="24" fillId="0" borderId="0" xfId="0" applyFont="1" applyAlignment="1">
      <alignment horizontal="left" vertical="center" indent="1"/>
    </xf>
    <xf numFmtId="0" fontId="24" fillId="0" borderId="0" xfId="0" applyFont="1" applyAlignment="1">
      <alignment horizontal="left" vertical="center" indent="3"/>
    </xf>
    <xf numFmtId="0" fontId="5" fillId="5" borderId="5" xfId="0" applyFont="1" applyFill="1" applyBorder="1" applyAlignment="1">
      <alignment horizontal="center" vertical="center"/>
    </xf>
    <xf numFmtId="0" fontId="6" fillId="0" borderId="9" xfId="0" applyFont="1" applyBorder="1" applyAlignment="1">
      <alignment horizontal="center" vertical="center" wrapText="1"/>
    </xf>
    <xf numFmtId="0" fontId="6" fillId="0" borderId="10" xfId="0" applyFont="1" applyBorder="1" applyAlignment="1">
      <alignment horizontal="center" vertical="center" wrapText="1"/>
    </xf>
    <xf numFmtId="0" fontId="37" fillId="0" borderId="5" xfId="0" applyFont="1" applyBorder="1" applyAlignment="1">
      <alignment horizontal="center" vertical="center" wrapText="1"/>
    </xf>
    <xf numFmtId="0" fontId="0" fillId="0" borderId="111" xfId="0" applyBorder="1" applyAlignment="1" applyProtection="1">
      <alignment vertical="top" wrapText="1"/>
      <protection hidden="1"/>
    </xf>
    <xf numFmtId="0" fontId="0" fillId="0" borderId="112" xfId="0" applyBorder="1" applyAlignment="1" applyProtection="1">
      <alignment vertical="top" wrapText="1"/>
      <protection hidden="1"/>
    </xf>
    <xf numFmtId="0" fontId="11" fillId="0" borderId="112" xfId="0" applyFont="1" applyBorder="1" applyAlignment="1" applyProtection="1">
      <alignment vertical="center" wrapText="1"/>
      <protection hidden="1"/>
    </xf>
    <xf numFmtId="0" fontId="11" fillId="0" borderId="112" xfId="0" applyFont="1" applyBorder="1" applyAlignment="1" applyProtection="1">
      <alignment horizontal="justify" vertical="center" wrapText="1"/>
      <protection hidden="1"/>
    </xf>
    <xf numFmtId="0" fontId="0" fillId="0" borderId="111" xfId="0" applyBorder="1" applyAlignment="1" applyProtection="1">
      <alignment vertical="center" wrapText="1"/>
      <protection hidden="1"/>
    </xf>
    <xf numFmtId="0" fontId="73" fillId="0" borderId="0" xfId="3" applyAlignment="1">
      <alignment horizontal="left" vertical="top"/>
    </xf>
    <xf numFmtId="0" fontId="2" fillId="0" borderId="5" xfId="3" applyFont="1" applyBorder="1" applyAlignment="1">
      <alignment vertical="top" wrapText="1"/>
    </xf>
    <xf numFmtId="0" fontId="53" fillId="0" borderId="115" xfId="3" applyFont="1" applyBorder="1" applyAlignment="1">
      <alignment wrapText="1"/>
    </xf>
    <xf numFmtId="0" fontId="44" fillId="0" borderId="25" xfId="3" applyFont="1" applyBorder="1" applyAlignment="1">
      <alignment vertical="top" wrapText="1"/>
    </xf>
    <xf numFmtId="0" fontId="53" fillId="0" borderId="5" xfId="3" applyFont="1" applyBorder="1" applyAlignment="1">
      <alignment vertical="top" wrapText="1"/>
    </xf>
    <xf numFmtId="0" fontId="55" fillId="0" borderId="5" xfId="3" applyFont="1" applyBorder="1" applyAlignment="1">
      <alignment vertical="top" wrapText="1"/>
    </xf>
    <xf numFmtId="0" fontId="53" fillId="0" borderId="0" xfId="3" applyFont="1" applyAlignment="1">
      <alignment wrapText="1"/>
    </xf>
    <xf numFmtId="0" fontId="55" fillId="0" borderId="122" xfId="3" applyFont="1" applyBorder="1" applyAlignment="1">
      <alignment horizontal="left" vertical="top" wrapText="1"/>
    </xf>
    <xf numFmtId="0" fontId="55" fillId="0" borderId="122" xfId="3" applyFont="1" applyBorder="1" applyAlignment="1">
      <alignment horizontal="left" vertical="top" wrapText="1" indent="6"/>
    </xf>
    <xf numFmtId="0" fontId="2" fillId="0" borderId="122" xfId="3" applyFont="1" applyBorder="1" applyAlignment="1">
      <alignment horizontal="left" vertical="top" wrapText="1"/>
    </xf>
    <xf numFmtId="0" fontId="31" fillId="0" borderId="0" xfId="0" applyFont="1" applyAlignment="1">
      <alignment vertical="center" wrapText="1"/>
    </xf>
    <xf numFmtId="0" fontId="37" fillId="0" borderId="10" xfId="0" applyFont="1" applyBorder="1" applyAlignment="1">
      <alignment horizontal="center" vertical="center" wrapText="1"/>
    </xf>
    <xf numFmtId="0" fontId="5" fillId="0" borderId="9" xfId="0" applyFont="1" applyBorder="1" applyAlignment="1">
      <alignment horizontal="justify" vertical="center" wrapText="1"/>
    </xf>
    <xf numFmtId="0" fontId="5" fillId="0" borderId="10" xfId="0" applyFont="1" applyBorder="1" applyAlignment="1">
      <alignment horizontal="justify" vertical="center" wrapText="1"/>
    </xf>
    <xf numFmtId="0" fontId="24" fillId="0" borderId="9" xfId="0" applyFont="1" applyBorder="1" applyAlignment="1">
      <alignment horizontal="justify" vertical="center" wrapText="1"/>
    </xf>
    <xf numFmtId="0" fontId="37" fillId="0" borderId="5" xfId="0" applyFont="1" applyBorder="1" applyAlignment="1">
      <alignment horizontal="center" vertical="top" wrapText="1"/>
    </xf>
    <xf numFmtId="0" fontId="6" fillId="0" borderId="25" xfId="0" applyFont="1" applyBorder="1" applyAlignment="1">
      <alignment horizontal="center" vertical="center"/>
    </xf>
    <xf numFmtId="0" fontId="6" fillId="0" borderId="26" xfId="0" applyFont="1" applyBorder="1" applyAlignment="1">
      <alignment vertical="center"/>
    </xf>
    <xf numFmtId="0" fontId="74" fillId="0" borderId="0" xfId="0" applyFont="1" applyAlignment="1">
      <alignment vertical="center" wrapText="1"/>
    </xf>
    <xf numFmtId="0" fontId="5" fillId="0" borderId="127" xfId="0" applyFont="1" applyBorder="1" applyAlignment="1">
      <alignment vertical="center" wrapText="1"/>
    </xf>
    <xf numFmtId="0" fontId="74" fillId="0" borderId="130" xfId="0" applyFont="1" applyBorder="1" applyAlignment="1">
      <alignment vertical="center" wrapText="1"/>
    </xf>
    <xf numFmtId="0" fontId="5" fillId="0" borderId="84" xfId="0" applyFont="1" applyBorder="1" applyAlignment="1">
      <alignment vertical="center"/>
    </xf>
    <xf numFmtId="0" fontId="5" fillId="0" borderId="86" xfId="0" applyFont="1" applyBorder="1" applyAlignment="1">
      <alignment vertical="center"/>
    </xf>
    <xf numFmtId="0" fontId="6" fillId="0" borderId="113" xfId="0" applyFont="1" applyBorder="1" applyAlignment="1">
      <alignment horizontal="center" vertical="center" wrapText="1"/>
    </xf>
    <xf numFmtId="0" fontId="33" fillId="0" borderId="0" xfId="0" applyFont="1" applyAlignment="1">
      <alignment vertical="center"/>
    </xf>
    <xf numFmtId="0" fontId="55" fillId="0" borderId="9" xfId="0" applyFont="1" applyBorder="1" applyAlignment="1">
      <alignment vertical="center"/>
    </xf>
    <xf numFmtId="0" fontId="55" fillId="0" borderId="18" xfId="0" applyFont="1" applyBorder="1" applyAlignment="1">
      <alignment vertical="center"/>
    </xf>
    <xf numFmtId="0" fontId="55" fillId="0" borderId="19" xfId="0" applyFont="1" applyBorder="1" applyAlignment="1">
      <alignment vertical="center"/>
    </xf>
    <xf numFmtId="0" fontId="21" fillId="0" borderId="0" xfId="0" applyFont="1" applyAlignment="1">
      <alignment vertical="center"/>
    </xf>
    <xf numFmtId="0" fontId="61" fillId="0" borderId="0" xfId="0" applyFont="1" applyAlignment="1">
      <alignment vertical="center"/>
    </xf>
    <xf numFmtId="0" fontId="83" fillId="0" borderId="48" xfId="0" applyFont="1" applyBorder="1" applyAlignment="1" applyProtection="1">
      <alignment vertical="center" wrapText="1"/>
      <protection hidden="1"/>
    </xf>
    <xf numFmtId="0" fontId="77" fillId="14" borderId="48" xfId="0" applyFont="1" applyFill="1" applyBorder="1" applyAlignment="1" applyProtection="1">
      <alignment horizontal="center" vertical="center" wrapText="1"/>
      <protection hidden="1"/>
    </xf>
    <xf numFmtId="0" fontId="0" fillId="14" borderId="47" xfId="0" applyFill="1" applyBorder="1" applyAlignment="1" applyProtection="1">
      <alignment vertical="center" wrapText="1"/>
      <protection hidden="1"/>
    </xf>
    <xf numFmtId="0" fontId="0" fillId="14" borderId="50" xfId="0" applyFill="1" applyBorder="1" applyAlignment="1" applyProtection="1">
      <alignment vertical="center" wrapText="1"/>
      <protection hidden="1"/>
    </xf>
    <xf numFmtId="0" fontId="84" fillId="0" borderId="47" xfId="0" applyFont="1" applyBorder="1" applyAlignment="1" applyProtection="1">
      <alignment horizontal="center" vertical="center" wrapText="1"/>
      <protection hidden="1"/>
    </xf>
    <xf numFmtId="0" fontId="60" fillId="14" borderId="50" xfId="0" applyFont="1" applyFill="1" applyBorder="1" applyAlignment="1" applyProtection="1">
      <alignment horizontal="center" vertical="center" wrapText="1"/>
      <protection hidden="1"/>
    </xf>
    <xf numFmtId="0" fontId="60" fillId="14" borderId="47" xfId="0" applyFont="1" applyFill="1" applyBorder="1" applyAlignment="1" applyProtection="1">
      <alignment horizontal="center" vertical="center" wrapText="1"/>
      <protection hidden="1"/>
    </xf>
    <xf numFmtId="0" fontId="6" fillId="0" borderId="139" xfId="0" applyFont="1" applyBorder="1" applyAlignment="1">
      <alignment horizontal="center" vertical="center" wrapText="1"/>
    </xf>
    <xf numFmtId="49" fontId="6" fillId="0" borderId="144" xfId="0" applyNumberFormat="1" applyFont="1" applyBorder="1" applyAlignment="1">
      <alignment horizontal="justify" vertical="center" wrapText="1"/>
    </xf>
    <xf numFmtId="0" fontId="6" fillId="0" borderId="144" xfId="0" applyFont="1" applyBorder="1" applyAlignment="1">
      <alignment horizontal="justify" vertical="center" wrapText="1"/>
    </xf>
    <xf numFmtId="0" fontId="39" fillId="0" borderId="0" xfId="0" applyFont="1" applyAlignment="1">
      <alignment horizontal="justify" vertical="center"/>
    </xf>
    <xf numFmtId="0" fontId="87" fillId="0" borderId="0" xfId="2" applyFont="1" applyAlignment="1">
      <alignment vertical="center"/>
    </xf>
    <xf numFmtId="0" fontId="88" fillId="0" borderId="0" xfId="0" applyFont="1" applyAlignment="1">
      <alignment horizontal="right" vertical="center"/>
    </xf>
    <xf numFmtId="0" fontId="30" fillId="0" borderId="149" xfId="0" applyFont="1" applyBorder="1" applyAlignment="1">
      <alignment horizontal="center" vertical="center" wrapText="1"/>
    </xf>
    <xf numFmtId="0" fontId="30" fillId="0" borderId="132" xfId="0" applyFont="1" applyBorder="1" applyAlignment="1">
      <alignment horizontal="center" vertical="center" wrapText="1"/>
    </xf>
    <xf numFmtId="0" fontId="90" fillId="0" borderId="132" xfId="0" applyFont="1" applyBorder="1" applyAlignment="1">
      <alignment horizontal="center" vertical="center" wrapText="1"/>
    </xf>
    <xf numFmtId="0" fontId="30" fillId="0" borderId="131" xfId="0" applyFont="1" applyBorder="1" applyAlignment="1">
      <alignment horizontal="right" vertical="center" wrapText="1"/>
    </xf>
    <xf numFmtId="0" fontId="26" fillId="0" borderId="132" xfId="0" applyFont="1" applyBorder="1" applyAlignment="1">
      <alignment horizontal="center" vertical="center" wrapText="1"/>
    </xf>
    <xf numFmtId="0" fontId="5" fillId="2" borderId="0" xfId="0" applyFont="1" applyFill="1" applyAlignment="1">
      <alignment vertical="center"/>
    </xf>
    <xf numFmtId="0" fontId="30" fillId="2" borderId="5" xfId="0" applyFont="1" applyFill="1" applyBorder="1" applyAlignment="1">
      <alignment horizontal="center" vertical="center"/>
    </xf>
    <xf numFmtId="0" fontId="5" fillId="5" borderId="27" xfId="0" applyFont="1" applyFill="1" applyBorder="1" applyAlignment="1">
      <alignment horizontal="center" vertical="center" wrapText="1"/>
    </xf>
    <xf numFmtId="0" fontId="30" fillId="0" borderId="0" xfId="0" applyFont="1" applyAlignment="1">
      <alignment horizontal="distributed" vertical="center"/>
    </xf>
    <xf numFmtId="0" fontId="5" fillId="0" borderId="150" xfId="0" applyFont="1" applyBorder="1" applyAlignment="1">
      <alignment horizontal="center" vertical="center"/>
    </xf>
    <xf numFmtId="0" fontId="5" fillId="0" borderId="0" xfId="0" applyFont="1" applyAlignment="1">
      <alignment vertical="top"/>
    </xf>
    <xf numFmtId="0" fontId="26" fillId="0" borderId="0" xfId="0" applyFont="1" applyAlignment="1">
      <alignment horizontal="left" vertical="center"/>
    </xf>
    <xf numFmtId="0" fontId="5" fillId="17" borderId="0" xfId="0" applyFont="1" applyFill="1" applyAlignment="1">
      <alignment vertical="center"/>
    </xf>
    <xf numFmtId="0" fontId="26" fillId="17" borderId="0" xfId="0" applyFont="1" applyFill="1" applyAlignment="1">
      <alignment vertical="center"/>
    </xf>
    <xf numFmtId="0" fontId="50" fillId="0" borderId="0" xfId="0" applyFont="1" applyAlignment="1">
      <alignment vertical="center"/>
    </xf>
    <xf numFmtId="0" fontId="5" fillId="3" borderId="0" xfId="0" applyFont="1" applyFill="1" applyAlignment="1">
      <alignment vertical="center"/>
    </xf>
    <xf numFmtId="0" fontId="5" fillId="3" borderId="0" xfId="0" applyFont="1" applyFill="1" applyAlignment="1">
      <alignment vertical="top" wrapText="1"/>
    </xf>
    <xf numFmtId="0" fontId="5" fillId="9" borderId="0" xfId="0" applyFont="1" applyFill="1" applyAlignment="1">
      <alignment vertical="center" wrapText="1"/>
    </xf>
    <xf numFmtId="0" fontId="5" fillId="3" borderId="0" xfId="0" applyFont="1" applyFill="1" applyAlignment="1">
      <alignment vertical="center" wrapText="1"/>
    </xf>
    <xf numFmtId="0" fontId="43" fillId="0" borderId="0" xfId="0" applyFont="1" applyAlignment="1">
      <alignment vertical="center" wrapText="1"/>
    </xf>
    <xf numFmtId="0" fontId="5" fillId="9" borderId="0" xfId="0" applyFont="1" applyFill="1" applyAlignment="1">
      <alignment vertical="top" wrapText="1"/>
    </xf>
    <xf numFmtId="0" fontId="5" fillId="0" borderId="102" xfId="0" applyFont="1" applyBorder="1" applyAlignment="1">
      <alignment horizontal="center" vertical="center" wrapText="1"/>
    </xf>
    <xf numFmtId="0" fontId="5" fillId="0" borderId="104" xfId="0" applyFont="1" applyBorder="1" applyAlignment="1">
      <alignment horizontal="center" vertical="center" wrapText="1"/>
    </xf>
    <xf numFmtId="0" fontId="5" fillId="5" borderId="0" xfId="0" applyFont="1" applyFill="1" applyAlignment="1">
      <alignment vertical="top" wrapText="1"/>
    </xf>
    <xf numFmtId="0" fontId="5" fillId="18" borderId="0" xfId="0" applyFont="1" applyFill="1" applyAlignment="1">
      <alignment vertical="center"/>
    </xf>
    <xf numFmtId="0" fontId="5" fillId="18" borderId="0" xfId="0" applyFont="1" applyFill="1" applyAlignment="1">
      <alignment horizontal="left" vertical="center"/>
    </xf>
    <xf numFmtId="0" fontId="5" fillId="18" borderId="0" xfId="0" applyFont="1" applyFill="1" applyAlignment="1">
      <alignment vertical="center" wrapText="1"/>
    </xf>
    <xf numFmtId="0" fontId="6" fillId="19" borderId="0" xfId="0" applyFont="1" applyFill="1" applyAlignment="1">
      <alignment vertical="center"/>
    </xf>
    <xf numFmtId="0" fontId="5" fillId="19" borderId="0" xfId="0" applyFont="1" applyFill="1" applyAlignment="1">
      <alignment vertical="center"/>
    </xf>
    <xf numFmtId="0" fontId="5" fillId="19" borderId="0" xfId="0" applyFont="1" applyFill="1" applyAlignment="1">
      <alignment vertical="center" wrapText="1"/>
    </xf>
    <xf numFmtId="0" fontId="43" fillId="19" borderId="0" xfId="0" applyFont="1" applyFill="1" applyAlignment="1">
      <alignment vertical="center"/>
    </xf>
    <xf numFmtId="0" fontId="6" fillId="7" borderId="0" xfId="0" applyFont="1" applyFill="1" applyAlignment="1">
      <alignment vertical="center"/>
    </xf>
    <xf numFmtId="0" fontId="5" fillId="7" borderId="0" xfId="0" applyFont="1" applyFill="1" applyAlignment="1">
      <alignment horizontal="left" vertical="center" wrapText="1"/>
    </xf>
    <xf numFmtId="0" fontId="5" fillId="7" borderId="0" xfId="0" applyFont="1" applyFill="1" applyAlignment="1">
      <alignment vertical="center"/>
    </xf>
    <xf numFmtId="0" fontId="5" fillId="7" borderId="0" xfId="0" applyFont="1" applyFill="1" applyAlignment="1">
      <alignment vertical="center" wrapText="1"/>
    </xf>
    <xf numFmtId="0" fontId="53" fillId="0" borderId="20" xfId="0" applyFont="1" applyBorder="1" applyAlignment="1">
      <alignment vertical="center"/>
    </xf>
    <xf numFmtId="0" fontId="69" fillId="0" borderId="0" xfId="0" applyFont="1" applyAlignment="1">
      <alignment vertical="center"/>
    </xf>
    <xf numFmtId="0" fontId="5" fillId="0" borderId="26" xfId="0" applyFont="1" applyBorder="1" applyAlignment="1">
      <alignment vertical="center"/>
    </xf>
    <xf numFmtId="0" fontId="5" fillId="0" borderId="18" xfId="0" applyFont="1" applyBorder="1" applyAlignment="1">
      <alignment vertical="center"/>
    </xf>
    <xf numFmtId="0" fontId="6" fillId="0" borderId="27" xfId="0" applyFont="1" applyBorder="1" applyAlignment="1">
      <alignment vertical="center"/>
    </xf>
    <xf numFmtId="0" fontId="69" fillId="0" borderId="16" xfId="0" applyFont="1" applyBorder="1" applyAlignment="1">
      <alignment vertical="center"/>
    </xf>
    <xf numFmtId="0" fontId="43" fillId="0" borderId="20" xfId="0" applyFont="1" applyBorder="1" applyAlignment="1">
      <alignment vertical="center"/>
    </xf>
    <xf numFmtId="0" fontId="43" fillId="0" borderId="13" xfId="0" applyFont="1" applyBorder="1" applyAlignment="1">
      <alignment vertical="center"/>
    </xf>
    <xf numFmtId="0" fontId="5" fillId="0" borderId="151" xfId="0" applyFont="1" applyBorder="1" applyAlignment="1">
      <alignment vertical="center"/>
    </xf>
    <xf numFmtId="0" fontId="5" fillId="0" borderId="152" xfId="0" applyFont="1" applyBorder="1" applyAlignment="1">
      <alignment vertical="center"/>
    </xf>
    <xf numFmtId="0" fontId="53" fillId="0" borderId="153" xfId="0" applyFont="1" applyBorder="1" applyAlignment="1">
      <alignment vertical="center"/>
    </xf>
    <xf numFmtId="0" fontId="5" fillId="0" borderId="154" xfId="0" applyFont="1" applyBorder="1" applyAlignment="1">
      <alignment vertical="center"/>
    </xf>
    <xf numFmtId="0" fontId="53" fillId="0" borderId="155" xfId="0" applyFont="1" applyBorder="1" applyAlignment="1">
      <alignment vertical="center"/>
    </xf>
    <xf numFmtId="0" fontId="5" fillId="0" borderId="156" xfId="0" applyFont="1" applyBorder="1" applyAlignment="1">
      <alignment vertical="center"/>
    </xf>
    <xf numFmtId="0" fontId="5" fillId="0" borderId="157" xfId="0" applyFont="1" applyBorder="1" applyAlignment="1">
      <alignment vertical="center"/>
    </xf>
    <xf numFmtId="0" fontId="5" fillId="0" borderId="159" xfId="0" applyFont="1" applyBorder="1" applyAlignment="1">
      <alignment vertical="center"/>
    </xf>
    <xf numFmtId="0" fontId="5" fillId="0" borderId="160" xfId="0" applyFont="1" applyBorder="1" applyAlignment="1">
      <alignment vertical="center"/>
    </xf>
    <xf numFmtId="0" fontId="5" fillId="0" borderId="161" xfId="0" applyFont="1" applyBorder="1" applyAlignment="1">
      <alignment vertical="center"/>
    </xf>
    <xf numFmtId="0" fontId="5" fillId="0" borderId="162" xfId="0" applyFont="1" applyBorder="1" applyAlignment="1">
      <alignment vertical="center"/>
    </xf>
    <xf numFmtId="0" fontId="53" fillId="0" borderId="89" xfId="0" applyFont="1" applyBorder="1" applyAlignment="1">
      <alignment vertical="center"/>
    </xf>
    <xf numFmtId="0" fontId="5" fillId="0" borderId="58" xfId="0" applyFont="1" applyBorder="1" applyAlignment="1">
      <alignment vertical="center"/>
    </xf>
    <xf numFmtId="0" fontId="6" fillId="0" borderId="89" xfId="0" applyFont="1" applyBorder="1" applyAlignment="1">
      <alignment vertical="center"/>
    </xf>
    <xf numFmtId="0" fontId="5" fillId="0" borderId="163" xfId="0" applyFont="1" applyBorder="1" applyAlignment="1">
      <alignment vertical="center"/>
    </xf>
    <xf numFmtId="0" fontId="6" fillId="0" borderId="164" xfId="0" applyFont="1" applyBorder="1" applyAlignment="1">
      <alignment vertical="center"/>
    </xf>
    <xf numFmtId="0" fontId="5" fillId="0" borderId="164" xfId="0" applyFont="1" applyBorder="1" applyAlignment="1">
      <alignment vertical="center"/>
    </xf>
    <xf numFmtId="0" fontId="5" fillId="0" borderId="165" xfId="0" applyFont="1" applyBorder="1" applyAlignment="1">
      <alignment vertical="center"/>
    </xf>
    <xf numFmtId="0" fontId="5" fillId="0" borderId="166" xfId="0" applyFont="1" applyBorder="1" applyAlignment="1">
      <alignment vertical="center"/>
    </xf>
    <xf numFmtId="0" fontId="5" fillId="0" borderId="167" xfId="0" applyFont="1" applyBorder="1" applyAlignment="1">
      <alignment vertical="center"/>
    </xf>
    <xf numFmtId="0" fontId="5" fillId="0" borderId="46" xfId="0" applyFont="1" applyBorder="1" applyAlignment="1">
      <alignment vertical="center"/>
    </xf>
    <xf numFmtId="0" fontId="5" fillId="0" borderId="168" xfId="0" applyFont="1" applyBorder="1" applyAlignment="1">
      <alignment vertical="center"/>
    </xf>
    <xf numFmtId="0" fontId="5" fillId="0" borderId="158" xfId="0" applyFont="1" applyBorder="1" applyAlignment="1">
      <alignment vertical="center"/>
    </xf>
    <xf numFmtId="0" fontId="6" fillId="0" borderId="16" xfId="0" applyFont="1" applyBorder="1" applyAlignment="1">
      <alignment vertical="center"/>
    </xf>
    <xf numFmtId="0" fontId="5" fillId="0" borderId="169" xfId="0" applyFont="1" applyBorder="1" applyAlignment="1">
      <alignment vertical="center"/>
    </xf>
    <xf numFmtId="0" fontId="6" fillId="0" borderId="170" xfId="0" applyFont="1" applyBorder="1" applyAlignment="1">
      <alignment vertical="center"/>
    </xf>
    <xf numFmtId="0" fontId="5" fillId="0" borderId="171" xfId="0" applyFont="1" applyBorder="1" applyAlignment="1">
      <alignment vertical="center"/>
    </xf>
    <xf numFmtId="0" fontId="6" fillId="0" borderId="171" xfId="0" applyFont="1" applyBorder="1" applyAlignment="1">
      <alignment vertical="center" wrapText="1"/>
    </xf>
    <xf numFmtId="0" fontId="95" fillId="0" borderId="27" xfId="0" applyFont="1" applyBorder="1" applyAlignment="1">
      <alignment vertical="center"/>
    </xf>
    <xf numFmtId="0" fontId="95" fillId="0" borderId="0" xfId="0" applyFont="1" applyAlignment="1">
      <alignment vertical="center"/>
    </xf>
    <xf numFmtId="0" fontId="94" fillId="0" borderId="27" xfId="0" applyFont="1" applyBorder="1" applyAlignment="1">
      <alignment vertical="center"/>
    </xf>
    <xf numFmtId="0" fontId="94" fillId="0" borderId="0" xfId="0" applyFont="1" applyAlignment="1">
      <alignment vertical="center"/>
    </xf>
    <xf numFmtId="0" fontId="6" fillId="0" borderId="26" xfId="0" applyFont="1" applyBorder="1" applyAlignment="1">
      <alignment vertical="top"/>
    </xf>
    <xf numFmtId="0" fontId="5" fillId="0" borderId="19" xfId="0" applyFont="1" applyBorder="1" applyAlignment="1">
      <alignment vertical="top"/>
    </xf>
    <xf numFmtId="0" fontId="5" fillId="0" borderId="18" xfId="0" applyFont="1" applyBorder="1" applyAlignment="1">
      <alignment vertical="top"/>
    </xf>
    <xf numFmtId="0" fontId="5" fillId="0" borderId="16" xfId="0" applyFont="1" applyBorder="1" applyAlignment="1">
      <alignment vertical="top"/>
    </xf>
    <xf numFmtId="0" fontId="6" fillId="0" borderId="27" xfId="0" applyFont="1" applyBorder="1" applyAlignment="1">
      <alignment vertical="top"/>
    </xf>
    <xf numFmtId="0" fontId="6" fillId="0" borderId="0" xfId="0" applyFont="1" applyAlignment="1">
      <alignment vertical="top"/>
    </xf>
    <xf numFmtId="0" fontId="94" fillId="0" borderId="20" xfId="0" applyFont="1" applyBorder="1" applyAlignment="1">
      <alignment vertical="center"/>
    </xf>
    <xf numFmtId="0" fontId="5" fillId="0" borderId="177" xfId="0" applyFont="1" applyBorder="1" applyAlignment="1">
      <alignment vertical="center"/>
    </xf>
    <xf numFmtId="0" fontId="6" fillId="0" borderId="180" xfId="0" applyFont="1" applyBorder="1" applyAlignment="1">
      <alignment vertical="center"/>
    </xf>
    <xf numFmtId="0" fontId="5" fillId="0" borderId="181" xfId="0" applyFont="1" applyBorder="1" applyAlignment="1">
      <alignment vertical="center"/>
    </xf>
    <xf numFmtId="0" fontId="6" fillId="3" borderId="5" xfId="0" applyFont="1" applyFill="1" applyBorder="1" applyAlignment="1">
      <alignment vertical="center"/>
    </xf>
    <xf numFmtId="0" fontId="84" fillId="0" borderId="14" xfId="0" applyFont="1" applyBorder="1" applyAlignment="1">
      <alignment vertical="center" wrapText="1"/>
    </xf>
    <xf numFmtId="0" fontId="96" fillId="0" borderId="5" xfId="0" applyFont="1" applyBorder="1" applyAlignment="1">
      <alignment vertical="center"/>
    </xf>
    <xf numFmtId="0" fontId="98" fillId="0" borderId="5" xfId="0" applyFont="1" applyBorder="1" applyAlignment="1">
      <alignment vertical="center" wrapText="1"/>
    </xf>
    <xf numFmtId="0" fontId="5" fillId="10" borderId="5" xfId="0" applyFont="1" applyFill="1" applyBorder="1" applyAlignment="1">
      <alignment horizontal="left" vertical="center" wrapText="1"/>
    </xf>
    <xf numFmtId="0" fontId="5" fillId="10" borderId="5" xfId="0" applyFont="1" applyFill="1" applyBorder="1" applyAlignment="1">
      <alignment vertical="center"/>
    </xf>
    <xf numFmtId="0" fontId="5" fillId="10" borderId="5" xfId="0" applyFont="1" applyFill="1" applyBorder="1" applyAlignment="1">
      <alignment vertical="center" wrapText="1"/>
    </xf>
    <xf numFmtId="0" fontId="5" fillId="0" borderId="183" xfId="0" applyFont="1" applyBorder="1" applyAlignment="1">
      <alignment vertical="center"/>
    </xf>
    <xf numFmtId="0" fontId="5" fillId="0" borderId="184" xfId="0" applyFont="1" applyBorder="1" applyAlignment="1">
      <alignment vertical="center"/>
    </xf>
    <xf numFmtId="0" fontId="4" fillId="0" borderId="0" xfId="0" applyFont="1" applyAlignment="1">
      <alignment vertical="center"/>
    </xf>
    <xf numFmtId="0" fontId="34" fillId="0" borderId="0" xfId="0" applyFont="1" applyAlignment="1">
      <alignment vertical="center"/>
    </xf>
    <xf numFmtId="0" fontId="75" fillId="0" borderId="0" xfId="0" applyFont="1" applyAlignment="1">
      <alignment vertical="center"/>
    </xf>
    <xf numFmtId="0" fontId="30" fillId="0" borderId="0" xfId="0" applyFont="1" applyAlignment="1">
      <alignment vertical="center" wrapText="1"/>
    </xf>
    <xf numFmtId="0" fontId="30" fillId="0" borderId="0" xfId="0" applyFont="1" applyAlignment="1">
      <alignment horizontal="justify" vertical="center"/>
    </xf>
    <xf numFmtId="0" fontId="17" fillId="0" borderId="0" xfId="0" applyFont="1" applyAlignment="1" applyProtection="1">
      <alignment horizontal="center" vertical="center"/>
      <protection hidden="1"/>
    </xf>
    <xf numFmtId="0" fontId="17" fillId="0" borderId="0" xfId="0" applyFont="1" applyAlignment="1" applyProtection="1">
      <alignment vertical="distributed"/>
      <protection hidden="1"/>
    </xf>
    <xf numFmtId="0" fontId="34" fillId="8" borderId="0" xfId="0" applyFont="1" applyFill="1" applyAlignment="1">
      <alignment horizontal="center" vertical="center" wrapText="1"/>
    </xf>
    <xf numFmtId="0" fontId="34" fillId="0" borderId="0" xfId="0" applyFont="1" applyAlignment="1">
      <alignment horizontal="center" vertical="center" wrapText="1"/>
    </xf>
    <xf numFmtId="0" fontId="6" fillId="3" borderId="0" xfId="0" applyFont="1" applyFill="1" applyAlignment="1">
      <alignment vertical="center"/>
    </xf>
    <xf numFmtId="0" fontId="6" fillId="18" borderId="0" xfId="0" applyFont="1" applyFill="1" applyAlignment="1">
      <alignment vertical="center"/>
    </xf>
    <xf numFmtId="0" fontId="6" fillId="0" borderId="11" xfId="0" applyFont="1" applyBorder="1" applyAlignment="1">
      <alignment horizontal="center" vertical="center"/>
    </xf>
    <xf numFmtId="49" fontId="6" fillId="0" borderId="11" xfId="0" applyNumberFormat="1" applyFont="1" applyBorder="1" applyAlignment="1">
      <alignment horizontal="center" vertical="center" wrapText="1"/>
    </xf>
    <xf numFmtId="0" fontId="26" fillId="0" borderId="0" xfId="0" applyFont="1" applyAlignment="1">
      <alignment vertical="center" wrapText="1"/>
    </xf>
    <xf numFmtId="0" fontId="72" fillId="0" borderId="0" xfId="0" applyFont="1" applyAlignment="1">
      <alignment vertical="center" wrapText="1"/>
    </xf>
    <xf numFmtId="0" fontId="0" fillId="0" borderId="5" xfId="0" applyBorder="1" applyAlignment="1">
      <alignment vertical="center" wrapText="1"/>
    </xf>
    <xf numFmtId="0" fontId="6" fillId="0" borderId="13" xfId="0" applyFont="1" applyBorder="1" applyAlignment="1">
      <alignment horizontal="center" vertical="center"/>
    </xf>
    <xf numFmtId="0" fontId="6" fillId="0" borderId="8" xfId="0" applyFont="1" applyBorder="1" applyAlignment="1">
      <alignment horizontal="center" vertical="center"/>
    </xf>
    <xf numFmtId="0" fontId="6" fillId="3" borderId="13" xfId="0" applyFont="1" applyFill="1" applyBorder="1" applyAlignment="1">
      <alignment horizontal="center" vertical="center"/>
    </xf>
    <xf numFmtId="0" fontId="6" fillId="0" borderId="19" xfId="0" applyFont="1" applyBorder="1" applyAlignment="1">
      <alignment horizontal="center" vertical="center"/>
    </xf>
    <xf numFmtId="0" fontId="53" fillId="20" borderId="5" xfId="0" applyFont="1" applyFill="1" applyBorder="1" applyAlignment="1">
      <alignment horizontal="center" vertical="center"/>
    </xf>
    <xf numFmtId="0" fontId="6" fillId="20" borderId="5" xfId="0" applyFont="1" applyFill="1" applyBorder="1" applyAlignment="1">
      <alignment horizontal="center" vertical="center"/>
    </xf>
    <xf numFmtId="0" fontId="6" fillId="20" borderId="5" xfId="0" applyFont="1" applyFill="1" applyBorder="1" applyAlignment="1">
      <alignment horizontal="center" vertical="center" wrapText="1"/>
    </xf>
    <xf numFmtId="0" fontId="53" fillId="20" borderId="8" xfId="0" applyFont="1" applyFill="1" applyBorder="1" applyAlignment="1">
      <alignment horizontal="center" vertical="center"/>
    </xf>
    <xf numFmtId="0" fontId="6" fillId="20" borderId="8" xfId="0" applyFont="1" applyFill="1" applyBorder="1" applyAlignment="1">
      <alignment horizontal="center" vertical="center"/>
    </xf>
    <xf numFmtId="0" fontId="5" fillId="0" borderId="62" xfId="0" applyFont="1" applyBorder="1" applyAlignment="1">
      <alignment vertical="center"/>
    </xf>
    <xf numFmtId="0" fontId="30" fillId="0" borderId="0" xfId="0" applyFont="1" applyAlignment="1">
      <alignment vertical="top"/>
    </xf>
    <xf numFmtId="0" fontId="6" fillId="0" borderId="11" xfId="0" applyFont="1" applyBorder="1" applyAlignment="1">
      <alignment horizontal="center" vertical="center" wrapText="1"/>
    </xf>
    <xf numFmtId="0" fontId="102" fillId="13" borderId="16" xfId="0" applyFont="1" applyFill="1" applyBorder="1" applyAlignment="1">
      <alignment vertical="center" wrapText="1"/>
    </xf>
    <xf numFmtId="0" fontId="66" fillId="13" borderId="0" xfId="0" applyFont="1" applyFill="1" applyAlignment="1">
      <alignment horizontal="right" vertical="center" wrapText="1"/>
    </xf>
    <xf numFmtId="0" fontId="58" fillId="13" borderId="0" xfId="0" applyFont="1" applyFill="1" applyAlignment="1">
      <alignment vertical="center" wrapText="1"/>
    </xf>
    <xf numFmtId="0" fontId="5" fillId="0" borderId="58" xfId="0" applyFont="1" applyBorder="1" applyAlignment="1">
      <alignment horizontal="center" vertical="center"/>
    </xf>
    <xf numFmtId="0" fontId="5" fillId="0" borderId="82" xfId="0" applyFont="1" applyBorder="1" applyAlignment="1">
      <alignment vertical="center"/>
    </xf>
    <xf numFmtId="0" fontId="5" fillId="0" borderId="82" xfId="0" applyFont="1" applyBorder="1" applyAlignment="1">
      <alignment vertical="center" wrapText="1"/>
    </xf>
    <xf numFmtId="0" fontId="6" fillId="0" borderId="82" xfId="0" applyFont="1" applyBorder="1" applyAlignment="1">
      <alignment vertical="center" wrapText="1"/>
    </xf>
    <xf numFmtId="0" fontId="6" fillId="0" borderId="81" xfId="0" applyFont="1" applyBorder="1" applyAlignment="1">
      <alignment vertical="center" wrapText="1"/>
    </xf>
    <xf numFmtId="0" fontId="6" fillId="0" borderId="74" xfId="0" applyFont="1" applyBorder="1" applyAlignment="1">
      <alignment horizontal="left" vertical="center"/>
    </xf>
    <xf numFmtId="0" fontId="92" fillId="0" borderId="0" xfId="0" applyFont="1" applyAlignment="1">
      <alignment vertical="center"/>
    </xf>
    <xf numFmtId="0" fontId="34" fillId="3" borderId="29" xfId="0" applyFont="1" applyFill="1" applyBorder="1" applyAlignment="1">
      <alignment horizontal="center" vertical="center" wrapText="1"/>
    </xf>
    <xf numFmtId="49" fontId="0" fillId="0" borderId="8" xfId="0" applyNumberFormat="1" applyBorder="1" applyAlignment="1">
      <alignment vertical="center" wrapText="1"/>
    </xf>
    <xf numFmtId="49" fontId="0" fillId="0" borderId="10" xfId="0" applyNumberFormat="1" applyBorder="1" applyAlignment="1">
      <alignment vertical="center" wrapText="1"/>
    </xf>
    <xf numFmtId="0" fontId="2" fillId="0" borderId="9" xfId="0" applyFont="1" applyBorder="1" applyAlignment="1">
      <alignment vertical="center"/>
    </xf>
    <xf numFmtId="0" fontId="2" fillId="0" borderId="8" xfId="0" applyFont="1" applyBorder="1" applyAlignment="1">
      <alignment vertical="center"/>
    </xf>
    <xf numFmtId="0" fontId="5" fillId="0" borderId="8" xfId="0" applyFont="1" applyBorder="1" applyAlignment="1">
      <alignment vertical="center"/>
    </xf>
    <xf numFmtId="0" fontId="5" fillId="0" borderId="20" xfId="0" applyFont="1" applyBorder="1" applyAlignment="1">
      <alignment vertical="center"/>
    </xf>
    <xf numFmtId="0" fontId="6" fillId="0" borderId="89" xfId="0" applyFont="1" applyBorder="1" applyAlignment="1">
      <alignment horizontal="left" vertical="center"/>
    </xf>
    <xf numFmtId="0" fontId="30" fillId="0" borderId="61" xfId="0" applyFont="1" applyBorder="1" applyAlignment="1">
      <alignment horizontal="center" vertical="center"/>
    </xf>
    <xf numFmtId="0" fontId="30" fillId="0" borderId="61" xfId="0" applyFont="1" applyBorder="1" applyAlignment="1">
      <alignment horizontal="center" vertical="distributed" textRotation="255" wrapText="1"/>
    </xf>
    <xf numFmtId="0" fontId="30" fillId="0" borderId="190" xfId="0" applyFont="1" applyBorder="1" applyAlignment="1">
      <alignment horizontal="distributed" vertical="center" wrapText="1"/>
    </xf>
    <xf numFmtId="0" fontId="5" fillId="0" borderId="60" xfId="0" applyFont="1" applyBorder="1" applyAlignment="1">
      <alignment vertical="center"/>
    </xf>
    <xf numFmtId="0" fontId="30" fillId="0" borderId="61" xfId="0" applyFont="1" applyBorder="1" applyAlignment="1">
      <alignment horizontal="distributed" vertical="center"/>
    </xf>
    <xf numFmtId="0" fontId="30" fillId="0" borderId="191" xfId="0" applyFont="1" applyBorder="1" applyAlignment="1">
      <alignment horizontal="distributed" vertical="center" wrapText="1"/>
    </xf>
    <xf numFmtId="0" fontId="37" fillId="0" borderId="191" xfId="0" applyFont="1" applyBorder="1" applyAlignment="1">
      <alignment vertical="center" wrapText="1"/>
    </xf>
    <xf numFmtId="0" fontId="5" fillId="0" borderId="65" xfId="0" applyFont="1" applyBorder="1" applyAlignment="1">
      <alignment vertical="center"/>
    </xf>
    <xf numFmtId="0" fontId="30" fillId="0" borderId="68" xfId="0" applyFont="1" applyBorder="1" applyAlignment="1">
      <alignment horizontal="distributed" vertical="center" wrapText="1"/>
    </xf>
    <xf numFmtId="0" fontId="5" fillId="0" borderId="110" xfId="0" applyFont="1" applyBorder="1" applyAlignment="1">
      <alignment vertical="center"/>
    </xf>
    <xf numFmtId="0" fontId="5" fillId="0" borderId="108" xfId="0" applyFont="1" applyBorder="1" applyAlignment="1">
      <alignment vertical="center"/>
    </xf>
    <xf numFmtId="0" fontId="5" fillId="0" borderId="192" xfId="0" applyFont="1" applyBorder="1" applyAlignment="1">
      <alignment vertical="center"/>
    </xf>
    <xf numFmtId="0" fontId="31" fillId="0" borderId="26" xfId="0" applyFont="1" applyBorder="1" applyAlignment="1">
      <alignment vertical="top"/>
    </xf>
    <xf numFmtId="0" fontId="31" fillId="0" borderId="19" xfId="0" applyFont="1" applyBorder="1" applyAlignment="1">
      <alignment vertical="top" wrapText="1"/>
    </xf>
    <xf numFmtId="0" fontId="31" fillId="0" borderId="0" xfId="0" applyFont="1" applyAlignment="1">
      <alignment vertical="top"/>
    </xf>
    <xf numFmtId="0" fontId="31" fillId="0" borderId="0" xfId="0" applyFont="1" applyAlignment="1">
      <alignment vertical="center"/>
    </xf>
    <xf numFmtId="0" fontId="68" fillId="0" borderId="0" xfId="0" applyFont="1" applyAlignment="1">
      <alignment vertical="center"/>
    </xf>
    <xf numFmtId="0" fontId="31" fillId="0" borderId="50" xfId="0" applyFont="1" applyBorder="1" applyAlignment="1">
      <alignment vertical="center"/>
    </xf>
    <xf numFmtId="0" fontId="31" fillId="0" borderId="27" xfId="0" applyFont="1" applyBorder="1" applyAlignment="1">
      <alignment vertical="top"/>
    </xf>
    <xf numFmtId="0" fontId="31" fillId="0" borderId="0" xfId="0" applyFont="1" applyAlignment="1">
      <alignment horizontal="left" vertical="top"/>
    </xf>
    <xf numFmtId="0" fontId="31" fillId="0" borderId="13" xfId="0" applyFont="1" applyBorder="1" applyAlignment="1">
      <alignment vertical="center"/>
    </xf>
    <xf numFmtId="0" fontId="27" fillId="0" borderId="67" xfId="0" applyFont="1" applyBorder="1" applyAlignment="1">
      <alignment vertical="center"/>
    </xf>
    <xf numFmtId="0" fontId="27" fillId="0" borderId="19" xfId="0" applyFont="1" applyBorder="1" applyAlignment="1">
      <alignment vertical="center"/>
    </xf>
    <xf numFmtId="0" fontId="27" fillId="0" borderId="28" xfId="0" applyFont="1" applyBorder="1" applyAlignment="1">
      <alignment vertical="center"/>
    </xf>
    <xf numFmtId="0" fontId="5" fillId="0" borderId="76" xfId="0" applyFont="1" applyBorder="1" applyAlignment="1">
      <alignment vertical="center"/>
    </xf>
    <xf numFmtId="0" fontId="6" fillId="20" borderId="5" xfId="0" applyFont="1" applyFill="1" applyBorder="1" applyAlignment="1">
      <alignment vertical="center" wrapText="1"/>
    </xf>
    <xf numFmtId="0" fontId="6" fillId="0" borderId="11" xfId="0" applyFont="1" applyBorder="1" applyAlignment="1">
      <alignment vertical="center" wrapText="1"/>
    </xf>
    <xf numFmtId="0" fontId="5" fillId="21" borderId="19" xfId="0" applyFont="1" applyFill="1" applyBorder="1" applyAlignment="1">
      <alignment horizontal="center" vertical="center"/>
    </xf>
    <xf numFmtId="0" fontId="30" fillId="10" borderId="5" xfId="0" applyFont="1" applyFill="1" applyBorder="1" applyAlignment="1">
      <alignment horizontal="center" vertical="center"/>
    </xf>
    <xf numFmtId="0" fontId="58" fillId="0" borderId="0" xfId="0" applyFont="1" applyAlignment="1">
      <alignment vertical="center"/>
    </xf>
    <xf numFmtId="0" fontId="65" fillId="0" borderId="26" xfId="0" applyFont="1" applyBorder="1" applyAlignment="1">
      <alignment vertical="center" wrapText="1"/>
    </xf>
    <xf numFmtId="0" fontId="65" fillId="0" borderId="62" xfId="0" applyFont="1" applyBorder="1" applyAlignment="1">
      <alignment vertical="center" wrapText="1"/>
    </xf>
    <xf numFmtId="0" fontId="65" fillId="0" borderId="27" xfId="0" applyFont="1" applyBorder="1" applyAlignment="1">
      <alignment vertical="center" wrapText="1"/>
    </xf>
    <xf numFmtId="0" fontId="65" fillId="0" borderId="50" xfId="0" applyFont="1" applyBorder="1" applyAlignment="1">
      <alignment vertical="center" wrapText="1"/>
    </xf>
    <xf numFmtId="0" fontId="106" fillId="5" borderId="13" xfId="0" applyFont="1" applyFill="1" applyBorder="1" applyAlignment="1">
      <alignment vertical="center"/>
    </xf>
    <xf numFmtId="0" fontId="6" fillId="3" borderId="0" xfId="0" applyFont="1" applyFill="1" applyAlignment="1">
      <alignment vertical="center" wrapText="1"/>
    </xf>
    <xf numFmtId="0" fontId="6" fillId="18" borderId="0" xfId="0" applyFont="1" applyFill="1" applyAlignment="1">
      <alignment vertical="center" wrapText="1"/>
    </xf>
    <xf numFmtId="0" fontId="5" fillId="18" borderId="0" xfId="0" applyFont="1" applyFill="1" applyAlignment="1">
      <alignment horizontal="left" vertical="center" wrapText="1"/>
    </xf>
    <xf numFmtId="0" fontId="103" fillId="0" borderId="0" xfId="0" applyFont="1" applyAlignment="1">
      <alignment vertical="center" wrapText="1"/>
    </xf>
    <xf numFmtId="0" fontId="45" fillId="0" borderId="0" xfId="0" applyFont="1" applyAlignment="1">
      <alignment vertical="center"/>
    </xf>
    <xf numFmtId="0" fontId="43" fillId="2" borderId="0" xfId="0" applyFont="1" applyFill="1" applyAlignment="1">
      <alignment vertical="center"/>
    </xf>
    <xf numFmtId="0" fontId="5" fillId="6" borderId="0" xfId="0" applyFont="1" applyFill="1" applyAlignment="1">
      <alignment vertical="center"/>
    </xf>
    <xf numFmtId="0" fontId="53" fillId="5" borderId="0" xfId="0" applyFont="1" applyFill="1" applyAlignment="1">
      <alignment horizontal="center" vertical="center"/>
    </xf>
    <xf numFmtId="0" fontId="104" fillId="5" borderId="0" xfId="0" applyFont="1" applyFill="1" applyAlignment="1">
      <alignment horizontal="center" vertical="center"/>
    </xf>
    <xf numFmtId="0" fontId="43" fillId="0" borderId="0" xfId="0" applyFont="1" applyAlignment="1">
      <alignment vertical="top" wrapText="1"/>
    </xf>
    <xf numFmtId="0" fontId="6" fillId="0" borderId="60" xfId="0" applyFont="1" applyBorder="1" applyAlignment="1" applyProtection="1">
      <alignment horizontal="center" vertical="center" wrapText="1"/>
      <protection hidden="1"/>
    </xf>
    <xf numFmtId="0" fontId="60" fillId="0" borderId="48" xfId="0" applyFont="1" applyBorder="1" applyAlignment="1" applyProtection="1">
      <alignment horizontal="center" vertical="center" wrapText="1"/>
      <protection hidden="1"/>
    </xf>
    <xf numFmtId="0" fontId="58" fillId="5" borderId="27" xfId="0" applyFont="1" applyFill="1" applyBorder="1" applyAlignment="1">
      <alignment vertical="center" wrapText="1"/>
    </xf>
    <xf numFmtId="0" fontId="58" fillId="5" borderId="0" xfId="0" applyFont="1" applyFill="1" applyAlignment="1">
      <alignment vertical="center" wrapText="1"/>
    </xf>
    <xf numFmtId="0" fontId="58" fillId="5" borderId="9" xfId="0" applyFont="1" applyFill="1" applyBorder="1" applyAlignment="1">
      <alignment horizontal="distributed" vertical="center"/>
    </xf>
    <xf numFmtId="0" fontId="5" fillId="5" borderId="19" xfId="0" applyFont="1" applyFill="1" applyBorder="1" applyAlignment="1">
      <alignment horizontal="left" vertical="center" wrapText="1"/>
    </xf>
    <xf numFmtId="0" fontId="58" fillId="5" borderId="13" xfId="0" applyFont="1" applyFill="1" applyBorder="1" applyAlignment="1">
      <alignment vertical="center"/>
    </xf>
    <xf numFmtId="0" fontId="31" fillId="5" borderId="13" xfId="0" applyFont="1" applyFill="1" applyBorder="1" applyAlignment="1">
      <alignment vertical="center"/>
    </xf>
    <xf numFmtId="0" fontId="6" fillId="0" borderId="45" xfId="0" applyFont="1" applyBorder="1" applyAlignment="1">
      <alignment vertical="center"/>
    </xf>
    <xf numFmtId="0" fontId="30" fillId="0" borderId="43" xfId="0" applyFont="1" applyBorder="1" applyAlignment="1">
      <alignment vertical="center"/>
    </xf>
    <xf numFmtId="0" fontId="5" fillId="0" borderId="37" xfId="0" applyFont="1" applyBorder="1" applyAlignment="1">
      <alignment vertical="top" wrapText="1"/>
    </xf>
    <xf numFmtId="0" fontId="5" fillId="0" borderId="27" xfId="0" applyFont="1" applyBorder="1" applyAlignment="1">
      <alignment vertical="top" wrapText="1"/>
    </xf>
    <xf numFmtId="0" fontId="5" fillId="0" borderId="27" xfId="0" applyFont="1" applyBorder="1" applyAlignment="1">
      <alignment vertical="center" wrapText="1"/>
    </xf>
    <xf numFmtId="0" fontId="5" fillId="5" borderId="0" xfId="0" applyFont="1" applyFill="1" applyAlignment="1">
      <alignment horizontal="center" vertical="center" wrapText="1"/>
    </xf>
    <xf numFmtId="0" fontId="6" fillId="3" borderId="9" xfId="0" applyFont="1" applyFill="1" applyBorder="1" applyAlignment="1">
      <alignment horizontal="center" vertical="center"/>
    </xf>
    <xf numFmtId="0" fontId="5" fillId="4" borderId="10" xfId="0" applyFont="1" applyFill="1" applyBorder="1" applyAlignment="1">
      <alignment horizontal="center" vertical="center"/>
    </xf>
    <xf numFmtId="0" fontId="5" fillId="2" borderId="10" xfId="0" applyFont="1" applyFill="1" applyBorder="1" applyAlignment="1">
      <alignment horizontal="center" vertical="center"/>
    </xf>
    <xf numFmtId="0" fontId="6" fillId="0" borderId="16" xfId="0" applyFont="1" applyBorder="1" applyAlignment="1">
      <alignment horizontal="center" vertical="center"/>
    </xf>
    <xf numFmtId="0" fontId="25" fillId="0" borderId="0" xfId="0" applyFont="1" applyAlignment="1">
      <alignment vertical="center"/>
    </xf>
    <xf numFmtId="0" fontId="110" fillId="0" borderId="122" xfId="0" applyFont="1" applyBorder="1" applyAlignment="1">
      <alignment vertical="center" wrapText="1"/>
    </xf>
    <xf numFmtId="0" fontId="110" fillId="0" borderId="0" xfId="0" applyFont="1" applyAlignment="1">
      <alignment vertical="center" wrapText="1"/>
    </xf>
    <xf numFmtId="0" fontId="111" fillId="0" borderId="122" xfId="0" applyFont="1" applyBorder="1" applyAlignment="1">
      <alignment vertical="center" wrapText="1"/>
    </xf>
    <xf numFmtId="0" fontId="55" fillId="0" borderId="0" xfId="0" applyFont="1" applyAlignment="1">
      <alignment vertical="center"/>
    </xf>
    <xf numFmtId="0" fontId="55" fillId="0" borderId="16" xfId="0" applyFont="1" applyBorder="1" applyAlignment="1">
      <alignment vertical="center"/>
    </xf>
    <xf numFmtId="0" fontId="55" fillId="0" borderId="13" xfId="0" applyFont="1" applyBorder="1" applyAlignment="1">
      <alignment vertical="center"/>
    </xf>
    <xf numFmtId="0" fontId="55" fillId="0" borderId="14" xfId="0" applyFont="1" applyBorder="1" applyAlignment="1">
      <alignment vertical="center"/>
    </xf>
    <xf numFmtId="0" fontId="6" fillId="20" borderId="5" xfId="0" applyFont="1" applyFill="1" applyBorder="1" applyAlignment="1">
      <alignment horizontal="left" vertical="center" wrapText="1"/>
    </xf>
    <xf numFmtId="0" fontId="112" fillId="0" borderId="122" xfId="3" applyFont="1" applyBorder="1" applyAlignment="1">
      <alignment horizontal="left" vertical="center" wrapText="1"/>
    </xf>
    <xf numFmtId="0" fontId="5" fillId="2" borderId="5" xfId="0" applyFont="1" applyFill="1" applyBorder="1" applyAlignment="1">
      <alignment horizontal="center" vertical="center"/>
    </xf>
    <xf numFmtId="0" fontId="5" fillId="5" borderId="19" xfId="0" applyFont="1" applyFill="1" applyBorder="1" applyAlignment="1">
      <alignment horizontal="center" vertical="center" wrapText="1"/>
    </xf>
    <xf numFmtId="0" fontId="5" fillId="5" borderId="20" xfId="0" applyFont="1" applyFill="1" applyBorder="1" applyAlignment="1">
      <alignment horizontal="center" vertical="center" wrapText="1"/>
    </xf>
    <xf numFmtId="0" fontId="5" fillId="0" borderId="10" xfId="0" applyFont="1" applyBorder="1" applyAlignment="1">
      <alignment horizontal="center" vertical="center"/>
    </xf>
    <xf numFmtId="0" fontId="5" fillId="0" borderId="9" xfId="0" applyFont="1" applyBorder="1" applyAlignment="1">
      <alignment horizontal="center" vertical="center"/>
    </xf>
    <xf numFmtId="0" fontId="5" fillId="5" borderId="0" xfId="0" applyFont="1" applyFill="1" applyAlignment="1">
      <alignment horizontal="center" vertical="center"/>
    </xf>
    <xf numFmtId="0" fontId="5" fillId="2" borderId="5" xfId="0" applyFont="1" applyFill="1" applyBorder="1" applyAlignment="1">
      <alignment horizontal="center" vertical="center" wrapText="1"/>
    </xf>
    <xf numFmtId="0" fontId="5" fillId="0" borderId="5" xfId="0" applyFont="1" applyBorder="1" applyAlignment="1">
      <alignment horizontal="center" vertical="center"/>
    </xf>
    <xf numFmtId="49" fontId="5" fillId="5" borderId="5" xfId="0" applyNumberFormat="1" applyFont="1" applyFill="1" applyBorder="1" applyAlignment="1">
      <alignment horizontal="center" vertical="center"/>
    </xf>
    <xf numFmtId="0" fontId="5" fillId="0" borderId="5" xfId="0" applyFont="1" applyBorder="1" applyAlignment="1">
      <alignment horizontal="center" vertical="center" wrapText="1"/>
    </xf>
    <xf numFmtId="0" fontId="5" fillId="0" borderId="10" xfId="0" applyFont="1" applyBorder="1" applyAlignment="1">
      <alignment horizontal="center" vertical="center" wrapText="1"/>
    </xf>
    <xf numFmtId="49" fontId="21" fillId="0" borderId="5" xfId="0" applyNumberFormat="1" applyFont="1" applyBorder="1" applyAlignment="1">
      <alignment horizontal="center" vertical="center"/>
    </xf>
    <xf numFmtId="0" fontId="21" fillId="0" borderId="5" xfId="0" applyFont="1" applyBorder="1" applyAlignment="1">
      <alignment horizontal="center" vertical="center"/>
    </xf>
    <xf numFmtId="0" fontId="96" fillId="0" borderId="5" xfId="0" applyFont="1" applyBorder="1" applyAlignment="1">
      <alignment horizontal="center" vertical="center"/>
    </xf>
    <xf numFmtId="0" fontId="96" fillId="0" borderId="5" xfId="0" applyFont="1" applyBorder="1" applyAlignment="1">
      <alignment horizontal="center" vertical="center" wrapText="1"/>
    </xf>
    <xf numFmtId="0" fontId="21" fillId="0" borderId="5" xfId="0" applyFont="1" applyBorder="1" applyAlignment="1">
      <alignment horizontal="center" vertical="center" shrinkToFit="1"/>
    </xf>
    <xf numFmtId="0" fontId="21" fillId="0" borderId="5" xfId="0" applyFont="1" applyBorder="1" applyAlignment="1">
      <alignment horizontal="center" vertical="center" wrapText="1"/>
    </xf>
    <xf numFmtId="0" fontId="2" fillId="0" borderId="0" xfId="1" applyFont="1" applyAlignment="1" applyProtection="1">
      <alignment vertical="center"/>
      <protection hidden="1"/>
    </xf>
    <xf numFmtId="0" fontId="2" fillId="0" borderId="9" xfId="1" applyFont="1" applyBorder="1" applyAlignment="1" applyProtection="1">
      <alignment horizontal="distributed" vertical="center"/>
      <protection hidden="1"/>
    </xf>
    <xf numFmtId="0" fontId="21" fillId="0" borderId="13" xfId="1" applyFont="1" applyBorder="1" applyAlignment="1" applyProtection="1">
      <alignment horizontal="center" vertical="center"/>
      <protection hidden="1"/>
    </xf>
    <xf numFmtId="0" fontId="6" fillId="0" borderId="5" xfId="0" applyFont="1" applyBorder="1" applyAlignment="1">
      <alignment horizontal="center" vertical="center" wrapText="1"/>
    </xf>
    <xf numFmtId="0" fontId="5" fillId="0" borderId="25" xfId="0" applyFont="1" applyBorder="1" applyAlignment="1">
      <alignment horizontal="left" vertical="center" wrapText="1"/>
    </xf>
    <xf numFmtId="0" fontId="5" fillId="0" borderId="11" xfId="0" applyFont="1" applyBorder="1" applyAlignment="1">
      <alignment horizontal="left" vertical="center" wrapText="1"/>
    </xf>
    <xf numFmtId="0" fontId="5" fillId="0" borderId="0" xfId="0" applyFont="1" applyAlignment="1">
      <alignment horizontal="center" vertical="center"/>
    </xf>
    <xf numFmtId="0" fontId="30" fillId="0" borderId="19" xfId="0" applyFont="1" applyBorder="1" applyAlignment="1">
      <alignment horizontal="left" vertical="top" wrapText="1"/>
    </xf>
    <xf numFmtId="0" fontId="30" fillId="0" borderId="0" xfId="0" applyFont="1" applyAlignment="1">
      <alignment horizontal="left" vertical="top"/>
    </xf>
    <xf numFmtId="0" fontId="30" fillId="0" borderId="0" xfId="0" applyFont="1" applyAlignment="1">
      <alignment horizontal="left" vertical="center" wrapText="1"/>
    </xf>
    <xf numFmtId="0" fontId="7" fillId="0" borderId="0" xfId="0" applyFont="1" applyAlignment="1" applyProtection="1">
      <alignment horizontal="left" vertical="center"/>
      <protection hidden="1"/>
    </xf>
    <xf numFmtId="0" fontId="7" fillId="0" borderId="0" xfId="0" applyFont="1" applyAlignment="1" applyProtection="1">
      <alignment horizontal="left" vertical="distributed" wrapText="1"/>
      <protection hidden="1"/>
    </xf>
    <xf numFmtId="0" fontId="31" fillId="0" borderId="0" xfId="0" applyFont="1" applyAlignment="1">
      <alignment horizontal="left" vertical="top" wrapText="1"/>
    </xf>
    <xf numFmtId="0" fontId="31" fillId="0" borderId="50" xfId="0" applyFont="1" applyBorder="1" applyAlignment="1">
      <alignment horizontal="left" vertical="top" wrapText="1"/>
    </xf>
    <xf numFmtId="0" fontId="10" fillId="0" borderId="0" xfId="0" applyFont="1" applyAlignment="1">
      <alignment horizontal="left" vertical="distributed" wrapText="1"/>
    </xf>
    <xf numFmtId="0" fontId="6" fillId="0" borderId="0" xfId="0" applyFont="1" applyAlignment="1">
      <alignment horizontal="left" vertical="center"/>
    </xf>
    <xf numFmtId="0" fontId="6" fillId="0" borderId="0" xfId="0" applyFont="1" applyAlignment="1">
      <alignment horizontal="justify" vertical="center" wrapText="1"/>
    </xf>
    <xf numFmtId="0" fontId="5" fillId="0" borderId="58" xfId="0" applyFont="1" applyBorder="1" applyAlignment="1">
      <alignment horizontal="left" vertical="center"/>
    </xf>
    <xf numFmtId="0" fontId="5" fillId="0" borderId="0" xfId="0" applyFont="1" applyAlignment="1">
      <alignment horizontal="left" vertical="center"/>
    </xf>
    <xf numFmtId="0" fontId="6" fillId="0" borderId="47" xfId="0" applyFont="1" applyBorder="1" applyAlignment="1">
      <alignment horizontal="justify" vertical="center" wrapText="1"/>
    </xf>
    <xf numFmtId="0" fontId="6" fillId="0" borderId="28" xfId="0" applyFont="1" applyBorder="1" applyAlignment="1">
      <alignment vertical="center" wrapText="1"/>
    </xf>
    <xf numFmtId="0" fontId="6" fillId="0" borderId="0" xfId="0" applyFont="1" applyAlignment="1">
      <alignment vertical="center" wrapText="1"/>
    </xf>
    <xf numFmtId="0" fontId="6" fillId="0" borderId="50" xfId="0" applyFont="1" applyBorder="1" applyAlignment="1">
      <alignment vertical="center" wrapText="1"/>
    </xf>
    <xf numFmtId="0" fontId="5" fillId="11" borderId="5" xfId="0" applyFont="1" applyFill="1" applyBorder="1" applyAlignment="1">
      <alignment horizontal="center" vertical="center" wrapText="1"/>
    </xf>
    <xf numFmtId="0" fontId="5" fillId="11" borderId="9" xfId="0" applyFont="1" applyFill="1" applyBorder="1" applyAlignment="1">
      <alignment horizontal="center" vertical="center" wrapText="1"/>
    </xf>
    <xf numFmtId="0" fontId="5" fillId="0" borderId="0" xfId="0" applyFont="1" applyAlignment="1">
      <alignment horizontal="left" vertical="center" wrapText="1"/>
    </xf>
    <xf numFmtId="0" fontId="5" fillId="0" borderId="0" xfId="0" applyFont="1" applyAlignment="1">
      <alignment horizontal="left" vertical="top" wrapText="1"/>
    </xf>
    <xf numFmtId="0" fontId="5" fillId="0" borderId="50" xfId="0" applyFont="1" applyBorder="1" applyAlignment="1">
      <alignment horizontal="center" vertical="center" wrapText="1"/>
    </xf>
    <xf numFmtId="0" fontId="5" fillId="0" borderId="47" xfId="0" applyFont="1" applyBorder="1" applyAlignment="1">
      <alignment horizontal="center" vertical="center" wrapText="1"/>
    </xf>
    <xf numFmtId="0" fontId="5" fillId="0" borderId="0" xfId="0" applyFont="1" applyAlignment="1">
      <alignment horizontal="justify" vertical="center" wrapText="1"/>
    </xf>
    <xf numFmtId="0" fontId="54" fillId="0" borderId="0" xfId="0" applyFont="1" applyAlignment="1">
      <alignment horizontal="center" vertical="center"/>
    </xf>
    <xf numFmtId="0" fontId="7" fillId="0" borderId="0" xfId="0" applyFont="1" applyAlignment="1">
      <alignment horizontal="left" vertical="distributed" wrapText="1"/>
    </xf>
    <xf numFmtId="0" fontId="24" fillId="0" borderId="0" xfId="0" applyFont="1" applyAlignment="1">
      <alignment horizontal="left" vertical="distributed" wrapText="1"/>
    </xf>
    <xf numFmtId="0" fontId="24" fillId="0" borderId="0" xfId="0" applyFont="1" applyAlignment="1">
      <alignment horizontal="left" vertical="center"/>
    </xf>
    <xf numFmtId="0" fontId="5" fillId="0" borderId="9" xfId="0" applyFont="1" applyBorder="1" applyAlignment="1">
      <alignment horizontal="center" vertical="center" wrapText="1"/>
    </xf>
    <xf numFmtId="0" fontId="30" fillId="0" borderId="5" xfId="0" applyFont="1" applyBorder="1" applyAlignment="1">
      <alignment horizontal="center" vertical="center"/>
    </xf>
    <xf numFmtId="0" fontId="30" fillId="0" borderId="113" xfId="0" applyFont="1" applyBorder="1" applyAlignment="1" applyProtection="1">
      <alignment vertical="center" wrapText="1"/>
      <protection hidden="1"/>
    </xf>
    <xf numFmtId="0" fontId="30" fillId="0" borderId="112" xfId="0" applyFont="1" applyBorder="1" applyAlignment="1" applyProtection="1">
      <alignment vertical="center" wrapText="1"/>
      <protection hidden="1"/>
    </xf>
    <xf numFmtId="0" fontId="30" fillId="0" borderId="111" xfId="0" applyFont="1" applyBorder="1" applyAlignment="1" applyProtection="1">
      <alignment vertical="center" wrapText="1"/>
      <protection hidden="1"/>
    </xf>
    <xf numFmtId="0" fontId="0" fillId="0" borderId="30" xfId="0" applyBorder="1" applyAlignment="1" applyProtection="1">
      <alignment vertical="center" wrapText="1"/>
      <protection hidden="1"/>
    </xf>
    <xf numFmtId="0" fontId="43" fillId="0" borderId="27" xfId="0" applyFont="1" applyBorder="1" applyAlignment="1">
      <alignment vertical="center"/>
    </xf>
    <xf numFmtId="0" fontId="43" fillId="0" borderId="0" xfId="0" applyFont="1" applyAlignment="1">
      <alignment vertical="center"/>
    </xf>
    <xf numFmtId="0" fontId="5" fillId="0" borderId="27" xfId="0" applyFont="1" applyBorder="1" applyAlignment="1">
      <alignment vertical="center"/>
    </xf>
    <xf numFmtId="0" fontId="5" fillId="0" borderId="0" xfId="0" applyFont="1" applyAlignment="1">
      <alignment vertical="center"/>
    </xf>
    <xf numFmtId="0" fontId="5" fillId="0" borderId="13" xfId="0" applyFont="1" applyBorder="1" applyAlignment="1">
      <alignment horizontal="left" vertical="center"/>
    </xf>
    <xf numFmtId="0" fontId="7" fillId="0" borderId="0" xfId="0" applyFont="1" applyAlignment="1">
      <alignment horizontal="distributed" vertical="center"/>
    </xf>
    <xf numFmtId="0" fontId="6" fillId="0" borderId="0" xfId="0" applyFont="1" applyAlignment="1">
      <alignment horizontal="distributed" vertical="center"/>
    </xf>
    <xf numFmtId="0" fontId="30" fillId="0" borderId="0" xfId="0" applyFont="1" applyAlignment="1">
      <alignment horizontal="left" vertical="center"/>
    </xf>
    <xf numFmtId="0" fontId="2" fillId="0" borderId="10" xfId="1" applyFont="1" applyBorder="1" applyAlignment="1" applyProtection="1">
      <alignment horizontal="distributed" vertical="center"/>
      <protection hidden="1"/>
    </xf>
    <xf numFmtId="0" fontId="2" fillId="0" borderId="8" xfId="1" applyFont="1" applyBorder="1" applyAlignment="1" applyProtection="1">
      <alignment horizontal="distributed" vertical="center"/>
      <protection hidden="1"/>
    </xf>
    <xf numFmtId="0" fontId="96" fillId="0" borderId="0" xfId="0" applyFont="1" applyAlignment="1">
      <alignment vertical="center"/>
    </xf>
    <xf numFmtId="0" fontId="0" fillId="0" borderId="5" xfId="0" applyBorder="1" applyAlignment="1">
      <alignment vertical="center"/>
    </xf>
    <xf numFmtId="0" fontId="13" fillId="0" borderId="0" xfId="0" applyFont="1" applyAlignment="1">
      <alignment horizontal="left" vertical="center"/>
    </xf>
    <xf numFmtId="0" fontId="13" fillId="0" borderId="0" xfId="0" applyFont="1" applyAlignment="1">
      <alignment horizontal="left" vertical="center" wrapText="1"/>
    </xf>
    <xf numFmtId="0" fontId="37" fillId="0" borderId="26" xfId="0" applyFont="1" applyBorder="1" applyAlignment="1">
      <alignment horizontal="justify" vertical="center" wrapText="1"/>
    </xf>
    <xf numFmtId="0" fontId="37" fillId="0" borderId="0" xfId="0" applyFont="1" applyAlignment="1">
      <alignment horizontal="center" vertical="center" wrapText="1"/>
    </xf>
    <xf numFmtId="0" fontId="5" fillId="0" borderId="5" xfId="0" applyFont="1" applyBorder="1" applyAlignment="1">
      <alignment horizontal="left" vertical="center" wrapText="1"/>
    </xf>
    <xf numFmtId="0" fontId="6" fillId="0" borderId="5" xfId="0" applyFont="1" applyBorder="1" applyAlignment="1">
      <alignment vertical="center" wrapText="1"/>
    </xf>
    <xf numFmtId="0" fontId="6" fillId="0" borderId="5" xfId="0" applyFont="1" applyBorder="1" applyAlignment="1">
      <alignment horizontal="justify" vertical="center" wrapText="1"/>
    </xf>
    <xf numFmtId="0" fontId="6" fillId="0" borderId="27" xfId="0" applyFont="1" applyBorder="1" applyAlignment="1">
      <alignment horizontal="justify" vertical="center" wrapText="1"/>
    </xf>
    <xf numFmtId="0" fontId="8" fillId="0" borderId="5" xfId="0" applyFont="1" applyBorder="1" applyAlignment="1">
      <alignment horizontal="justify" vertical="center" wrapText="1"/>
    </xf>
    <xf numFmtId="0" fontId="55" fillId="0" borderId="116" xfId="3" applyFont="1" applyBorder="1" applyAlignment="1">
      <alignment horizontal="left" vertical="top" wrapText="1"/>
    </xf>
    <xf numFmtId="0" fontId="2" fillId="0" borderId="118" xfId="3" applyFont="1" applyBorder="1" applyAlignment="1">
      <alignment horizontal="left" vertical="top" wrapText="1"/>
    </xf>
    <xf numFmtId="0" fontId="2" fillId="0" borderId="117" xfId="3" applyFont="1" applyBorder="1" applyAlignment="1">
      <alignment horizontal="center" vertical="top" wrapText="1"/>
    </xf>
    <xf numFmtId="0" fontId="55" fillId="0" borderId="5" xfId="3" applyFont="1" applyBorder="1" applyAlignment="1">
      <alignment horizontal="left" vertical="top" wrapText="1"/>
    </xf>
    <xf numFmtId="0" fontId="2" fillId="0" borderId="5" xfId="3" applyFont="1" applyBorder="1" applyAlignment="1">
      <alignment horizontal="left" vertical="top" wrapText="1"/>
    </xf>
    <xf numFmtId="0" fontId="2" fillId="0" borderId="5" xfId="3" applyFont="1" applyBorder="1" applyAlignment="1">
      <alignment horizontal="center" vertical="top" wrapText="1"/>
    </xf>
    <xf numFmtId="0" fontId="6" fillId="0" borderId="132" xfId="0" applyFont="1" applyBorder="1" applyAlignment="1">
      <alignment horizontal="center" vertical="center" wrapText="1"/>
    </xf>
    <xf numFmtId="0" fontId="5" fillId="0" borderId="0" xfId="0" applyFont="1" applyAlignment="1">
      <alignment horizontal="center" vertical="center" wrapText="1"/>
    </xf>
    <xf numFmtId="0" fontId="37" fillId="0" borderId="0" xfId="0" applyFont="1" applyAlignment="1">
      <alignment horizontal="left"/>
    </xf>
    <xf numFmtId="0" fontId="6" fillId="0" borderId="25" xfId="0" applyFont="1" applyBorder="1" applyAlignment="1">
      <alignment horizontal="center" vertical="center" wrapText="1"/>
    </xf>
    <xf numFmtId="0" fontId="5" fillId="0" borderId="25" xfId="0" applyFont="1" applyBorder="1" applyAlignment="1">
      <alignment horizontal="center" vertical="center" wrapText="1"/>
    </xf>
    <xf numFmtId="0" fontId="5" fillId="0" borderId="75" xfId="0" applyFont="1" applyBorder="1" applyAlignment="1">
      <alignment horizontal="left" vertical="center"/>
    </xf>
    <xf numFmtId="0" fontId="5" fillId="0" borderId="0" xfId="0" applyFont="1" applyAlignment="1">
      <alignment horizontal="center" vertical="top" wrapText="1"/>
    </xf>
    <xf numFmtId="0" fontId="5" fillId="0" borderId="0" xfId="0" applyFont="1" applyAlignment="1">
      <alignment vertical="center" wrapText="1"/>
    </xf>
    <xf numFmtId="0" fontId="5" fillId="0" borderId="16" xfId="0" applyFont="1" applyBorder="1" applyAlignment="1">
      <alignment vertical="center" wrapText="1"/>
    </xf>
    <xf numFmtId="0" fontId="61" fillId="0" borderId="0" xfId="0" applyFont="1" applyAlignment="1">
      <alignment vertical="center" wrapText="1"/>
    </xf>
    <xf numFmtId="0" fontId="66" fillId="13" borderId="0" xfId="0" applyFont="1" applyFill="1" applyAlignment="1">
      <alignment horizontal="center" vertical="center" wrapText="1"/>
    </xf>
    <xf numFmtId="0" fontId="5" fillId="0" borderId="0" xfId="0" applyFont="1" applyAlignment="1">
      <alignment horizontal="left" vertical="center" indent="3"/>
    </xf>
    <xf numFmtId="0" fontId="0" fillId="0" borderId="0" xfId="0" applyAlignment="1">
      <alignment vertical="center"/>
    </xf>
    <xf numFmtId="0" fontId="2" fillId="0" borderId="0" xfId="0" applyFont="1" applyAlignment="1">
      <alignment vertical="center"/>
    </xf>
    <xf numFmtId="0" fontId="24" fillId="0" borderId="97" xfId="0" applyFont="1" applyBorder="1" applyAlignment="1">
      <alignment horizontal="center" vertical="center" wrapText="1"/>
    </xf>
    <xf numFmtId="0" fontId="24" fillId="0" borderId="96" xfId="0" applyFont="1" applyBorder="1" applyAlignment="1">
      <alignment horizontal="center" vertical="center" wrapText="1"/>
    </xf>
    <xf numFmtId="0" fontId="0" fillId="0" borderId="0" xfId="0" applyAlignment="1"/>
    <xf numFmtId="177" fontId="5" fillId="5" borderId="5" xfId="0" quotePrefix="1" applyNumberFormat="1" applyFont="1" applyFill="1" applyBorder="1" applyAlignment="1">
      <alignment horizontal="center" vertical="center" wrapText="1"/>
    </xf>
    <xf numFmtId="177" fontId="5" fillId="0" borderId="5" xfId="0" applyNumberFormat="1" applyFont="1" applyBorder="1" applyAlignment="1">
      <alignment horizontal="center" vertical="center"/>
    </xf>
    <xf numFmtId="177" fontId="5" fillId="5" borderId="0" xfId="0" quotePrefix="1" applyNumberFormat="1" applyFont="1" applyFill="1" applyAlignment="1">
      <alignment vertical="center"/>
    </xf>
    <xf numFmtId="176" fontId="71" fillId="0" borderId="0" xfId="2" applyNumberFormat="1" applyAlignment="1">
      <alignment horizontal="center" vertical="center" wrapText="1"/>
    </xf>
    <xf numFmtId="177" fontId="5" fillId="5" borderId="0" xfId="0" quotePrefix="1" applyNumberFormat="1" applyFont="1" applyFill="1" applyAlignment="1">
      <alignment horizontal="center" vertical="center"/>
    </xf>
    <xf numFmtId="176" fontId="5" fillId="5" borderId="0" xfId="0" applyNumberFormat="1" applyFont="1" applyFill="1" applyAlignment="1">
      <alignment vertical="center"/>
    </xf>
    <xf numFmtId="177" fontId="5" fillId="5" borderId="0" xfId="0" applyNumberFormat="1" applyFont="1" applyFill="1" applyAlignment="1">
      <alignment horizontal="center" vertical="center"/>
    </xf>
    <xf numFmtId="179" fontId="6" fillId="20" borderId="5" xfId="0" applyNumberFormat="1" applyFont="1" applyFill="1" applyBorder="1" applyAlignment="1">
      <alignment vertical="center"/>
    </xf>
    <xf numFmtId="180" fontId="53" fillId="20" borderId="5" xfId="0" applyNumberFormat="1" applyFont="1" applyFill="1" applyBorder="1" applyAlignment="1">
      <alignment horizontal="center" vertical="center"/>
    </xf>
    <xf numFmtId="178" fontId="6" fillId="20" borderId="5" xfId="0" applyNumberFormat="1" applyFont="1" applyFill="1" applyBorder="1" applyAlignment="1">
      <alignment horizontal="center" vertical="center"/>
    </xf>
    <xf numFmtId="176" fontId="6" fillId="20" borderId="9" xfId="0" applyNumberFormat="1" applyFont="1" applyFill="1" applyBorder="1" applyAlignment="1">
      <alignment vertical="center" wrapText="1"/>
    </xf>
    <xf numFmtId="176" fontId="6" fillId="0" borderId="16" xfId="0" applyNumberFormat="1" applyFont="1" applyBorder="1" applyAlignment="1">
      <alignment vertical="center" wrapText="1"/>
    </xf>
    <xf numFmtId="179" fontId="6" fillId="0" borderId="11" xfId="0" applyNumberFormat="1" applyFont="1" applyBorder="1" applyAlignment="1">
      <alignment horizontal="center" vertical="center"/>
    </xf>
    <xf numFmtId="180" fontId="6" fillId="0" borderId="11" xfId="0" applyNumberFormat="1" applyFont="1" applyBorder="1" applyAlignment="1">
      <alignment horizontal="center" vertical="center"/>
    </xf>
    <xf numFmtId="178" fontId="6" fillId="6" borderId="5" xfId="0" applyNumberFormat="1" applyFont="1" applyFill="1" applyBorder="1" applyAlignment="1">
      <alignment horizontal="center" vertical="center"/>
    </xf>
    <xf numFmtId="179" fontId="6" fillId="20" borderId="5" xfId="0" applyNumberFormat="1" applyFont="1" applyFill="1" applyBorder="1" applyAlignment="1">
      <alignment horizontal="center" vertical="center"/>
    </xf>
    <xf numFmtId="180" fontId="6" fillId="20" borderId="5" xfId="0" applyNumberFormat="1" applyFont="1" applyFill="1" applyBorder="1" applyAlignment="1">
      <alignment horizontal="center" vertical="center"/>
    </xf>
    <xf numFmtId="176" fontId="6" fillId="5" borderId="9" xfId="0" applyNumberFormat="1" applyFont="1" applyFill="1" applyBorder="1" applyAlignment="1">
      <alignment vertical="center" wrapText="1"/>
    </xf>
    <xf numFmtId="179" fontId="6" fillId="0" borderId="5" xfId="0" applyNumberFormat="1" applyFont="1" applyBorder="1" applyAlignment="1">
      <alignment horizontal="center" vertical="center"/>
    </xf>
    <xf numFmtId="180" fontId="6" fillId="0" borderId="5" xfId="0" applyNumberFormat="1" applyFont="1" applyBorder="1" applyAlignment="1">
      <alignment horizontal="center" vertical="center"/>
    </xf>
    <xf numFmtId="176" fontId="6" fillId="5" borderId="0" xfId="0" applyNumberFormat="1" applyFont="1" applyFill="1" applyAlignment="1">
      <alignment vertical="center" wrapText="1"/>
    </xf>
    <xf numFmtId="181" fontId="5" fillId="0" borderId="5" xfId="0" applyNumberFormat="1" applyFont="1" applyBorder="1" applyAlignment="1">
      <alignment horizontal="center" vertical="center" wrapText="1"/>
    </xf>
    <xf numFmtId="179" fontId="5" fillId="0" borderId="0" xfId="0" applyNumberFormat="1" applyFont="1" applyAlignment="1">
      <alignment vertical="center"/>
    </xf>
    <xf numFmtId="178" fontId="6" fillId="5" borderId="0" xfId="0" applyNumberFormat="1" applyFont="1" applyFill="1" applyAlignment="1">
      <alignment horizontal="center" vertical="center"/>
    </xf>
    <xf numFmtId="182" fontId="5" fillId="0" borderId="0" xfId="0" applyNumberFormat="1" applyFont="1" applyAlignment="1">
      <alignment vertical="center"/>
    </xf>
    <xf numFmtId="184" fontId="31" fillId="0" borderId="0" xfId="0" applyNumberFormat="1" applyFont="1" applyAlignment="1">
      <alignment vertical="top"/>
    </xf>
    <xf numFmtId="183" fontId="5" fillId="0" borderId="82" xfId="0" applyNumberFormat="1" applyFont="1" applyBorder="1" applyAlignment="1">
      <alignment horizontal="center" vertical="center" wrapText="1"/>
    </xf>
    <xf numFmtId="0" fontId="5" fillId="0" borderId="10" xfId="0" applyFont="1" applyBorder="1" applyAlignment="1">
      <alignment horizontal="center" vertical="center"/>
    </xf>
    <xf numFmtId="0" fontId="0" fillId="0" borderId="8" xfId="0" applyBorder="1" applyAlignment="1"/>
    <xf numFmtId="0" fontId="0" fillId="0" borderId="10" xfId="0" applyBorder="1" applyAlignment="1"/>
    <xf numFmtId="0" fontId="5" fillId="0" borderId="5" xfId="0" applyFont="1" applyBorder="1" applyAlignment="1">
      <alignment horizontal="center" vertical="center"/>
    </xf>
    <xf numFmtId="0" fontId="0" fillId="0" borderId="11" xfId="0" applyBorder="1" applyAlignment="1"/>
    <xf numFmtId="0" fontId="5" fillId="0" borderId="5" xfId="0" applyFont="1" applyBorder="1" applyAlignment="1">
      <alignment horizontal="center" vertical="top" wrapText="1"/>
    </xf>
    <xf numFmtId="0" fontId="0" fillId="0" borderId="19" xfId="0" applyBorder="1" applyAlignment="1"/>
    <xf numFmtId="0" fontId="0" fillId="0" borderId="18" xfId="0" applyBorder="1" applyAlignment="1"/>
    <xf numFmtId="0" fontId="0" fillId="0" borderId="20" xfId="0" applyBorder="1" applyAlignment="1"/>
    <xf numFmtId="0" fontId="0" fillId="0" borderId="13" xfId="0" applyBorder="1" applyAlignment="1"/>
    <xf numFmtId="0" fontId="0" fillId="0" borderId="14" xfId="0" applyBorder="1" applyAlignment="1"/>
    <xf numFmtId="0" fontId="5" fillId="0" borderId="5" xfId="0" applyFont="1" applyBorder="1" applyAlignment="1">
      <alignment horizontal="center" vertical="center" wrapText="1"/>
    </xf>
    <xf numFmtId="49" fontId="5" fillId="5" borderId="5" xfId="0" applyNumberFormat="1" applyFont="1" applyFill="1" applyBorder="1" applyAlignment="1">
      <alignment horizontal="center" vertical="center"/>
    </xf>
    <xf numFmtId="0" fontId="5" fillId="5" borderId="10" xfId="0" applyFont="1" applyFill="1" applyBorder="1" applyAlignment="1">
      <alignment horizontal="center" vertical="center"/>
    </xf>
    <xf numFmtId="177" fontId="5" fillId="0" borderId="5" xfId="0" applyNumberFormat="1" applyFont="1" applyBorder="1" applyAlignment="1">
      <alignment horizontal="center" vertical="center"/>
    </xf>
    <xf numFmtId="176" fontId="5" fillId="0" borderId="5" xfId="0" applyNumberFormat="1" applyFont="1" applyBorder="1" applyAlignment="1">
      <alignment horizontal="center" vertical="center" wrapText="1"/>
    </xf>
    <xf numFmtId="0" fontId="5" fillId="2" borderId="5" xfId="0" applyFont="1" applyFill="1" applyBorder="1" applyAlignment="1">
      <alignment horizontal="center" vertical="center" wrapText="1"/>
    </xf>
    <xf numFmtId="0" fontId="5" fillId="2" borderId="5" xfId="0" applyFont="1" applyFill="1" applyBorder="1" applyAlignment="1">
      <alignment horizontal="center" vertical="center"/>
    </xf>
    <xf numFmtId="177" fontId="5" fillId="5" borderId="5" xfId="0" applyNumberFormat="1" applyFont="1" applyFill="1" applyBorder="1" applyAlignment="1">
      <alignment horizontal="center" vertical="center"/>
    </xf>
    <xf numFmtId="0" fontId="0" fillId="0" borderId="5" xfId="0" applyBorder="1" applyAlignment="1">
      <alignment horizontal="center" vertical="center"/>
    </xf>
    <xf numFmtId="0" fontId="5" fillId="0" borderId="9" xfId="0" applyFont="1" applyBorder="1" applyAlignment="1">
      <alignment horizontal="center" vertical="center"/>
    </xf>
    <xf numFmtId="0" fontId="5" fillId="5" borderId="5" xfId="0" applyFont="1" applyFill="1" applyBorder="1" applyAlignment="1">
      <alignment horizontal="center" vertical="center" wrapText="1"/>
    </xf>
    <xf numFmtId="0" fontId="5" fillId="5" borderId="0" xfId="0" applyFont="1" applyFill="1" applyAlignment="1">
      <alignment horizontal="center" vertical="center"/>
    </xf>
    <xf numFmtId="0" fontId="5" fillId="0" borderId="0" xfId="0" applyFont="1" applyAlignment="1">
      <alignment vertical="center"/>
    </xf>
    <xf numFmtId="0" fontId="5" fillId="0" borderId="10" xfId="0" applyFont="1" applyBorder="1" applyAlignment="1">
      <alignment horizontal="center" vertical="center" wrapText="1"/>
    </xf>
    <xf numFmtId="0" fontId="5" fillId="0" borderId="0" xfId="0" applyFont="1" applyAlignment="1">
      <alignment horizontal="left" vertical="top" wrapText="1"/>
    </xf>
    <xf numFmtId="0" fontId="5" fillId="0" borderId="0" xfId="0" applyFont="1" applyAlignment="1">
      <alignment vertical="center" wrapText="1"/>
    </xf>
    <xf numFmtId="49" fontId="21" fillId="0" borderId="5" xfId="0" applyNumberFormat="1" applyFont="1" applyBorder="1" applyAlignment="1">
      <alignment horizontal="left" vertical="top" wrapText="1"/>
    </xf>
    <xf numFmtId="0" fontId="0" fillId="0" borderId="27" xfId="0" applyBorder="1" applyAlignment="1"/>
    <xf numFmtId="0" fontId="21" fillId="0" borderId="0" xfId="0" applyFont="1" applyAlignment="1">
      <alignment vertical="center"/>
    </xf>
    <xf numFmtId="0" fontId="0" fillId="0" borderId="16" xfId="0" applyBorder="1" applyAlignment="1"/>
    <xf numFmtId="0" fontId="21" fillId="0" borderId="5" xfId="0" applyFont="1" applyBorder="1" applyAlignment="1">
      <alignment horizontal="center" vertical="center" shrinkToFit="1"/>
    </xf>
    <xf numFmtId="49" fontId="21" fillId="0" borderId="5" xfId="0" applyNumberFormat="1" applyFont="1" applyBorder="1" applyAlignment="1">
      <alignment horizontal="center" vertical="center"/>
    </xf>
    <xf numFmtId="49" fontId="21" fillId="0" borderId="5" xfId="0" applyNumberFormat="1" applyFont="1" applyBorder="1" applyAlignment="1">
      <alignment horizontal="center" vertical="center" wrapText="1"/>
    </xf>
    <xf numFmtId="0" fontId="21" fillId="0" borderId="5" xfId="0" applyFont="1" applyBorder="1" applyAlignment="1">
      <alignment horizontal="center" vertical="center"/>
    </xf>
    <xf numFmtId="0" fontId="21" fillId="0" borderId="5" xfId="0" applyFont="1" applyBorder="1" applyAlignment="1">
      <alignment horizontal="left" vertical="center"/>
    </xf>
    <xf numFmtId="49" fontId="21" fillId="0" borderId="11" xfId="0" applyNumberFormat="1" applyFont="1" applyBorder="1" applyAlignment="1">
      <alignment horizontal="center" vertical="center"/>
    </xf>
    <xf numFmtId="0" fontId="21" fillId="0" borderId="5" xfId="0" applyFont="1" applyBorder="1" applyAlignment="1">
      <alignment horizontal="center" vertical="center" wrapText="1"/>
    </xf>
    <xf numFmtId="0" fontId="0" fillId="0" borderId="5" xfId="0" applyBorder="1" applyAlignment="1">
      <alignment horizontal="center" vertical="center" wrapText="1"/>
    </xf>
    <xf numFmtId="0" fontId="2" fillId="0" borderId="5" xfId="0" applyFont="1" applyBorder="1" applyAlignment="1">
      <alignment horizontal="center" vertical="center"/>
    </xf>
    <xf numFmtId="0" fontId="96" fillId="0" borderId="5" xfId="0" applyFont="1" applyBorder="1" applyAlignment="1">
      <alignment horizontal="center" vertical="center"/>
    </xf>
    <xf numFmtId="0" fontId="21" fillId="0" borderId="9" xfId="0" applyFont="1" applyBorder="1" applyAlignment="1">
      <alignment horizontal="center" vertical="center" wrapText="1"/>
    </xf>
    <xf numFmtId="49" fontId="96" fillId="0" borderId="5" xfId="0" applyNumberFormat="1" applyFont="1" applyBorder="1" applyAlignment="1">
      <alignment horizontal="center" vertical="center" wrapText="1"/>
    </xf>
    <xf numFmtId="0" fontId="21" fillId="0" borderId="5" xfId="0" applyFont="1" applyBorder="1" applyAlignment="1">
      <alignment horizontal="left" vertical="top" wrapText="1" shrinkToFit="1"/>
    </xf>
    <xf numFmtId="49" fontId="75" fillId="0" borderId="5" xfId="0" applyNumberFormat="1" applyFont="1" applyBorder="1" applyAlignment="1">
      <alignment horizontal="left" vertical="center" wrapText="1"/>
    </xf>
    <xf numFmtId="49" fontId="96" fillId="0" borderId="5" xfId="0" applyNumberFormat="1" applyFont="1" applyBorder="1" applyAlignment="1">
      <alignment horizontal="center" vertical="center" wrapText="1" shrinkToFit="1"/>
    </xf>
    <xf numFmtId="0" fontId="96" fillId="0" borderId="5" xfId="0" applyFont="1" applyBorder="1" applyAlignment="1">
      <alignment horizontal="center" vertical="center" wrapText="1"/>
    </xf>
    <xf numFmtId="0" fontId="100" fillId="0" borderId="5" xfId="0" applyFont="1" applyBorder="1" applyAlignment="1">
      <alignment horizontal="center" vertical="center"/>
    </xf>
    <xf numFmtId="0" fontId="21" fillId="0" borderId="14" xfId="0" applyFont="1" applyBorder="1" applyAlignment="1">
      <alignment horizontal="center" vertical="center"/>
    </xf>
    <xf numFmtId="0" fontId="2" fillId="0" borderId="0" xfId="1" applyFont="1" applyAlignment="1" applyProtection="1">
      <alignment vertical="center"/>
      <protection hidden="1"/>
    </xf>
    <xf numFmtId="0" fontId="0" fillId="0" borderId="0" xfId="0" applyAlignment="1" applyProtection="1">
      <protection hidden="1"/>
    </xf>
    <xf numFmtId="0" fontId="3" fillId="0" borderId="5" xfId="1" applyFont="1" applyBorder="1" applyAlignment="1" applyProtection="1">
      <alignment horizontal="distributed" vertical="center"/>
      <protection hidden="1"/>
    </xf>
    <xf numFmtId="0" fontId="0" fillId="0" borderId="8" xfId="0" applyBorder="1" applyAlignment="1" applyProtection="1">
      <protection hidden="1"/>
    </xf>
    <xf numFmtId="0" fontId="0" fillId="0" borderId="10" xfId="0" applyBorder="1" applyAlignment="1" applyProtection="1">
      <protection hidden="1"/>
    </xf>
    <xf numFmtId="0" fontId="3" fillId="0" borderId="25" xfId="1" applyFont="1" applyBorder="1" applyAlignment="1" applyProtection="1">
      <alignment horizontal="distributed" vertical="distributed" wrapText="1"/>
      <protection hidden="1"/>
    </xf>
    <xf numFmtId="0" fontId="0" fillId="0" borderId="19" xfId="0" applyBorder="1" applyAlignment="1" applyProtection="1">
      <protection hidden="1"/>
    </xf>
    <xf numFmtId="0" fontId="0" fillId="0" borderId="18" xfId="0" applyBorder="1" applyAlignment="1" applyProtection="1">
      <protection hidden="1"/>
    </xf>
    <xf numFmtId="0" fontId="0" fillId="0" borderId="20" xfId="0" applyBorder="1" applyAlignment="1" applyProtection="1">
      <protection hidden="1"/>
    </xf>
    <xf numFmtId="0" fontId="0" fillId="0" borderId="14" xfId="0" applyBorder="1" applyAlignment="1" applyProtection="1">
      <protection hidden="1"/>
    </xf>
    <xf numFmtId="0" fontId="21" fillId="0" borderId="5" xfId="1" applyFont="1" applyBorder="1" applyAlignment="1" applyProtection="1">
      <alignment horizontal="distributed" vertical="center"/>
      <protection hidden="1"/>
    </xf>
    <xf numFmtId="0" fontId="2" fillId="0" borderId="5" xfId="1" applyFont="1" applyBorder="1" applyAlignment="1" applyProtection="1">
      <alignment horizontal="distributed" vertical="center"/>
      <protection hidden="1"/>
    </xf>
    <xf numFmtId="0" fontId="0" fillId="0" borderId="13" xfId="0" applyBorder="1" applyAlignment="1" applyProtection="1">
      <protection hidden="1"/>
    </xf>
    <xf numFmtId="0" fontId="2" fillId="0" borderId="0" xfId="1" applyFont="1" applyAlignment="1" applyProtection="1">
      <alignment horizontal="distributed" vertical="center"/>
      <protection hidden="1"/>
    </xf>
    <xf numFmtId="0" fontId="21" fillId="0" borderId="5" xfId="1" applyFont="1" applyBorder="1" applyAlignment="1" applyProtection="1">
      <alignment horizontal="left" vertical="center" wrapText="1"/>
      <protection hidden="1"/>
    </xf>
    <xf numFmtId="0" fontId="3" fillId="0" borderId="11" xfId="1" applyFont="1" applyBorder="1" applyAlignment="1" applyProtection="1">
      <alignment horizontal="distributed" vertical="center"/>
      <protection hidden="1"/>
    </xf>
    <xf numFmtId="0" fontId="2" fillId="0" borderId="19" xfId="1" applyFont="1" applyBorder="1" applyAlignment="1" applyProtection="1">
      <alignment horizontal="distributed" vertical="center"/>
      <protection hidden="1"/>
    </xf>
    <xf numFmtId="0" fontId="3" fillId="0" borderId="5" xfId="1" applyFont="1" applyBorder="1" applyAlignment="1" applyProtection="1">
      <alignment horizontal="center" vertical="center"/>
      <protection hidden="1"/>
    </xf>
    <xf numFmtId="0" fontId="2" fillId="0" borderId="0" xfId="1" applyFont="1" applyAlignment="1" applyProtection="1">
      <alignment horizontal="left" vertical="center"/>
      <protection hidden="1"/>
    </xf>
    <xf numFmtId="0" fontId="22" fillId="0" borderId="0" xfId="1" applyFont="1" applyAlignment="1" applyProtection="1">
      <alignment horizontal="distributed" vertical="center"/>
      <protection hidden="1"/>
    </xf>
    <xf numFmtId="0" fontId="2" fillId="0" borderId="10" xfId="1" applyFont="1" applyBorder="1" applyAlignment="1" applyProtection="1">
      <alignment horizontal="left" vertical="center"/>
      <protection hidden="1"/>
    </xf>
    <xf numFmtId="0" fontId="2" fillId="0" borderId="5" xfId="1" applyFont="1" applyBorder="1" applyAlignment="1" applyProtection="1">
      <alignment vertical="center"/>
      <protection hidden="1"/>
    </xf>
    <xf numFmtId="0" fontId="21" fillId="0" borderId="13" xfId="1" applyFont="1" applyBorder="1" applyAlignment="1" applyProtection="1">
      <alignment horizontal="center" vertical="center"/>
      <protection hidden="1"/>
    </xf>
    <xf numFmtId="0" fontId="3" fillId="0" borderId="5" xfId="1" applyFont="1" applyBorder="1" applyAlignment="1" applyProtection="1">
      <alignment horizontal="center" vertical="center" wrapText="1"/>
      <protection hidden="1"/>
    </xf>
    <xf numFmtId="0" fontId="2" fillId="0" borderId="10" xfId="1" applyFont="1" applyBorder="1" applyAlignment="1" applyProtection="1">
      <alignment vertical="center"/>
      <protection hidden="1"/>
    </xf>
    <xf numFmtId="0" fontId="21" fillId="0" borderId="5" xfId="1" applyFont="1" applyBorder="1" applyAlignment="1" applyProtection="1">
      <alignment horizontal="left" vertical="top" wrapText="1"/>
      <protection locked="0"/>
    </xf>
    <xf numFmtId="0" fontId="0" fillId="0" borderId="8" xfId="0" applyBorder="1" applyAlignment="1" applyProtection="1">
      <protection locked="0"/>
    </xf>
    <xf numFmtId="0" fontId="0" fillId="0" borderId="10" xfId="0" applyBorder="1" applyAlignment="1" applyProtection="1">
      <protection locked="0"/>
    </xf>
    <xf numFmtId="177" fontId="2" fillId="0" borderId="8" xfId="1" applyNumberFormat="1" applyFont="1" applyBorder="1" applyAlignment="1" applyProtection="1">
      <alignment horizontal="distributed" vertical="center"/>
      <protection hidden="1"/>
    </xf>
    <xf numFmtId="0" fontId="2" fillId="0" borderId="19" xfId="1" applyFont="1" applyBorder="1" applyAlignment="1" applyProtection="1">
      <alignment vertical="center"/>
      <protection hidden="1"/>
    </xf>
    <xf numFmtId="0" fontId="3" fillId="0" borderId="25" xfId="1" applyFont="1" applyBorder="1" applyAlignment="1" applyProtection="1">
      <alignment horizontal="distributed" vertical="center"/>
      <protection hidden="1"/>
    </xf>
    <xf numFmtId="0" fontId="3" fillId="0" borderId="5" xfId="1" applyFont="1" applyBorder="1" applyAlignment="1" applyProtection="1">
      <alignment horizontal="distributed" vertical="center" wrapText="1"/>
      <protection hidden="1"/>
    </xf>
    <xf numFmtId="0" fontId="21" fillId="0" borderId="5" xfId="1" applyFont="1" applyBorder="1" applyAlignment="1" applyProtection="1">
      <alignment vertical="center" wrapText="1"/>
      <protection hidden="1"/>
    </xf>
    <xf numFmtId="0" fontId="26" fillId="0" borderId="25" xfId="0" applyFont="1" applyBorder="1" applyAlignment="1">
      <alignment horizontal="center" vertical="center" wrapText="1"/>
    </xf>
    <xf numFmtId="0" fontId="6" fillId="0" borderId="5" xfId="0" applyFont="1" applyBorder="1" applyAlignment="1">
      <alignment horizontal="center" vertical="center" wrapText="1"/>
    </xf>
    <xf numFmtId="0" fontId="6" fillId="0" borderId="5" xfId="0" applyFont="1" applyBorder="1" applyAlignment="1">
      <alignment horizontal="left" vertical="center" wrapText="1"/>
    </xf>
    <xf numFmtId="0" fontId="6" fillId="0" borderId="5" xfId="0" applyFont="1" applyBorder="1" applyAlignment="1">
      <alignment horizontal="left" vertical="center" shrinkToFit="1"/>
    </xf>
    <xf numFmtId="0" fontId="6" fillId="0" borderId="5" xfId="0" applyFont="1" applyBorder="1" applyAlignment="1">
      <alignment horizontal="left" vertical="justify" wrapText="1"/>
    </xf>
    <xf numFmtId="0" fontId="5" fillId="0" borderId="5" xfId="0" applyFont="1" applyBorder="1" applyAlignment="1">
      <alignment horizontal="left" vertical="center" wrapText="1"/>
    </xf>
    <xf numFmtId="0" fontId="72" fillId="0" borderId="5" xfId="0" applyFont="1" applyBorder="1" applyAlignment="1">
      <alignment horizontal="left" vertical="center" shrinkToFit="1"/>
    </xf>
    <xf numFmtId="0" fontId="5" fillId="0" borderId="5" xfId="0" applyFont="1" applyBorder="1" applyAlignment="1">
      <alignment horizontal="left" vertical="center" shrinkToFit="1"/>
    </xf>
    <xf numFmtId="0" fontId="5" fillId="0" borderId="0" xfId="0" applyFont="1" applyAlignment="1">
      <alignment horizontal="center" vertical="center"/>
    </xf>
    <xf numFmtId="0" fontId="6" fillId="0" borderId="193" xfId="0" applyFont="1" applyBorder="1" applyAlignment="1">
      <alignment horizontal="center" vertical="distributed" textRotation="255"/>
    </xf>
    <xf numFmtId="0" fontId="0" fillId="0" borderId="38" xfId="0" applyBorder="1" applyAlignment="1"/>
    <xf numFmtId="0" fontId="6" fillId="0" borderId="43" xfId="0" applyFont="1" applyBorder="1" applyAlignment="1">
      <alignment horizontal="right" vertical="center"/>
    </xf>
    <xf numFmtId="0" fontId="0" fillId="0" borderId="43" xfId="0" applyBorder="1" applyAlignment="1"/>
    <xf numFmtId="185" fontId="30" fillId="0" borderId="48" xfId="0" applyNumberFormat="1" applyFont="1" applyBorder="1" applyAlignment="1">
      <alignment horizontal="center" vertical="center"/>
    </xf>
    <xf numFmtId="0" fontId="0" fillId="0" borderId="37" xfId="0" applyBorder="1" applyAlignment="1"/>
    <xf numFmtId="0" fontId="0" fillId="0" borderId="46" xfId="0" applyBorder="1" applyAlignment="1"/>
    <xf numFmtId="0" fontId="0" fillId="0" borderId="48" xfId="0" applyBorder="1" applyAlignment="1"/>
    <xf numFmtId="0" fontId="6" fillId="0" borderId="45" xfId="0" applyFont="1" applyBorder="1" applyAlignment="1">
      <alignment horizontal="distributed" vertical="center"/>
    </xf>
    <xf numFmtId="0" fontId="0" fillId="0" borderId="45" xfId="0" applyBorder="1" applyAlignment="1"/>
    <xf numFmtId="0" fontId="6" fillId="0" borderId="195" xfId="0" applyFont="1" applyBorder="1" applyAlignment="1">
      <alignment horizontal="distributed" vertical="center" wrapText="1"/>
    </xf>
    <xf numFmtId="0" fontId="30" fillId="0" borderId="188" xfId="0" applyFont="1" applyBorder="1" applyAlignment="1">
      <alignment horizontal="distributed" vertical="center"/>
    </xf>
    <xf numFmtId="0" fontId="0" fillId="0" borderId="197" xfId="0" applyBorder="1" applyAlignment="1"/>
    <xf numFmtId="0" fontId="30" fillId="0" borderId="188" xfId="0" applyFont="1" applyBorder="1" applyAlignment="1">
      <alignment horizontal="center" vertical="center"/>
    </xf>
    <xf numFmtId="0" fontId="0" fillId="0" borderId="198" xfId="0" applyBorder="1" applyAlignment="1"/>
    <xf numFmtId="0" fontId="30" fillId="0" borderId="11" xfId="0" applyFont="1" applyBorder="1" applyAlignment="1">
      <alignment horizontal="center" vertical="center"/>
    </xf>
    <xf numFmtId="0" fontId="9" fillId="0" borderId="0" xfId="0" applyFont="1" applyAlignment="1">
      <alignment horizontal="center" vertical="center"/>
    </xf>
    <xf numFmtId="0" fontId="0" fillId="0" borderId="0" xfId="0" applyAlignment="1"/>
    <xf numFmtId="0" fontId="30" fillId="0" borderId="9" xfId="0" applyFont="1" applyBorder="1" applyAlignment="1">
      <alignment horizontal="center" vertical="center"/>
    </xf>
    <xf numFmtId="0" fontId="30" fillId="0" borderId="5" xfId="0" applyFont="1" applyBorder="1" applyAlignment="1">
      <alignment horizontal="center" vertical="center"/>
    </xf>
    <xf numFmtId="0" fontId="30" fillId="0" borderId="188" xfId="0" applyFont="1" applyBorder="1" applyAlignment="1">
      <alignment horizontal="left" vertical="center"/>
    </xf>
    <xf numFmtId="0" fontId="30" fillId="0" borderId="16" xfId="0" applyFont="1" applyBorder="1" applyAlignment="1">
      <alignment horizontal="left" vertical="top" wrapText="1"/>
    </xf>
    <xf numFmtId="0" fontId="30" fillId="0" borderId="196" xfId="0" applyFont="1" applyBorder="1" applyAlignment="1">
      <alignment horizontal="distributed" vertical="center"/>
    </xf>
    <xf numFmtId="0" fontId="0" fillId="0" borderId="185" xfId="0" applyBorder="1" applyAlignment="1"/>
    <xf numFmtId="0" fontId="0" fillId="0" borderId="186" xfId="0" applyBorder="1" applyAlignment="1"/>
    <xf numFmtId="0" fontId="30" fillId="0" borderId="25" xfId="0" applyFont="1" applyBorder="1" applyAlignment="1">
      <alignment horizontal="distributed" vertical="center"/>
    </xf>
    <xf numFmtId="0" fontId="30" fillId="0" borderId="187" xfId="0" applyFont="1" applyBorder="1" applyAlignment="1">
      <alignment horizontal="distributed" vertical="center"/>
    </xf>
    <xf numFmtId="0" fontId="0" fillId="0" borderId="199" xfId="0" applyBorder="1" applyAlignment="1"/>
    <xf numFmtId="0" fontId="30" fillId="0" borderId="186" xfId="0" applyFont="1" applyBorder="1" applyAlignment="1">
      <alignment horizontal="left" vertical="top" wrapText="1"/>
    </xf>
    <xf numFmtId="0" fontId="0" fillId="0" borderId="189" xfId="0" applyBorder="1" applyAlignment="1"/>
    <xf numFmtId="0" fontId="30" fillId="0" borderId="187" xfId="0" applyFont="1" applyBorder="1" applyAlignment="1">
      <alignment horizontal="left" vertical="center"/>
    </xf>
    <xf numFmtId="0" fontId="0" fillId="0" borderId="200" xfId="0" applyBorder="1" applyAlignment="1"/>
    <xf numFmtId="0" fontId="30" fillId="0" borderId="14" xfId="0" applyFont="1" applyBorder="1" applyAlignment="1">
      <alignment horizontal="left" vertical="center"/>
    </xf>
    <xf numFmtId="0" fontId="30" fillId="0" borderId="16" xfId="0" applyFont="1" applyBorder="1" applyAlignment="1">
      <alignment horizontal="left" vertical="top"/>
    </xf>
    <xf numFmtId="185" fontId="30" fillId="0" borderId="10" xfId="0" applyNumberFormat="1" applyFont="1" applyBorder="1" applyAlignment="1">
      <alignment horizontal="distributed" vertical="center"/>
    </xf>
    <xf numFmtId="0" fontId="30" fillId="0" borderId="18" xfId="0" applyFont="1" applyBorder="1" applyAlignment="1">
      <alignment horizontal="left" vertical="top" wrapText="1"/>
    </xf>
    <xf numFmtId="0" fontId="30" fillId="0" borderId="20" xfId="0" applyFont="1" applyBorder="1" applyAlignment="1">
      <alignment horizontal="center" vertical="center"/>
    </xf>
    <xf numFmtId="0" fontId="30" fillId="0" borderId="5" xfId="0" applyFont="1" applyBorder="1" applyAlignment="1">
      <alignment horizontal="left" vertical="center"/>
    </xf>
    <xf numFmtId="182" fontId="5" fillId="0" borderId="0" xfId="0" applyNumberFormat="1" applyFont="1" applyAlignment="1">
      <alignment horizontal="left" vertical="center"/>
    </xf>
    <xf numFmtId="0" fontId="30" fillId="0" borderId="0" xfId="0" applyFont="1" applyAlignment="1">
      <alignment horizontal="left" vertical="center" wrapText="1"/>
    </xf>
    <xf numFmtId="0" fontId="101" fillId="0" borderId="184" xfId="0" applyFont="1" applyBorder="1" applyAlignment="1">
      <alignment horizontal="center" vertical="center"/>
    </xf>
    <xf numFmtId="0" fontId="30" fillId="0" borderId="0" xfId="0" applyFont="1" applyAlignment="1">
      <alignment horizontal="center" vertical="center"/>
    </xf>
    <xf numFmtId="0" fontId="5" fillId="0" borderId="183" xfId="0" applyFont="1" applyBorder="1" applyAlignment="1">
      <alignment horizontal="center" vertical="center"/>
    </xf>
    <xf numFmtId="0" fontId="0" fillId="0" borderId="183" xfId="0" applyBorder="1" applyAlignment="1"/>
    <xf numFmtId="0" fontId="30" fillId="0" borderId="0" xfId="0" applyFont="1" applyAlignment="1">
      <alignment horizontal="left" vertical="top"/>
    </xf>
    <xf numFmtId="0" fontId="5" fillId="0" borderId="0" xfId="0" applyFont="1" applyAlignment="1">
      <alignment horizontal="left" vertical="center" wrapText="1"/>
    </xf>
    <xf numFmtId="0" fontId="30" fillId="0" borderId="0" xfId="0" applyFont="1" applyAlignment="1">
      <alignment horizontal="center" vertical="top"/>
    </xf>
    <xf numFmtId="0" fontId="7" fillId="0" borderId="0" xfId="0" applyFont="1" applyAlignment="1" applyProtection="1">
      <alignment horizontal="center" vertical="center"/>
      <protection hidden="1"/>
    </xf>
    <xf numFmtId="0" fontId="7" fillId="0" borderId="0" xfId="0" applyFont="1" applyAlignment="1" applyProtection="1">
      <alignment horizontal="left" vertical="center"/>
      <protection hidden="1"/>
    </xf>
    <xf numFmtId="0" fontId="7" fillId="0" borderId="0" xfId="0" applyFont="1" applyAlignment="1" applyProtection="1">
      <alignment horizontal="distributed" vertical="center"/>
      <protection hidden="1"/>
    </xf>
    <xf numFmtId="0" fontId="7" fillId="0" borderId="0" xfId="0" applyFont="1" applyAlignment="1" applyProtection="1">
      <alignment horizontal="left" vertical="distributed" wrapText="1"/>
      <protection hidden="1"/>
    </xf>
    <xf numFmtId="0" fontId="7" fillId="0" borderId="0" xfId="0" applyFont="1" applyAlignment="1" applyProtection="1">
      <alignment horizontal="left" vertical="center" wrapText="1"/>
      <protection hidden="1"/>
    </xf>
    <xf numFmtId="0" fontId="11" fillId="0" borderId="0" xfId="0" applyFont="1" applyAlignment="1" applyProtection="1">
      <alignment horizontal="distributed" vertical="center"/>
      <protection hidden="1"/>
    </xf>
    <xf numFmtId="0" fontId="17" fillId="0" borderId="0" xfId="0" applyFont="1" applyAlignment="1" applyProtection="1">
      <alignment horizontal="left" vertical="distributed" wrapText="1"/>
      <protection hidden="1"/>
    </xf>
    <xf numFmtId="0" fontId="13" fillId="0" borderId="0" xfId="0" applyFont="1" applyAlignment="1" applyProtection="1">
      <alignment horizontal="distributed" vertical="center"/>
      <protection hidden="1"/>
    </xf>
    <xf numFmtId="0" fontId="19" fillId="0" borderId="0" xfId="0" applyFont="1" applyAlignment="1" applyProtection="1">
      <alignment horizontal="center" vertical="center"/>
      <protection hidden="1"/>
    </xf>
    <xf numFmtId="0" fontId="27" fillId="0" borderId="80" xfId="0" applyFont="1" applyBorder="1" applyAlignment="1">
      <alignment horizontal="distributed" vertical="center"/>
    </xf>
    <xf numFmtId="0" fontId="0" fillId="0" borderId="58" xfId="0" applyBorder="1" applyAlignment="1"/>
    <xf numFmtId="0" fontId="0" fillId="0" borderId="75" xfId="0" applyBorder="1" applyAlignment="1"/>
    <xf numFmtId="0" fontId="27" fillId="0" borderId="5" xfId="0" applyFont="1" applyBorder="1" applyAlignment="1">
      <alignment horizontal="distributed" vertical="center"/>
    </xf>
    <xf numFmtId="0" fontId="31" fillId="0" borderId="61" xfId="0" applyFont="1" applyBorder="1" applyAlignment="1">
      <alignment horizontal="center" vertical="center" wrapText="1"/>
    </xf>
    <xf numFmtId="177" fontId="31" fillId="0" borderId="0" xfId="0" applyNumberFormat="1" applyFont="1" applyAlignment="1">
      <alignment horizontal="center" vertical="top" wrapText="1"/>
    </xf>
    <xf numFmtId="0" fontId="31" fillId="0" borderId="50" xfId="0" applyFont="1" applyBorder="1" applyAlignment="1">
      <alignment horizontal="left" vertical="top" wrapText="1"/>
    </xf>
    <xf numFmtId="0" fontId="0" fillId="0" borderId="50" xfId="0" applyBorder="1" applyAlignment="1"/>
    <xf numFmtId="185" fontId="26" fillId="0" borderId="5" xfId="0" applyNumberFormat="1" applyFont="1" applyBorder="1" applyAlignment="1">
      <alignment horizontal="distributed" vertical="center"/>
    </xf>
    <xf numFmtId="0" fontId="27" fillId="0" borderId="61" xfId="0" applyFont="1" applyBorder="1" applyAlignment="1">
      <alignment horizontal="distributed" vertical="center"/>
    </xf>
    <xf numFmtId="0" fontId="27" fillId="0" borderId="61" xfId="0" applyFont="1" applyBorder="1" applyAlignment="1">
      <alignment horizontal="center" vertical="distributed" textRotation="255"/>
    </xf>
    <xf numFmtId="0" fontId="0" fillId="0" borderId="28" xfId="0" applyBorder="1" applyAlignment="1"/>
    <xf numFmtId="0" fontId="0" fillId="0" borderId="66" xfId="0" applyBorder="1" applyAlignment="1"/>
    <xf numFmtId="0" fontId="68" fillId="0" borderId="5" xfId="0" applyFont="1" applyBorder="1" applyAlignment="1">
      <alignment horizontal="left" vertical="center" wrapText="1"/>
    </xf>
    <xf numFmtId="0" fontId="31" fillId="0" borderId="62" xfId="0" applyFont="1" applyBorder="1" applyAlignment="1">
      <alignment horizontal="left" vertical="top" wrapText="1"/>
    </xf>
    <xf numFmtId="0" fontId="0" fillId="0" borderId="62" xfId="0" applyBorder="1" applyAlignment="1"/>
    <xf numFmtId="0" fontId="68" fillId="0" borderId="0" xfId="0" applyFont="1" applyAlignment="1">
      <alignment horizontal="left" vertical="top" wrapText="1"/>
    </xf>
    <xf numFmtId="0" fontId="5" fillId="0" borderId="58" xfId="0" applyFont="1" applyBorder="1" applyAlignment="1" applyProtection="1">
      <alignment horizontal="left" vertical="top" wrapText="1"/>
      <protection hidden="1"/>
    </xf>
    <xf numFmtId="0" fontId="0" fillId="0" borderId="58" xfId="0" applyBorder="1" applyAlignment="1" applyProtection="1">
      <protection hidden="1"/>
    </xf>
    <xf numFmtId="0" fontId="6" fillId="0" borderId="201" xfId="0" applyFont="1" applyBorder="1" applyAlignment="1" applyProtection="1">
      <alignment horizontal="left" vertical="center" wrapText="1"/>
      <protection hidden="1"/>
    </xf>
    <xf numFmtId="0" fontId="0" fillId="0" borderId="50" xfId="0" applyBorder="1" applyAlignment="1" applyProtection="1">
      <protection hidden="1"/>
    </xf>
    <xf numFmtId="0" fontId="7" fillId="0" borderId="63" xfId="0" applyFont="1" applyBorder="1" applyAlignment="1" applyProtection="1">
      <alignment horizontal="distributed" vertical="center" wrapText="1" justifyLastLine="1"/>
      <protection hidden="1"/>
    </xf>
    <xf numFmtId="0" fontId="0" fillId="0" borderId="60" xfId="0" applyBorder="1" applyAlignment="1" applyProtection="1">
      <protection hidden="1"/>
    </xf>
    <xf numFmtId="0" fontId="6" fillId="0" borderId="50" xfId="0" applyFont="1" applyBorder="1" applyAlignment="1" applyProtection="1">
      <alignment horizontal="center" vertical="center" wrapText="1"/>
      <protection hidden="1"/>
    </xf>
    <xf numFmtId="0" fontId="5" fillId="0" borderId="63" xfId="0" applyFont="1" applyBorder="1" applyAlignment="1" applyProtection="1">
      <alignment horizontal="left" vertical="top" wrapText="1"/>
      <protection hidden="1"/>
    </xf>
    <xf numFmtId="0" fontId="6" fillId="0" borderId="202" xfId="0" applyFont="1" applyBorder="1" applyAlignment="1" applyProtection="1">
      <alignment horizontal="left" vertical="center" wrapText="1"/>
      <protection hidden="1"/>
    </xf>
    <xf numFmtId="0" fontId="0" fillId="0" borderId="65" xfId="0" applyBorder="1" applyAlignment="1" applyProtection="1">
      <protection hidden="1"/>
    </xf>
    <xf numFmtId="0" fontId="27" fillId="0" borderId="204" xfId="0" applyFont="1" applyBorder="1" applyAlignment="1" applyProtection="1">
      <alignment horizontal="center" vertical="center" wrapText="1"/>
      <protection hidden="1"/>
    </xf>
    <xf numFmtId="0" fontId="0" fillId="0" borderId="206" xfId="0" applyBorder="1" applyAlignment="1" applyProtection="1">
      <protection hidden="1"/>
    </xf>
    <xf numFmtId="0" fontId="0" fillId="0" borderId="51" xfId="0" applyBorder="1" applyAlignment="1" applyProtection="1">
      <protection hidden="1"/>
    </xf>
    <xf numFmtId="0" fontId="30" fillId="0" borderId="207" xfId="0" applyFont="1" applyBorder="1" applyAlignment="1" applyProtection="1">
      <alignment horizontal="left" vertical="center" wrapText="1"/>
      <protection hidden="1"/>
    </xf>
    <xf numFmtId="0" fontId="0" fillId="0" borderId="208" xfId="0" applyBorder="1" applyAlignment="1" applyProtection="1">
      <protection hidden="1"/>
    </xf>
    <xf numFmtId="0" fontId="0" fillId="0" borderId="28" xfId="0" applyBorder="1" applyAlignment="1" applyProtection="1">
      <protection hidden="1"/>
    </xf>
    <xf numFmtId="0" fontId="6" fillId="0" borderId="47" xfId="0" applyFont="1" applyBorder="1" applyAlignment="1" applyProtection="1">
      <alignment horizontal="center" vertical="center" wrapText="1"/>
      <protection hidden="1"/>
    </xf>
    <xf numFmtId="0" fontId="0" fillId="0" borderId="46" xfId="0" applyBorder="1" applyAlignment="1" applyProtection="1">
      <protection hidden="1"/>
    </xf>
    <xf numFmtId="0" fontId="0" fillId="0" borderId="47" xfId="0" applyBorder="1" applyAlignment="1" applyProtection="1">
      <protection hidden="1"/>
    </xf>
    <xf numFmtId="0" fontId="18" fillId="0" borderId="0" xfId="0" applyFont="1" applyAlignment="1">
      <alignment horizontal="center" vertical="center"/>
    </xf>
    <xf numFmtId="0" fontId="16" fillId="0" borderId="0" xfId="0" applyFont="1" applyAlignment="1">
      <alignment horizontal="center" vertical="center"/>
    </xf>
    <xf numFmtId="0" fontId="10" fillId="0" borderId="0" xfId="0" applyFont="1" applyAlignment="1">
      <alignment horizontal="left" vertical="center"/>
    </xf>
    <xf numFmtId="0" fontId="7" fillId="0" borderId="0" xfId="0" applyFont="1" applyAlignment="1">
      <alignment horizontal="left" vertical="center"/>
    </xf>
    <xf numFmtId="0" fontId="10" fillId="0" borderId="0" xfId="0" applyFont="1" applyAlignment="1">
      <alignment horizontal="left" vertical="distributed" wrapText="1"/>
    </xf>
    <xf numFmtId="0" fontId="40" fillId="0" borderId="0" xfId="0" applyFont="1" applyAlignment="1">
      <alignment vertical="center"/>
    </xf>
    <xf numFmtId="0" fontId="40" fillId="0" borderId="0" xfId="0" applyFont="1" applyAlignment="1">
      <alignment vertical="distributed"/>
    </xf>
    <xf numFmtId="0" fontId="6" fillId="0" borderId="0" xfId="0" applyFont="1" applyAlignment="1">
      <alignment horizontal="left" vertical="center"/>
    </xf>
    <xf numFmtId="0" fontId="5" fillId="0" borderId="0" xfId="0" applyFont="1" applyAlignment="1">
      <alignment horizontal="left" vertical="center"/>
    </xf>
    <xf numFmtId="0" fontId="5" fillId="0" borderId="5" xfId="0" applyFont="1" applyBorder="1" applyAlignment="1">
      <alignment horizontal="distributed" vertical="center" wrapText="1"/>
    </xf>
    <xf numFmtId="0" fontId="6" fillId="0" borderId="201" xfId="0" applyFont="1" applyBorder="1" applyAlignment="1">
      <alignment horizontal="justify" vertical="center" wrapText="1"/>
    </xf>
    <xf numFmtId="0" fontId="5" fillId="0" borderId="58" xfId="0" applyFont="1" applyBorder="1" applyAlignment="1">
      <alignment horizontal="left" vertical="center"/>
    </xf>
    <xf numFmtId="0" fontId="5" fillId="0" borderId="61" xfId="0" applyFont="1" applyBorder="1" applyAlignment="1">
      <alignment horizontal="distributed" vertical="center" wrapText="1"/>
    </xf>
    <xf numFmtId="0" fontId="0" fillId="0" borderId="190" xfId="0" applyBorder="1" applyAlignment="1"/>
    <xf numFmtId="0" fontId="6" fillId="0" borderId="209" xfId="0" applyFont="1" applyBorder="1" applyAlignment="1">
      <alignment horizontal="justify" vertical="center" wrapText="1"/>
    </xf>
    <xf numFmtId="0" fontId="0" fillId="0" borderId="210" xfId="0" applyBorder="1" applyAlignment="1"/>
    <xf numFmtId="0" fontId="0" fillId="0" borderId="211" xfId="0" applyBorder="1" applyAlignment="1"/>
    <xf numFmtId="0" fontId="7" fillId="0" borderId="74" xfId="0" applyFont="1" applyBorder="1" applyAlignment="1">
      <alignment horizontal="center" vertical="center" wrapText="1"/>
    </xf>
    <xf numFmtId="0" fontId="6" fillId="0" borderId="58" xfId="0" applyFont="1" applyBorder="1" applyAlignment="1">
      <alignment horizontal="left" vertical="center" wrapText="1"/>
    </xf>
    <xf numFmtId="0" fontId="6" fillId="0" borderId="201" xfId="0" applyFont="1" applyBorder="1" applyAlignment="1">
      <alignment vertical="center" wrapText="1"/>
    </xf>
    <xf numFmtId="0" fontId="6" fillId="0" borderId="13" xfId="0" applyFont="1" applyBorder="1" applyAlignment="1">
      <alignment horizontal="left" vertical="center" wrapText="1"/>
    </xf>
    <xf numFmtId="0" fontId="5" fillId="11" borderId="5" xfId="0" applyFont="1" applyFill="1" applyBorder="1" applyAlignment="1">
      <alignment horizontal="center" vertical="center" wrapText="1"/>
    </xf>
    <xf numFmtId="0" fontId="5" fillId="11" borderId="29" xfId="0" applyFont="1" applyFill="1" applyBorder="1" applyAlignment="1">
      <alignment horizontal="center" vertical="center" wrapText="1"/>
    </xf>
    <xf numFmtId="0" fontId="31" fillId="13" borderId="11" xfId="0" applyFont="1" applyFill="1" applyBorder="1" applyAlignment="1">
      <alignment horizontal="left" vertical="top" wrapText="1"/>
    </xf>
    <xf numFmtId="0" fontId="5" fillId="0" borderId="190" xfId="0" applyFont="1" applyBorder="1" applyAlignment="1">
      <alignment horizontal="left" vertical="center" wrapText="1"/>
    </xf>
    <xf numFmtId="0" fontId="0" fillId="0" borderId="0" xfId="0" applyAlignment="1">
      <alignment vertical="center"/>
    </xf>
    <xf numFmtId="0" fontId="49" fillId="11" borderId="11" xfId="0" applyFont="1" applyFill="1" applyBorder="1" applyAlignment="1">
      <alignment horizontal="left" wrapText="1"/>
    </xf>
    <xf numFmtId="0" fontId="58" fillId="5" borderId="10" xfId="0" applyFont="1" applyFill="1" applyBorder="1" applyAlignment="1">
      <alignment horizontal="center" vertical="center" wrapText="1"/>
    </xf>
    <xf numFmtId="0" fontId="5" fillId="0" borderId="25" xfId="0" applyFont="1" applyBorder="1" applyAlignment="1">
      <alignment horizontal="left" vertical="center" wrapText="1"/>
    </xf>
    <xf numFmtId="0" fontId="5" fillId="0" borderId="69" xfId="0" applyFont="1" applyBorder="1" applyAlignment="1">
      <alignment horizontal="center" vertical="center" wrapText="1"/>
    </xf>
    <xf numFmtId="0" fontId="0" fillId="0" borderId="216" xfId="0" applyBorder="1" applyAlignment="1"/>
    <xf numFmtId="0" fontId="24" fillId="11" borderId="5" xfId="0" applyFont="1" applyFill="1" applyBorder="1" applyAlignment="1">
      <alignment horizontal="center" vertical="center" wrapText="1"/>
    </xf>
    <xf numFmtId="0" fontId="5" fillId="0" borderId="11" xfId="0" applyFont="1" applyBorder="1" applyAlignment="1">
      <alignment horizontal="left" wrapText="1"/>
    </xf>
    <xf numFmtId="0" fontId="60" fillId="0" borderId="29" xfId="0" applyFont="1" applyBorder="1" applyAlignment="1">
      <alignment horizontal="left" vertical="center"/>
    </xf>
    <xf numFmtId="0" fontId="5" fillId="11" borderId="25" xfId="0" applyFont="1" applyFill="1" applyBorder="1" applyAlignment="1">
      <alignment horizontal="center" vertical="center" wrapText="1"/>
    </xf>
    <xf numFmtId="0" fontId="31" fillId="14" borderId="5" xfId="0" applyFont="1" applyFill="1" applyBorder="1" applyAlignment="1">
      <alignment horizontal="center" vertical="center" wrapText="1"/>
    </xf>
    <xf numFmtId="0" fontId="107" fillId="12" borderId="190" xfId="0" applyFont="1" applyFill="1" applyBorder="1" applyAlignment="1">
      <alignment horizontal="center" vertical="center" wrapText="1"/>
    </xf>
    <xf numFmtId="0" fontId="65" fillId="0" borderId="212" xfId="0" applyFont="1" applyBorder="1" applyAlignment="1">
      <alignment horizontal="left" wrapText="1"/>
    </xf>
    <xf numFmtId="0" fontId="0" fillId="0" borderId="213" xfId="0" applyBorder="1" applyAlignment="1"/>
    <xf numFmtId="0" fontId="0" fillId="0" borderId="47" xfId="0" applyBorder="1" applyAlignment="1"/>
    <xf numFmtId="0" fontId="109" fillId="5" borderId="215" xfId="0" applyFont="1" applyFill="1" applyBorder="1" applyAlignment="1">
      <alignment horizontal="left" vertical="center" wrapText="1"/>
    </xf>
    <xf numFmtId="0" fontId="0" fillId="0" borderId="82" xfId="0" applyBorder="1" applyAlignment="1"/>
    <xf numFmtId="0" fontId="0" fillId="0" borderId="81" xfId="0" applyBorder="1" applyAlignment="1"/>
    <xf numFmtId="0" fontId="63" fillId="13" borderId="29" xfId="0" applyFont="1" applyFill="1" applyBorder="1" applyAlignment="1">
      <alignment horizontal="left" vertical="center" wrapText="1"/>
    </xf>
    <xf numFmtId="0" fontId="5" fillId="0" borderId="11" xfId="0" applyFont="1" applyBorder="1" applyAlignment="1">
      <alignment horizontal="center" vertical="center" wrapText="1"/>
    </xf>
    <xf numFmtId="0" fontId="5" fillId="11" borderId="11" xfId="0" applyFont="1" applyFill="1" applyBorder="1" applyAlignment="1">
      <alignment horizontal="center" vertical="center" wrapText="1"/>
    </xf>
    <xf numFmtId="0" fontId="60" fillId="0" borderId="25" xfId="0" applyFont="1" applyBorder="1" applyAlignment="1">
      <alignment horizontal="left" vertical="center" wrapText="1"/>
    </xf>
    <xf numFmtId="0" fontId="60" fillId="0" borderId="29" xfId="0" applyFont="1" applyBorder="1" applyAlignment="1">
      <alignment horizontal="left" vertical="center" wrapText="1"/>
    </xf>
    <xf numFmtId="0" fontId="72" fillId="11" borderId="11" xfId="0" applyFont="1" applyFill="1" applyBorder="1" applyAlignment="1">
      <alignment horizontal="left" vertical="center" wrapText="1"/>
    </xf>
    <xf numFmtId="0" fontId="27" fillId="11" borderId="25" xfId="0" applyFont="1" applyFill="1" applyBorder="1" applyAlignment="1">
      <alignment horizontal="center" vertical="center" wrapText="1"/>
    </xf>
    <xf numFmtId="0" fontId="60" fillId="0" borderId="214" xfId="0" applyFont="1" applyBorder="1" applyAlignment="1">
      <alignment horizontal="left" vertical="center" wrapText="1"/>
    </xf>
    <xf numFmtId="0" fontId="0" fillId="0" borderId="109" xfId="0" applyBorder="1" applyAlignment="1"/>
    <xf numFmtId="0" fontId="24" fillId="11" borderId="11" xfId="0" applyFont="1" applyFill="1" applyBorder="1" applyAlignment="1">
      <alignment horizontal="center" vertical="center" wrapText="1"/>
    </xf>
    <xf numFmtId="0" fontId="26" fillId="5" borderId="5" xfId="0" applyFont="1" applyFill="1" applyBorder="1" applyAlignment="1">
      <alignment horizontal="center" vertical="center" wrapText="1"/>
    </xf>
    <xf numFmtId="0" fontId="5" fillId="0" borderId="98" xfId="0" applyFont="1" applyBorder="1" applyAlignment="1">
      <alignment horizontal="left" vertical="center" wrapText="1"/>
    </xf>
    <xf numFmtId="0" fontId="0" fillId="0" borderId="203" xfId="0" applyBorder="1" applyAlignment="1"/>
    <xf numFmtId="0" fontId="0" fillId="0" borderId="65" xfId="0" applyBorder="1" applyAlignment="1"/>
    <xf numFmtId="0" fontId="5" fillId="11" borderId="25" xfId="0" applyFont="1" applyFill="1" applyBorder="1" applyAlignment="1">
      <alignment horizontal="left" vertical="center" wrapText="1"/>
    </xf>
    <xf numFmtId="0" fontId="5" fillId="0" borderId="29" xfId="0" applyFont="1" applyBorder="1" applyAlignment="1">
      <alignment horizontal="left" vertical="center" wrapText="1"/>
    </xf>
    <xf numFmtId="0" fontId="66" fillId="13" borderId="25" xfId="0" applyFont="1" applyFill="1" applyBorder="1" applyAlignment="1">
      <alignment horizontal="left" vertical="center" wrapText="1"/>
    </xf>
    <xf numFmtId="0" fontId="5" fillId="0" borderId="68" xfId="0" applyFont="1" applyBorder="1" applyAlignment="1">
      <alignment horizontal="left" vertical="center" wrapText="1"/>
    </xf>
    <xf numFmtId="0" fontId="0" fillId="0" borderId="76" xfId="0" applyBorder="1" applyAlignment="1"/>
    <xf numFmtId="0" fontId="59" fillId="0" borderId="5" xfId="0" applyFont="1" applyBorder="1" applyAlignment="1">
      <alignment horizontal="distributed" vertical="center" wrapText="1"/>
    </xf>
    <xf numFmtId="0" fontId="5" fillId="0" borderId="29" xfId="0" applyFont="1" applyBorder="1" applyAlignment="1">
      <alignment horizontal="left" vertical="top" wrapText="1"/>
    </xf>
    <xf numFmtId="0" fontId="5" fillId="0" borderId="223" xfId="0" applyFont="1" applyBorder="1" applyAlignment="1">
      <alignment horizontal="center" vertical="center" wrapText="1"/>
    </xf>
    <xf numFmtId="0" fontId="5" fillId="0" borderId="232" xfId="0" applyFont="1" applyBorder="1" applyAlignment="1">
      <alignment horizontal="justify" vertical="center" wrapText="1"/>
    </xf>
    <xf numFmtId="0" fontId="5" fillId="0" borderId="229" xfId="0" applyFont="1" applyBorder="1" applyAlignment="1">
      <alignment horizontal="justify" vertical="center" wrapText="1"/>
    </xf>
    <xf numFmtId="0" fontId="0" fillId="0" borderId="71" xfId="0" applyBorder="1" applyAlignment="1"/>
    <xf numFmtId="0" fontId="0" fillId="0" borderId="31" xfId="0" applyBorder="1" applyAlignment="1"/>
    <xf numFmtId="0" fontId="27" fillId="0" borderId="113" xfId="0" applyFont="1" applyBorder="1" applyAlignment="1">
      <alignment horizontal="center" vertical="center" wrapText="1"/>
    </xf>
    <xf numFmtId="0" fontId="0" fillId="0" borderId="85" xfId="0" applyBorder="1" applyAlignment="1"/>
    <xf numFmtId="0" fontId="0" fillId="0" borderId="84" xfId="0" applyBorder="1" applyAlignment="1"/>
    <xf numFmtId="0" fontId="5" fillId="0" borderId="226" xfId="0" applyFont="1" applyBorder="1" applyAlignment="1">
      <alignment horizontal="center" vertical="center" wrapText="1"/>
    </xf>
    <xf numFmtId="0" fontId="0" fillId="0" borderId="205" xfId="0" applyBorder="1" applyAlignment="1"/>
    <xf numFmtId="0" fontId="0" fillId="0" borderId="53" xfId="0" applyBorder="1" applyAlignment="1"/>
    <xf numFmtId="0" fontId="5" fillId="0" borderId="79" xfId="0" applyFont="1" applyBorder="1" applyAlignment="1">
      <alignment horizontal="justify" vertical="center" wrapText="1"/>
    </xf>
    <xf numFmtId="0" fontId="0" fillId="0" borderId="73" xfId="0" applyBorder="1" applyAlignment="1"/>
    <xf numFmtId="0" fontId="5" fillId="0" borderId="215" xfId="0" applyFont="1" applyBorder="1" applyAlignment="1">
      <alignment horizontal="center" vertical="center" wrapText="1"/>
    </xf>
    <xf numFmtId="0" fontId="0" fillId="0" borderId="78" xfId="0" applyBorder="1" applyAlignment="1"/>
    <xf numFmtId="0" fontId="5" fillId="0" borderId="221" xfId="0" applyFont="1" applyBorder="1" applyAlignment="1">
      <alignment horizontal="center" vertical="center" wrapText="1"/>
    </xf>
    <xf numFmtId="0" fontId="0" fillId="0" borderId="77" xfId="0" applyBorder="1" applyAlignment="1"/>
    <xf numFmtId="0" fontId="39" fillId="0" borderId="227" xfId="0" applyFont="1" applyBorder="1" applyAlignment="1">
      <alignment horizontal="center" vertical="center" wrapText="1"/>
    </xf>
    <xf numFmtId="0" fontId="0" fillId="0" borderId="228" xfId="0" applyBorder="1" applyAlignment="1"/>
    <xf numFmtId="0" fontId="0" fillId="0" borderId="220" xfId="0" applyBorder="1" applyAlignment="1"/>
    <xf numFmtId="0" fontId="5" fillId="0" borderId="217" xfId="0" applyFont="1" applyBorder="1" applyAlignment="1">
      <alignment horizontal="center" vertical="center" wrapText="1"/>
    </xf>
    <xf numFmtId="0" fontId="46" fillId="0" borderId="222" xfId="0" applyFont="1" applyBorder="1" applyAlignment="1">
      <alignment horizontal="center" vertical="center" wrapText="1"/>
    </xf>
    <xf numFmtId="186" fontId="5" fillId="0" borderId="218" xfId="0" applyNumberFormat="1" applyFont="1" applyBorder="1" applyAlignment="1">
      <alignment horizontal="center" vertical="center" wrapText="1"/>
    </xf>
    <xf numFmtId="0" fontId="0" fillId="0" borderId="219" xfId="0" applyBorder="1" applyAlignment="1"/>
    <xf numFmtId="0" fontId="5" fillId="0" borderId="230" xfId="0" applyFont="1" applyBorder="1" applyAlignment="1">
      <alignment horizontal="justify" vertical="center" wrapText="1"/>
    </xf>
    <xf numFmtId="0" fontId="0" fillId="0" borderId="231" xfId="0" applyBorder="1" applyAlignment="1"/>
    <xf numFmtId="0" fontId="0" fillId="0" borderId="36" xfId="0" applyBorder="1" applyAlignment="1"/>
    <xf numFmtId="0" fontId="0" fillId="0" borderId="30" xfId="0" applyBorder="1" applyAlignment="1"/>
    <xf numFmtId="0" fontId="5" fillId="0" borderId="233" xfId="0" applyFont="1" applyBorder="1" applyAlignment="1">
      <alignment vertical="center" wrapText="1"/>
    </xf>
    <xf numFmtId="0" fontId="0" fillId="0" borderId="234" xfId="0" applyBorder="1" applyAlignment="1"/>
    <xf numFmtId="0" fontId="5" fillId="0" borderId="224" xfId="0" applyFont="1" applyBorder="1" applyAlignment="1">
      <alignment horizontal="center" vertical="center" wrapText="1"/>
    </xf>
    <xf numFmtId="0" fontId="0" fillId="0" borderId="225" xfId="0" applyBorder="1" applyAlignment="1"/>
    <xf numFmtId="0" fontId="54" fillId="0" borderId="0" xfId="0" applyFont="1" applyAlignment="1">
      <alignment horizontal="center" vertical="center"/>
    </xf>
    <xf numFmtId="0" fontId="53" fillId="0" borderId="0" xfId="0" applyFont="1" applyAlignment="1">
      <alignment horizontal="left" vertical="center"/>
    </xf>
    <xf numFmtId="0" fontId="11" fillId="0" borderId="0" xfId="0" applyFont="1" applyAlignment="1">
      <alignment horizontal="center" vertical="center"/>
    </xf>
    <xf numFmtId="0" fontId="7" fillId="0" borderId="0" xfId="0" applyFont="1" applyAlignment="1">
      <alignment horizontal="left" vertical="distributed" wrapText="1"/>
    </xf>
    <xf numFmtId="0" fontId="26" fillId="0" borderId="36" xfId="0" applyFont="1" applyBorder="1" applyAlignment="1">
      <alignment horizontal="center" vertical="center"/>
    </xf>
    <xf numFmtId="0" fontId="24" fillId="0" borderId="0" xfId="0" applyFont="1" applyAlignment="1">
      <alignment horizontal="left" vertical="distributed" wrapText="1"/>
    </xf>
    <xf numFmtId="0" fontId="24" fillId="0" borderId="0" xfId="0" applyFont="1" applyAlignment="1">
      <alignment horizontal="left" vertical="center"/>
    </xf>
    <xf numFmtId="0" fontId="7" fillId="0" borderId="0" xfId="0" applyFont="1" applyAlignment="1">
      <alignment horizontal="center" vertical="center"/>
    </xf>
    <xf numFmtId="0" fontId="30" fillId="0" borderId="5" xfId="0" applyFont="1" applyBorder="1" applyAlignment="1">
      <alignment horizontal="center" vertical="center" wrapText="1"/>
    </xf>
    <xf numFmtId="0" fontId="7" fillId="0" borderId="5" xfId="0" applyFont="1" applyBorder="1" applyAlignment="1">
      <alignment vertical="center" wrapText="1"/>
    </xf>
    <xf numFmtId="0" fontId="7" fillId="0" borderId="5" xfId="0" applyFont="1" applyBorder="1" applyAlignment="1">
      <alignment horizontal="center" vertical="center" wrapText="1"/>
    </xf>
    <xf numFmtId="0" fontId="6" fillId="0" borderId="237" xfId="0" applyFont="1" applyBorder="1" applyAlignment="1" applyProtection="1">
      <alignment vertical="center" wrapText="1"/>
      <protection hidden="1"/>
    </xf>
    <xf numFmtId="0" fontId="0" fillId="0" borderId="238" xfId="0" applyBorder="1" applyAlignment="1" applyProtection="1">
      <protection hidden="1"/>
    </xf>
    <xf numFmtId="0" fontId="0" fillId="0" borderId="239" xfId="0" applyBorder="1" applyAlignment="1" applyProtection="1">
      <protection hidden="1"/>
    </xf>
    <xf numFmtId="0" fontId="6" fillId="0" borderId="236" xfId="0" applyFont="1" applyBorder="1" applyAlignment="1" applyProtection="1">
      <alignment horizontal="left" vertical="center" wrapText="1"/>
      <protection hidden="1"/>
    </xf>
    <xf numFmtId="0" fontId="0" fillId="0" borderId="37" xfId="0" applyBorder="1" applyAlignment="1" applyProtection="1">
      <protection hidden="1"/>
    </xf>
    <xf numFmtId="0" fontId="10" fillId="0" borderId="237" xfId="0" applyFont="1" applyBorder="1" applyAlignment="1" applyProtection="1">
      <alignment horizontal="distributed" vertical="center" wrapText="1"/>
      <protection hidden="1"/>
    </xf>
    <xf numFmtId="0" fontId="30" fillId="0" borderId="240" xfId="0" applyFont="1" applyBorder="1" applyAlignment="1" applyProtection="1">
      <alignment horizontal="distributed" vertical="center" wrapText="1"/>
      <protection hidden="1"/>
    </xf>
    <xf numFmtId="0" fontId="0" fillId="0" borderId="112" xfId="0" applyBorder="1" applyAlignment="1" applyProtection="1">
      <protection hidden="1"/>
    </xf>
    <xf numFmtId="0" fontId="0" fillId="0" borderId="111" xfId="0" applyBorder="1" applyAlignment="1" applyProtection="1">
      <protection hidden="1"/>
    </xf>
    <xf numFmtId="0" fontId="6" fillId="0" borderId="113" xfId="0" applyFont="1" applyBorder="1" applyAlignment="1" applyProtection="1">
      <alignment horizontal="left" vertical="center" wrapText="1"/>
      <protection hidden="1"/>
    </xf>
    <xf numFmtId="0" fontId="7" fillId="0" borderId="240" xfId="0" applyFont="1" applyBorder="1" applyAlignment="1" applyProtection="1">
      <alignment horizontal="center" vertical="center" wrapText="1"/>
      <protection hidden="1"/>
    </xf>
    <xf numFmtId="0" fontId="6" fillId="0" borderId="113" xfId="0" applyFont="1" applyBorder="1" applyAlignment="1" applyProtection="1">
      <alignment vertical="center" wrapText="1"/>
      <protection hidden="1"/>
    </xf>
    <xf numFmtId="0" fontId="0" fillId="0" borderId="85" xfId="0" applyBorder="1" applyAlignment="1" applyProtection="1">
      <protection hidden="1"/>
    </xf>
    <xf numFmtId="0" fontId="0" fillId="0" borderId="84" xfId="0" applyBorder="1" applyAlignment="1" applyProtection="1">
      <protection hidden="1"/>
    </xf>
    <xf numFmtId="0" fontId="11" fillId="0" borderId="113" xfId="0" applyFont="1" applyBorder="1" applyAlignment="1" applyProtection="1">
      <alignment horizontal="distributed" vertical="distributed" wrapText="1"/>
      <protection hidden="1"/>
    </xf>
    <xf numFmtId="0" fontId="30" fillId="0" borderId="240" xfId="0" applyFont="1" applyBorder="1" applyAlignment="1" applyProtection="1">
      <alignment vertical="center" wrapText="1"/>
      <protection hidden="1"/>
    </xf>
    <xf numFmtId="0" fontId="9" fillId="0" borderId="113" xfId="0" applyFont="1" applyBorder="1" applyAlignment="1" applyProtection="1">
      <alignment horizontal="distributed" vertical="center" wrapText="1"/>
      <protection hidden="1"/>
    </xf>
    <xf numFmtId="0" fontId="6" fillId="0" borderId="236" xfId="0" applyFont="1" applyBorder="1" applyAlignment="1" applyProtection="1">
      <alignment vertical="center" wrapText="1"/>
      <protection hidden="1"/>
    </xf>
    <xf numFmtId="0" fontId="6" fillId="0" borderId="111" xfId="0" applyFont="1" applyBorder="1" applyAlignment="1" applyProtection="1">
      <alignment horizontal="left" vertical="center" wrapText="1"/>
      <protection hidden="1"/>
    </xf>
    <xf numFmtId="0" fontId="6" fillId="0" borderId="236" xfId="0" applyFont="1" applyBorder="1" applyAlignment="1" applyProtection="1">
      <alignment horizontal="left" vertical="center" wrapText="1" indent="2"/>
      <protection hidden="1"/>
    </xf>
    <xf numFmtId="0" fontId="30" fillId="0" borderId="113" xfId="0" applyFont="1" applyBorder="1" applyAlignment="1" applyProtection="1">
      <alignment horizontal="justify" vertical="center" wrapText="1"/>
      <protection hidden="1"/>
    </xf>
    <xf numFmtId="0" fontId="30" fillId="0" borderId="240" xfId="0" applyFont="1" applyBorder="1" applyAlignment="1" applyProtection="1">
      <alignment horizontal="justify" vertical="center" wrapText="1"/>
      <protection hidden="1"/>
    </xf>
    <xf numFmtId="0" fontId="30" fillId="0" borderId="236" xfId="0" applyFont="1" applyBorder="1" applyAlignment="1" applyProtection="1">
      <alignment horizontal="justify" vertical="center" wrapText="1"/>
      <protection hidden="1"/>
    </xf>
    <xf numFmtId="0" fontId="72" fillId="0" borderId="113" xfId="0" applyFont="1" applyBorder="1" applyAlignment="1" applyProtection="1">
      <alignment horizontal="left" vertical="center" wrapText="1"/>
      <protection hidden="1"/>
    </xf>
    <xf numFmtId="0" fontId="11" fillId="0" borderId="240" xfId="0" applyFont="1" applyBorder="1" applyAlignment="1" applyProtection="1">
      <alignment horizontal="distributed" vertical="center" wrapText="1"/>
      <protection hidden="1"/>
    </xf>
    <xf numFmtId="0" fontId="30" fillId="0" borderId="240" xfId="0" applyFont="1" applyBorder="1" applyAlignment="1" applyProtection="1">
      <alignment horizontal="center" vertical="center" wrapText="1"/>
      <protection hidden="1"/>
    </xf>
    <xf numFmtId="0" fontId="11" fillId="0" borderId="240" xfId="0" applyFont="1" applyBorder="1" applyAlignment="1" applyProtection="1">
      <alignment horizontal="distributed" vertical="distributed" wrapText="1"/>
      <protection hidden="1"/>
    </xf>
    <xf numFmtId="0" fontId="0" fillId="0" borderId="237" xfId="0" applyBorder="1" applyAlignment="1" applyProtection="1">
      <alignment vertical="center" wrapText="1"/>
      <protection hidden="1"/>
    </xf>
    <xf numFmtId="0" fontId="5" fillId="0" borderId="27" xfId="0" applyFont="1" applyBorder="1" applyAlignment="1">
      <alignment vertical="center"/>
    </xf>
    <xf numFmtId="0" fontId="5" fillId="0" borderId="244" xfId="0" applyFont="1" applyBorder="1" applyAlignment="1">
      <alignment horizontal="center" vertical="center"/>
    </xf>
    <xf numFmtId="0" fontId="0" fillId="0" borderId="175" xfId="0" applyBorder="1" applyAlignment="1"/>
    <xf numFmtId="0" fontId="0" fillId="0" borderId="176" xfId="0" applyBorder="1" applyAlignment="1"/>
    <xf numFmtId="0" fontId="6" fillId="0" borderId="242" xfId="0" applyFont="1" applyBorder="1" applyAlignment="1">
      <alignment horizontal="center" vertical="center"/>
    </xf>
    <xf numFmtId="0" fontId="0" fillId="0" borderId="171" xfId="0" applyBorder="1" applyAlignment="1"/>
    <xf numFmtId="0" fontId="0" fillId="0" borderId="179" xfId="0" applyBorder="1" applyAlignment="1"/>
    <xf numFmtId="0" fontId="43" fillId="0" borderId="27" xfId="0" applyFont="1" applyBorder="1" applyAlignment="1">
      <alignment vertical="center"/>
    </xf>
    <xf numFmtId="0" fontId="5" fillId="0" borderId="246" xfId="0" applyFont="1" applyBorder="1" applyAlignment="1">
      <alignment horizontal="center" vertical="center" wrapText="1"/>
    </xf>
    <xf numFmtId="0" fontId="0" fillId="0" borderId="174" xfId="0" applyBorder="1" applyAlignment="1"/>
    <xf numFmtId="0" fontId="94" fillId="0" borderId="29" xfId="0" applyFont="1" applyBorder="1" applyAlignment="1">
      <alignment horizontal="left" vertical="center" shrinkToFit="1"/>
    </xf>
    <xf numFmtId="0" fontId="6" fillId="0" borderId="241" xfId="0" applyFont="1" applyBorder="1" applyAlignment="1">
      <alignment horizontal="center" vertical="center" wrapText="1"/>
    </xf>
    <xf numFmtId="0" fontId="0" fillId="0" borderId="172" xfId="0" applyBorder="1" applyAlignment="1"/>
    <xf numFmtId="0" fontId="0" fillId="0" borderId="173" xfId="0" applyBorder="1" applyAlignment="1"/>
    <xf numFmtId="0" fontId="6" fillId="0" borderId="244" xfId="0" applyFont="1" applyBorder="1" applyAlignment="1">
      <alignment horizontal="center" vertical="center"/>
    </xf>
    <xf numFmtId="0" fontId="93" fillId="0" borderId="0" xfId="0" applyFont="1" applyAlignment="1">
      <alignment horizontal="center" vertical="center"/>
    </xf>
    <xf numFmtId="0" fontId="5" fillId="0" borderId="245" xfId="0" applyFont="1" applyBorder="1" applyAlignment="1">
      <alignment horizontal="left" vertical="center"/>
    </xf>
    <xf numFmtId="0" fontId="6" fillId="0" borderId="243" xfId="0" applyFont="1" applyBorder="1" applyAlignment="1">
      <alignment horizontal="center" vertical="center"/>
    </xf>
    <xf numFmtId="0" fontId="0" fillId="0" borderId="178" xfId="0" applyBorder="1" applyAlignment="1"/>
    <xf numFmtId="0" fontId="7" fillId="0" borderId="0" xfId="0" applyFont="1" applyAlignment="1">
      <alignment horizontal="distributed" vertical="center"/>
    </xf>
    <xf numFmtId="0" fontId="50" fillId="0" borderId="0" xfId="0" applyFont="1" applyAlignment="1">
      <alignment horizontal="distributed" vertical="center"/>
    </xf>
    <xf numFmtId="0" fontId="6" fillId="0" borderId="0" xfId="0" applyFont="1" applyAlignment="1">
      <alignment horizontal="distributed" vertical="center"/>
    </xf>
    <xf numFmtId="0" fontId="6" fillId="0" borderId="0" xfId="0" applyFont="1" applyAlignment="1">
      <alignment vertical="center"/>
    </xf>
    <xf numFmtId="0" fontId="26" fillId="17" borderId="0" xfId="0" applyFont="1" applyFill="1" applyAlignment="1">
      <alignment horizontal="distributed" vertical="center"/>
    </xf>
    <xf numFmtId="0" fontId="6" fillId="0" borderId="240" xfId="0" applyFont="1" applyBorder="1" applyAlignment="1">
      <alignment horizontal="left" vertical="center" wrapText="1"/>
    </xf>
    <xf numFmtId="0" fontId="0" fillId="0" borderId="247" xfId="0" applyBorder="1" applyAlignment="1"/>
    <xf numFmtId="0" fontId="24" fillId="0" borderId="240" xfId="0" applyFont="1" applyBorder="1" applyAlignment="1">
      <alignment horizontal="center" vertical="top" wrapText="1"/>
    </xf>
    <xf numFmtId="0" fontId="0" fillId="0" borderId="128" xfId="0" applyBorder="1" applyAlignment="1"/>
    <xf numFmtId="0" fontId="0" fillId="0" borderId="33" xfId="0" applyBorder="1" applyAlignment="1"/>
    <xf numFmtId="0" fontId="24" fillId="0" borderId="0" xfId="0" applyFont="1" applyAlignment="1">
      <alignment horizontal="center" vertical="top" wrapText="1"/>
    </xf>
    <xf numFmtId="0" fontId="24" fillId="0" borderId="240" xfId="0" applyFont="1" applyBorder="1" applyAlignment="1">
      <alignment horizontal="center" vertical="center" wrapText="1"/>
    </xf>
    <xf numFmtId="0" fontId="30" fillId="0" borderId="0" xfId="0" applyFont="1" applyAlignment="1">
      <alignment horizontal="left" vertical="center"/>
    </xf>
    <xf numFmtId="0" fontId="10" fillId="0" borderId="0" xfId="0" applyFont="1" applyAlignment="1">
      <alignment horizontal="center" vertical="center"/>
    </xf>
    <xf numFmtId="0" fontId="6" fillId="0" borderId="0" xfId="0" applyFont="1" applyAlignment="1">
      <alignment horizontal="center" vertical="center"/>
    </xf>
    <xf numFmtId="0" fontId="2" fillId="0" borderId="8" xfId="1" applyFont="1" applyBorder="1" applyAlignment="1" applyProtection="1">
      <alignment horizontal="center" vertical="center"/>
      <protection hidden="1"/>
    </xf>
    <xf numFmtId="0" fontId="21" fillId="0" borderId="5" xfId="1" applyFont="1" applyBorder="1" applyAlignment="1" applyProtection="1">
      <alignment horizontal="center" vertical="center"/>
      <protection hidden="1"/>
    </xf>
    <xf numFmtId="0" fontId="21" fillId="0" borderId="19" xfId="0" applyFont="1" applyBorder="1" applyAlignment="1">
      <alignment horizontal="distributed" vertical="center" shrinkToFit="1"/>
    </xf>
    <xf numFmtId="0" fontId="0" fillId="0" borderId="5" xfId="0" applyBorder="1" applyAlignment="1">
      <alignment vertical="center"/>
    </xf>
    <xf numFmtId="0" fontId="45" fillId="0" borderId="13" xfId="0" applyFont="1" applyBorder="1" applyAlignment="1">
      <alignment horizontal="center" vertical="center" shrinkToFit="1"/>
    </xf>
    <xf numFmtId="0" fontId="96" fillId="0" borderId="5" xfId="0" applyFont="1" applyBorder="1" applyAlignment="1">
      <alignment horizontal="center" vertical="center" wrapText="1" shrinkToFit="1"/>
    </xf>
    <xf numFmtId="0" fontId="96" fillId="0" borderId="0" xfId="0" applyFont="1" applyAlignment="1">
      <alignment vertical="center" wrapText="1"/>
    </xf>
    <xf numFmtId="0" fontId="21" fillId="0" borderId="5" xfId="0" applyFont="1" applyBorder="1" applyAlignment="1">
      <alignment horizontal="center" vertical="center" wrapText="1" shrinkToFit="1"/>
    </xf>
    <xf numFmtId="0" fontId="21" fillId="0" borderId="9" xfId="0" applyFont="1" applyBorder="1" applyAlignment="1">
      <alignment horizontal="left" vertical="center" wrapText="1"/>
    </xf>
    <xf numFmtId="0" fontId="21" fillId="0" borderId="21" xfId="0" applyFont="1" applyBorder="1" applyAlignment="1">
      <alignment horizontal="center" vertical="center"/>
    </xf>
    <xf numFmtId="0" fontId="0" fillId="0" borderId="22" xfId="0" applyBorder="1" applyAlignment="1"/>
    <xf numFmtId="0" fontId="45" fillId="0" borderId="19" xfId="0" applyFont="1" applyBorder="1" applyAlignment="1">
      <alignment horizontal="center" vertical="center" wrapText="1"/>
    </xf>
    <xf numFmtId="0" fontId="2" fillId="0" borderId="25" xfId="0" applyFont="1" applyBorder="1" applyAlignment="1">
      <alignment vertical="center"/>
    </xf>
    <xf numFmtId="0" fontId="96" fillId="0" borderId="0" xfId="0" applyFont="1" applyAlignment="1">
      <alignment vertical="center"/>
    </xf>
    <xf numFmtId="0" fontId="98" fillId="0" borderId="5" xfId="0" applyFont="1" applyBorder="1" applyAlignment="1">
      <alignment vertical="center" textRotation="255"/>
    </xf>
    <xf numFmtId="0" fontId="0" fillId="0" borderId="29" xfId="0" applyBorder="1" applyAlignment="1"/>
    <xf numFmtId="0" fontId="21" fillId="0" borderId="5" xfId="0" applyFont="1" applyBorder="1" applyAlignment="1">
      <alignment horizontal="left" vertical="center" wrapText="1"/>
    </xf>
    <xf numFmtId="0" fontId="99" fillId="0" borderId="102" xfId="0" applyFont="1" applyBorder="1" applyAlignment="1">
      <alignment horizontal="left" vertical="top" wrapText="1"/>
    </xf>
    <xf numFmtId="0" fontId="0" fillId="0" borderId="235" xfId="0" applyBorder="1" applyAlignment="1"/>
    <xf numFmtId="0" fontId="0" fillId="0" borderId="248" xfId="0" applyBorder="1" applyAlignment="1"/>
    <xf numFmtId="0" fontId="2" fillId="0" borderId="14" xfId="0" applyFont="1" applyBorder="1" applyAlignment="1">
      <alignment vertical="center"/>
    </xf>
    <xf numFmtId="0" fontId="97" fillId="0" borderId="5" xfId="0" applyFont="1" applyBorder="1" applyAlignment="1">
      <alignment vertical="center" textRotation="255"/>
    </xf>
    <xf numFmtId="0" fontId="99" fillId="0" borderId="5" xfId="0" applyFont="1" applyBorder="1" applyAlignment="1">
      <alignment horizontal="left" vertical="top" wrapText="1"/>
    </xf>
    <xf numFmtId="0" fontId="3" fillId="0" borderId="5" xfId="0" applyFont="1" applyBorder="1" applyAlignment="1">
      <alignment vertical="center" textRotation="255"/>
    </xf>
    <xf numFmtId="0" fontId="2" fillId="0" borderId="18" xfId="0" applyFont="1" applyBorder="1" applyAlignment="1">
      <alignment vertical="center"/>
    </xf>
    <xf numFmtId="0" fontId="2" fillId="0" borderId="11" xfId="0" applyFont="1" applyBorder="1" applyAlignment="1">
      <alignment vertical="center"/>
    </xf>
    <xf numFmtId="0" fontId="21" fillId="0" borderId="182" xfId="0" applyFont="1" applyBorder="1" applyAlignment="1">
      <alignment horizontal="center" vertical="center"/>
    </xf>
    <xf numFmtId="0" fontId="21" fillId="0" borderId="0" xfId="0" applyFont="1" applyAlignment="1">
      <alignment horizontal="distributed" vertical="center" shrinkToFit="1"/>
    </xf>
    <xf numFmtId="0" fontId="21" fillId="0" borderId="8" xfId="0" applyFont="1" applyBorder="1" applyAlignment="1">
      <alignment vertical="center" textRotation="255" wrapText="1"/>
    </xf>
    <xf numFmtId="0" fontId="21" fillId="0" borderId="18" xfId="0" applyFont="1" applyBorder="1" applyAlignment="1">
      <alignment horizontal="distributed" vertical="center"/>
    </xf>
    <xf numFmtId="0" fontId="0" fillId="0" borderId="23" xfId="0" applyBorder="1" applyAlignment="1"/>
    <xf numFmtId="0" fontId="2" fillId="0" borderId="29" xfId="0" applyFont="1" applyBorder="1" applyAlignment="1">
      <alignment vertical="center"/>
    </xf>
    <xf numFmtId="0" fontId="20" fillId="0" borderId="13" xfId="0" applyFont="1" applyBorder="1" applyAlignment="1">
      <alignment horizontal="center" vertical="center" shrinkToFit="1"/>
    </xf>
    <xf numFmtId="0" fontId="75" fillId="0" borderId="5" xfId="0" applyFont="1" applyBorder="1" applyAlignment="1">
      <alignment vertical="center" wrapText="1"/>
    </xf>
    <xf numFmtId="0" fontId="21" fillId="0" borderId="13" xfId="0" applyFont="1" applyBorder="1" applyAlignment="1">
      <alignment horizontal="distributed" vertical="center" shrinkToFit="1"/>
    </xf>
    <xf numFmtId="0" fontId="13" fillId="0" borderId="0" xfId="0" applyFont="1" applyAlignment="1">
      <alignment horizontal="left" vertical="center"/>
    </xf>
    <xf numFmtId="0" fontId="51" fillId="0" borderId="0" xfId="0" applyFont="1" applyAlignment="1">
      <alignment vertical="center"/>
    </xf>
    <xf numFmtId="0" fontId="52" fillId="0" borderId="0" xfId="0" applyFont="1" applyAlignment="1">
      <alignment horizontal="center" vertical="center"/>
    </xf>
    <xf numFmtId="0" fontId="13" fillId="0" borderId="0" xfId="0" applyFont="1" applyAlignment="1">
      <alignment horizontal="distributed" vertical="center"/>
    </xf>
    <xf numFmtId="0" fontId="13" fillId="0" borderId="0" xfId="0" applyFont="1" applyAlignment="1">
      <alignment horizontal="left" vertical="center" wrapText="1"/>
    </xf>
    <xf numFmtId="0" fontId="13" fillId="0" borderId="0" xfId="0" applyFont="1" applyAlignment="1">
      <alignment horizontal="center" vertical="center"/>
    </xf>
    <xf numFmtId="0" fontId="33" fillId="0" borderId="0" xfId="0" applyFont="1" applyAlignment="1">
      <alignment horizontal="center" vertical="center"/>
    </xf>
    <xf numFmtId="0" fontId="37" fillId="0" borderId="25" xfId="0" applyFont="1" applyBorder="1" applyAlignment="1">
      <alignment horizontal="left" vertical="top" wrapText="1"/>
    </xf>
    <xf numFmtId="0" fontId="37" fillId="0" borderId="5" xfId="0" applyFont="1" applyBorder="1" applyAlignment="1">
      <alignment vertical="top" wrapText="1"/>
    </xf>
    <xf numFmtId="0" fontId="49" fillId="0" borderId="5" xfId="0" applyFont="1" applyBorder="1" applyAlignment="1">
      <alignment horizontal="center" wrapText="1"/>
    </xf>
    <xf numFmtId="0" fontId="37" fillId="0" borderId="5" xfId="0" applyFont="1" applyBorder="1" applyAlignment="1">
      <alignment horizontal="left" vertical="center" wrapText="1"/>
    </xf>
    <xf numFmtId="0" fontId="37" fillId="0" borderId="11" xfId="0" applyFont="1" applyBorder="1" applyAlignment="1">
      <alignment horizontal="justify" vertical="center" wrapText="1"/>
    </xf>
    <xf numFmtId="0" fontId="5" fillId="0" borderId="11" xfId="0" applyFont="1" applyBorder="1" applyAlignment="1">
      <alignment vertical="center" wrapText="1"/>
    </xf>
    <xf numFmtId="0" fontId="5" fillId="0" borderId="25" xfId="0" applyFont="1" applyBorder="1" applyAlignment="1">
      <alignment horizontal="justify" vertical="center" wrapText="1"/>
    </xf>
    <xf numFmtId="0" fontId="37" fillId="0" borderId="25" xfId="0" applyFont="1" applyBorder="1" applyAlignment="1">
      <alignment horizontal="justify" vertical="center" wrapText="1"/>
    </xf>
    <xf numFmtId="0" fontId="5" fillId="0" borderId="5" xfId="0" applyFont="1" applyBorder="1" applyAlignment="1">
      <alignment vertical="top" wrapText="1"/>
    </xf>
    <xf numFmtId="0" fontId="49" fillId="0" borderId="11" xfId="0" applyFont="1" applyBorder="1" applyAlignment="1">
      <alignment horizontal="center" vertical="center"/>
    </xf>
    <xf numFmtId="0" fontId="37" fillId="0" borderId="10" xfId="0" applyFont="1" applyBorder="1" applyAlignment="1">
      <alignment horizontal="center" vertical="center" wrapText="1"/>
    </xf>
    <xf numFmtId="0" fontId="37" fillId="0" borderId="5" xfId="0" applyFont="1" applyBorder="1" applyAlignment="1">
      <alignment horizontal="justify" vertical="center" wrapText="1"/>
    </xf>
    <xf numFmtId="0" fontId="49" fillId="0" borderId="11" xfId="0" applyFont="1" applyBorder="1" applyAlignment="1">
      <alignment horizontal="right" wrapText="1"/>
    </xf>
    <xf numFmtId="0" fontId="5" fillId="0" borderId="5" xfId="0" applyFont="1" applyBorder="1" applyAlignment="1">
      <alignment horizontal="center" vertical="distributed" textRotation="255" wrapText="1"/>
    </xf>
    <xf numFmtId="0" fontId="37" fillId="0" borderId="0" xfId="0" applyFont="1" applyAlignment="1">
      <alignment horizontal="center" vertical="center" wrapText="1"/>
    </xf>
    <xf numFmtId="0" fontId="5" fillId="0" borderId="19" xfId="0" applyFont="1" applyBorder="1" applyAlignment="1">
      <alignment horizontal="left" vertical="center" wrapText="1"/>
    </xf>
    <xf numFmtId="0" fontId="49" fillId="0" borderId="13" xfId="0" quotePrefix="1" applyFont="1" applyBorder="1" applyAlignment="1">
      <alignment horizontal="right"/>
    </xf>
    <xf numFmtId="0" fontId="5" fillId="0" borderId="25" xfId="0" applyFont="1" applyBorder="1" applyAlignment="1">
      <alignment vertical="center" wrapText="1"/>
    </xf>
    <xf numFmtId="0" fontId="37" fillId="0" borderId="9" xfId="0" applyFont="1" applyBorder="1" applyAlignment="1">
      <alignment horizontal="left" vertical="center" wrapText="1"/>
    </xf>
    <xf numFmtId="0" fontId="37" fillId="0" borderId="11" xfId="0" applyFont="1" applyBorder="1" applyAlignment="1">
      <alignment vertical="top" wrapText="1"/>
    </xf>
    <xf numFmtId="0" fontId="37" fillId="0" borderId="9" xfId="0" applyFont="1" applyBorder="1" applyAlignment="1">
      <alignment horizontal="justify" vertical="center" wrapText="1"/>
    </xf>
    <xf numFmtId="0" fontId="50" fillId="0" borderId="27" xfId="0" applyFont="1" applyBorder="1" applyAlignment="1">
      <alignment horizontal="center" vertical="center" wrapText="1"/>
    </xf>
    <xf numFmtId="0" fontId="6" fillId="0" borderId="18" xfId="0" applyFont="1" applyBorder="1" applyAlignment="1">
      <alignment horizontal="left" vertical="center" wrapText="1" indent="1"/>
    </xf>
    <xf numFmtId="0" fontId="6" fillId="0" borderId="5" xfId="0" applyFont="1" applyBorder="1" applyAlignment="1">
      <alignment horizontal="justify" vertical="center" wrapText="1"/>
    </xf>
    <xf numFmtId="0" fontId="6" fillId="0" borderId="25" xfId="0" applyFont="1" applyBorder="1" applyAlignment="1">
      <alignment horizontal="justify" vertical="center" wrapText="1"/>
    </xf>
    <xf numFmtId="0" fontId="6" fillId="0" borderId="5" xfId="0" applyFont="1" applyBorder="1" applyAlignment="1">
      <alignment horizontal="distributed" vertical="center" wrapText="1"/>
    </xf>
    <xf numFmtId="0" fontId="6" fillId="0" borderId="11" xfId="0" applyFont="1" applyBorder="1" applyAlignment="1">
      <alignment horizontal="justify" vertical="center" wrapText="1"/>
    </xf>
    <xf numFmtId="0" fontId="6" fillId="0" borderId="5" xfId="0" applyFont="1" applyBorder="1" applyAlignment="1">
      <alignment vertical="center" wrapText="1"/>
    </xf>
    <xf numFmtId="0" fontId="6" fillId="0" borderId="29" xfId="0" applyFont="1" applyBorder="1" applyAlignment="1">
      <alignment horizontal="justify" vertical="center" wrapText="1"/>
    </xf>
    <xf numFmtId="0" fontId="33" fillId="0" borderId="5" xfId="0" applyFont="1" applyBorder="1" applyAlignment="1">
      <alignment horizontal="center" vertical="center" wrapText="1"/>
    </xf>
    <xf numFmtId="0" fontId="8" fillId="0" borderId="5" xfId="0" applyFont="1" applyBorder="1" applyAlignment="1">
      <alignment horizontal="justify" vertical="center" wrapText="1"/>
    </xf>
    <xf numFmtId="0" fontId="6" fillId="0" borderId="14" xfId="0" applyFont="1" applyBorder="1" applyAlignment="1">
      <alignment horizontal="left" vertical="center" wrapText="1" indent="1"/>
    </xf>
    <xf numFmtId="0" fontId="55" fillId="0" borderId="10" xfId="0" applyFont="1" applyBorder="1" applyAlignment="1">
      <alignment horizontal="center" vertical="center"/>
    </xf>
    <xf numFmtId="0" fontId="55" fillId="0" borderId="5" xfId="0" applyFont="1" applyBorder="1" applyAlignment="1">
      <alignment horizontal="center" vertical="center"/>
    </xf>
    <xf numFmtId="187" fontId="55" fillId="0" borderId="8" xfId="0" applyNumberFormat="1" applyFont="1" applyBorder="1" applyAlignment="1">
      <alignment horizontal="center" vertical="center"/>
    </xf>
    <xf numFmtId="0" fontId="55" fillId="0" borderId="8" xfId="0" applyFont="1" applyBorder="1" applyAlignment="1">
      <alignment horizontal="center" vertical="center"/>
    </xf>
    <xf numFmtId="0" fontId="55" fillId="0" borderId="8" xfId="0" applyFont="1" applyBorder="1" applyAlignment="1">
      <alignment horizontal="center" vertical="center" shrinkToFit="1"/>
    </xf>
    <xf numFmtId="1" fontId="55" fillId="0" borderId="5" xfId="0" applyNumberFormat="1" applyFont="1" applyBorder="1" applyAlignment="1">
      <alignment horizontal="center" vertical="center" wrapText="1"/>
    </xf>
    <xf numFmtId="0" fontId="55" fillId="0" borderId="5" xfId="0" applyFont="1" applyBorder="1" applyAlignment="1">
      <alignment horizontal="distributed" vertical="center"/>
    </xf>
    <xf numFmtId="0" fontId="2" fillId="0" borderId="11" xfId="0" applyFont="1" applyBorder="1" applyAlignment="1">
      <alignment horizontal="center" vertical="center" wrapText="1"/>
    </xf>
    <xf numFmtId="0" fontId="75" fillId="0" borderId="5" xfId="0" applyFont="1" applyBorder="1" applyAlignment="1">
      <alignment horizontal="center" vertical="center" wrapText="1"/>
    </xf>
    <xf numFmtId="0" fontId="2" fillId="0" borderId="5" xfId="0" applyFont="1" applyBorder="1" applyAlignment="1">
      <alignment horizontal="center" vertical="center" wrapText="1"/>
    </xf>
    <xf numFmtId="0" fontId="22" fillId="0" borderId="5" xfId="0" applyFont="1" applyBorder="1" applyAlignment="1">
      <alignment horizontal="center" vertical="center" wrapText="1"/>
    </xf>
    <xf numFmtId="1" fontId="55" fillId="0" borderId="8" xfId="0" applyNumberFormat="1" applyFont="1" applyBorder="1" applyAlignment="1">
      <alignment horizontal="center" vertical="center"/>
    </xf>
    <xf numFmtId="0" fontId="55" fillId="0" borderId="5" xfId="0" applyFont="1" applyBorder="1" applyAlignment="1">
      <alignment horizontal="center" vertical="center" shrinkToFit="1"/>
    </xf>
    <xf numFmtId="0" fontId="55" fillId="0" borderId="9" xfId="0" applyFont="1" applyBorder="1" applyAlignment="1">
      <alignment horizontal="center" vertical="center"/>
    </xf>
    <xf numFmtId="0" fontId="53" fillId="0" borderId="119" xfId="3" applyFont="1" applyBorder="1" applyAlignment="1">
      <alignment horizontal="left" vertical="top"/>
    </xf>
    <xf numFmtId="0" fontId="0" fillId="0" borderId="119" xfId="0" applyBorder="1" applyAlignment="1"/>
    <xf numFmtId="0" fontId="55" fillId="0" borderId="122" xfId="3" applyFont="1" applyBorder="1" applyAlignment="1">
      <alignment horizontal="left" vertical="center" wrapText="1"/>
    </xf>
    <xf numFmtId="0" fontId="0" fillId="0" borderId="118" xfId="0" applyBorder="1" applyAlignment="1"/>
    <xf numFmtId="49" fontId="73" fillId="0" borderId="0" xfId="3" applyNumberFormat="1" applyAlignment="1">
      <alignment horizontal="center" vertical="center"/>
    </xf>
    <xf numFmtId="0" fontId="73" fillId="0" borderId="0" xfId="3" applyAlignment="1">
      <alignment horizontal="left" vertical="top"/>
    </xf>
    <xf numFmtId="0" fontId="44" fillId="0" borderId="114" xfId="3" applyFont="1" applyBorder="1" applyAlignment="1">
      <alignment horizontal="right" vertical="top" wrapText="1"/>
    </xf>
    <xf numFmtId="0" fontId="0" fillId="0" borderId="114" xfId="0" applyBorder="1" applyAlignment="1"/>
    <xf numFmtId="0" fontId="44" fillId="0" borderId="114" xfId="3" applyFont="1" applyBorder="1" applyAlignment="1">
      <alignment horizontal="left" vertical="top" textRotation="255" wrapText="1"/>
    </xf>
    <xf numFmtId="0" fontId="44" fillId="0" borderId="122" xfId="3" applyFont="1" applyBorder="1" applyAlignment="1">
      <alignment horizontal="left" vertical="top" wrapText="1"/>
    </xf>
    <xf numFmtId="0" fontId="0" fillId="0" borderId="125" xfId="0" applyBorder="1" applyAlignment="1"/>
    <xf numFmtId="0" fontId="2" fillId="0" borderId="5" xfId="3" applyFont="1" applyBorder="1" applyAlignment="1">
      <alignment horizontal="left" vertical="top" wrapText="1"/>
    </xf>
    <xf numFmtId="0" fontId="55" fillId="0" borderId="122" xfId="3" applyFont="1" applyBorder="1" applyAlignment="1">
      <alignment horizontal="left" vertical="top" wrapText="1"/>
    </xf>
    <xf numFmtId="0" fontId="0" fillId="0" borderId="120" xfId="0" applyBorder="1" applyAlignment="1"/>
    <xf numFmtId="0" fontId="55" fillId="0" borderId="5" xfId="3" applyFont="1" applyBorder="1" applyAlignment="1">
      <alignment horizontal="left" vertical="top" wrapText="1"/>
    </xf>
    <xf numFmtId="0" fontId="0" fillId="0" borderId="126" xfId="0" applyBorder="1" applyAlignment="1"/>
    <xf numFmtId="0" fontId="0" fillId="0" borderId="124" xfId="0" applyBorder="1" applyAlignment="1"/>
    <xf numFmtId="0" fontId="0" fillId="0" borderId="117" xfId="0" applyBorder="1" applyAlignment="1"/>
    <xf numFmtId="0" fontId="0" fillId="0" borderId="123" xfId="0" applyBorder="1" applyAlignment="1"/>
    <xf numFmtId="0" fontId="2" fillId="0" borderId="5" xfId="3" applyFont="1" applyBorder="1" applyAlignment="1">
      <alignment horizontal="center" vertical="top" wrapText="1"/>
    </xf>
    <xf numFmtId="0" fontId="55" fillId="0" borderId="5" xfId="3" applyFont="1" applyBorder="1" applyAlignment="1">
      <alignment horizontal="center" vertical="top" wrapText="1"/>
    </xf>
    <xf numFmtId="0" fontId="2" fillId="0" borderId="122" xfId="3" applyFont="1" applyBorder="1" applyAlignment="1">
      <alignment horizontal="left" vertical="top" wrapText="1"/>
    </xf>
    <xf numFmtId="0" fontId="2" fillId="0" borderId="122" xfId="3" applyFont="1" applyBorder="1" applyAlignment="1">
      <alignment horizontal="center" vertical="top" wrapText="1"/>
    </xf>
    <xf numFmtId="0" fontId="21" fillId="0" borderId="19" xfId="3" applyFont="1" applyBorder="1" applyAlignment="1">
      <alignment horizontal="left" vertical="top" wrapText="1"/>
    </xf>
    <xf numFmtId="0" fontId="53" fillId="0" borderId="0" xfId="3" applyFont="1" applyAlignment="1">
      <alignment horizontal="left" vertical="top"/>
    </xf>
    <xf numFmtId="0" fontId="44" fillId="0" borderId="122" xfId="3" applyFont="1" applyBorder="1" applyAlignment="1">
      <alignment horizontal="left" wrapText="1"/>
    </xf>
    <xf numFmtId="0" fontId="0" fillId="0" borderId="121" xfId="0" applyBorder="1" applyAlignment="1"/>
    <xf numFmtId="0" fontId="53" fillId="0" borderId="5" xfId="3" applyFont="1" applyBorder="1" applyAlignment="1">
      <alignment horizontal="left" vertical="top" wrapText="1"/>
    </xf>
    <xf numFmtId="0" fontId="44" fillId="0" borderId="5" xfId="3" applyFont="1" applyBorder="1" applyAlignment="1">
      <alignment horizontal="center" vertical="top" wrapText="1"/>
    </xf>
    <xf numFmtId="0" fontId="91" fillId="0" borderId="74" xfId="0" applyFont="1" applyBorder="1" applyAlignment="1">
      <alignment horizontal="distributed" vertical="center"/>
    </xf>
    <xf numFmtId="0" fontId="6" fillId="0" borderId="232" xfId="0" applyFont="1" applyBorder="1" applyAlignment="1">
      <alignment horizontal="justify" vertical="center" wrapText="1"/>
    </xf>
    <xf numFmtId="0" fontId="6" fillId="0" borderId="223" xfId="0" applyFont="1" applyBorder="1" applyAlignment="1">
      <alignment horizontal="center" vertical="center" wrapText="1"/>
    </xf>
    <xf numFmtId="0" fontId="0" fillId="0" borderId="72" xfId="0" applyBorder="1" applyAlignment="1"/>
    <xf numFmtId="0" fontId="0" fillId="0" borderId="132" xfId="0" applyBorder="1" applyAlignment="1"/>
    <xf numFmtId="0" fontId="6" fillId="0" borderId="79" xfId="0" applyFont="1" applyBorder="1" applyAlignment="1">
      <alignment horizontal="justify" vertical="center" wrapText="1"/>
    </xf>
    <xf numFmtId="0" fontId="30" fillId="0" borderId="221" xfId="0" applyFont="1" applyBorder="1" applyAlignment="1">
      <alignment horizontal="left" vertical="center" wrapText="1"/>
    </xf>
    <xf numFmtId="0" fontId="0" fillId="0" borderId="131" xfId="0" applyBorder="1" applyAlignment="1"/>
    <xf numFmtId="0" fontId="91" fillId="0" borderId="46" xfId="0" applyFont="1" applyBorder="1" applyAlignment="1">
      <alignment horizontal="distributed" vertical="center"/>
    </xf>
    <xf numFmtId="0" fontId="30" fillId="0" borderId="227" xfId="0" applyFont="1" applyBorder="1" applyAlignment="1">
      <alignment horizontal="left" vertical="center" wrapText="1"/>
    </xf>
    <xf numFmtId="0" fontId="30" fillId="0" borderId="249" xfId="0" applyFont="1" applyBorder="1" applyAlignment="1">
      <alignment horizontal="left" vertical="center" wrapText="1"/>
    </xf>
    <xf numFmtId="0" fontId="0" fillId="0" borderId="148" xfId="0" applyBorder="1" applyAlignment="1"/>
    <xf numFmtId="0" fontId="0" fillId="0" borderId="147" xfId="0" applyBorder="1" applyAlignment="1"/>
    <xf numFmtId="0" fontId="91" fillId="0" borderId="251" xfId="0" applyFont="1" applyBorder="1" applyAlignment="1">
      <alignment horizontal="center" vertical="center" wrapText="1"/>
    </xf>
    <xf numFmtId="0" fontId="6" fillId="0" borderId="253" xfId="0" applyFont="1" applyBorder="1" applyAlignment="1">
      <alignment horizontal="center" vertical="center" wrapText="1"/>
    </xf>
    <xf numFmtId="0" fontId="0" fillId="0" borderId="32" xfId="0" applyBorder="1" applyAlignment="1"/>
    <xf numFmtId="0" fontId="30" fillId="0" borderId="83" xfId="0" applyFont="1" applyBorder="1" applyAlignment="1">
      <alignment horizontal="left" vertical="center"/>
    </xf>
    <xf numFmtId="0" fontId="30" fillId="0" borderId="250" xfId="0" applyFont="1" applyBorder="1" applyAlignment="1">
      <alignment horizontal="left" vertical="center" wrapText="1"/>
    </xf>
    <xf numFmtId="0" fontId="0" fillId="0" borderId="146" xfId="0" applyBorder="1" applyAlignment="1"/>
    <xf numFmtId="0" fontId="0" fillId="0" borderId="145" xfId="0" applyBorder="1" applyAlignment="1"/>
    <xf numFmtId="0" fontId="6" fillId="0" borderId="233" xfId="0" applyFont="1" applyBorder="1" applyAlignment="1">
      <alignment horizontal="justify" vertical="center" wrapText="1"/>
    </xf>
    <xf numFmtId="0" fontId="89" fillId="0" borderId="232" xfId="0" applyFont="1" applyBorder="1" applyAlignment="1">
      <alignment horizontal="justify" vertical="center" wrapText="1"/>
    </xf>
    <xf numFmtId="0" fontId="6" fillId="0" borderId="252" xfId="0" applyFont="1" applyBorder="1" applyAlignment="1">
      <alignment horizontal="justify" vertical="center" wrapText="1"/>
    </xf>
    <xf numFmtId="0" fontId="6" fillId="0" borderId="254" xfId="0" applyFont="1" applyBorder="1" applyAlignment="1">
      <alignment horizontal="justify" vertical="center" wrapText="1"/>
    </xf>
    <xf numFmtId="0" fontId="0" fillId="0" borderId="136" xfId="0" applyBorder="1" applyAlignment="1"/>
    <xf numFmtId="0" fontId="0" fillId="0" borderId="137" xfId="0" applyBorder="1" applyAlignment="1"/>
    <xf numFmtId="0" fontId="6" fillId="0" borderId="260" xfId="0" applyFont="1" applyBorder="1" applyAlignment="1">
      <alignment horizontal="justify" vertical="center" wrapText="1"/>
    </xf>
    <xf numFmtId="0" fontId="0" fillId="0" borderId="261" xfId="0" applyBorder="1" applyAlignment="1"/>
    <xf numFmtId="0" fontId="0" fillId="0" borderId="140" xfId="0" applyBorder="1" applyAlignment="1"/>
    <xf numFmtId="0" fontId="6" fillId="0" borderId="257" xfId="0" applyFont="1" applyBorder="1" applyAlignment="1">
      <alignment horizontal="justify" vertical="center" wrapText="1"/>
    </xf>
    <xf numFmtId="0" fontId="6" fillId="0" borderId="215" xfId="0" applyFont="1" applyBorder="1" applyAlignment="1">
      <alignment horizontal="justify" vertical="center" wrapText="1"/>
    </xf>
    <xf numFmtId="0" fontId="6" fillId="0" borderId="256" xfId="0" applyFont="1" applyBorder="1" applyAlignment="1">
      <alignment horizontal="justify" vertical="center" wrapText="1"/>
    </xf>
    <xf numFmtId="0" fontId="0" fillId="0" borderId="138" xfId="0" applyBorder="1" applyAlignment="1"/>
    <xf numFmtId="0" fontId="6" fillId="0" borderId="258" xfId="0" applyFont="1" applyBorder="1" applyAlignment="1">
      <alignment horizontal="justify" vertical="center" wrapText="1"/>
    </xf>
    <xf numFmtId="0" fontId="0" fillId="0" borderId="143" xfId="0" applyBorder="1" applyAlignment="1"/>
    <xf numFmtId="0" fontId="6" fillId="0" borderId="255" xfId="0" applyFont="1" applyBorder="1" applyAlignment="1">
      <alignment horizontal="justify" vertical="center" wrapText="1"/>
    </xf>
    <xf numFmtId="0" fontId="0" fillId="0" borderId="135" xfId="0" applyBorder="1" applyAlignment="1"/>
    <xf numFmtId="0" fontId="27" fillId="0" borderId="264" xfId="0" applyFont="1" applyBorder="1" applyAlignment="1">
      <alignment horizontal="center" vertical="center" wrapText="1"/>
    </xf>
    <xf numFmtId="0" fontId="0" fillId="0" borderId="265" xfId="0" applyBorder="1" applyAlignment="1"/>
    <xf numFmtId="0" fontId="31" fillId="0" borderId="263" xfId="0" applyFont="1" applyBorder="1" applyAlignment="1">
      <alignment horizontal="justify" vertical="center" wrapText="1"/>
    </xf>
    <xf numFmtId="0" fontId="0" fillId="0" borderId="144" xfId="0" applyBorder="1" applyAlignment="1"/>
    <xf numFmtId="0" fontId="54" fillId="0" borderId="86" xfId="0" applyFont="1" applyBorder="1" applyAlignment="1">
      <alignment horizontal="distributed" vertical="center" wrapText="1"/>
    </xf>
    <xf numFmtId="0" fontId="54" fillId="0" borderId="53" xfId="0" applyFont="1" applyBorder="1" applyAlignment="1">
      <alignment horizontal="distributed" vertical="center" wrapText="1"/>
    </xf>
    <xf numFmtId="0" fontId="6" fillId="0" borderId="262" xfId="0" applyFont="1" applyBorder="1" applyAlignment="1">
      <alignment horizontal="justify" vertical="center" wrapText="1"/>
    </xf>
    <xf numFmtId="0" fontId="6" fillId="0" borderId="259" xfId="0" applyFont="1" applyBorder="1" applyAlignment="1">
      <alignment horizontal="justify" vertical="center" wrapText="1"/>
    </xf>
    <xf numFmtId="0" fontId="0" fillId="0" borderId="142" xfId="0" applyBorder="1" applyAlignment="1"/>
    <xf numFmtId="0" fontId="0" fillId="0" borderId="141" xfId="0" applyBorder="1" applyAlignment="1"/>
    <xf numFmtId="0" fontId="86" fillId="0" borderId="36" xfId="0" applyFont="1" applyBorder="1" applyAlignment="1" applyProtection="1">
      <alignment horizontal="center" vertical="center" wrapText="1"/>
      <protection hidden="1"/>
    </xf>
    <xf numFmtId="0" fontId="0" fillId="0" borderId="36" xfId="0" applyBorder="1" applyAlignment="1" applyProtection="1">
      <protection hidden="1"/>
    </xf>
    <xf numFmtId="0" fontId="60" fillId="14" borderId="215" xfId="0" applyFont="1" applyFill="1" applyBorder="1" applyAlignment="1" applyProtection="1">
      <alignment horizontal="center" vertical="center" wrapText="1"/>
      <protection hidden="1"/>
    </xf>
    <xf numFmtId="0" fontId="0" fillId="0" borderId="82" xfId="0" applyBorder="1" applyAlignment="1" applyProtection="1">
      <protection hidden="1"/>
    </xf>
    <xf numFmtId="0" fontId="0" fillId="0" borderId="81" xfId="0" applyBorder="1" applyAlignment="1" applyProtection="1">
      <protection hidden="1"/>
    </xf>
    <xf numFmtId="0" fontId="78" fillId="0" borderId="236" xfId="0" applyFont="1" applyBorder="1" applyAlignment="1" applyProtection="1">
      <alignment vertical="center"/>
      <protection hidden="1"/>
    </xf>
    <xf numFmtId="0" fontId="80" fillId="0" borderId="236" xfId="0" applyFont="1" applyBorder="1" applyAlignment="1" applyProtection="1">
      <alignment vertical="center"/>
      <protection hidden="1"/>
    </xf>
    <xf numFmtId="0" fontId="60" fillId="0" borderId="232" xfId="0" applyFont="1" applyBorder="1" applyAlignment="1" applyProtection="1">
      <alignment horizontal="left" vertical="center" wrapText="1"/>
      <protection hidden="1"/>
    </xf>
    <xf numFmtId="0" fontId="76" fillId="0" borderId="233" xfId="0" applyFont="1" applyBorder="1" applyAlignment="1" applyProtection="1">
      <alignment vertical="center" wrapText="1"/>
      <protection hidden="1"/>
    </xf>
    <xf numFmtId="0" fontId="0" fillId="0" borderId="210" xfId="0" applyBorder="1" applyAlignment="1" applyProtection="1">
      <protection hidden="1"/>
    </xf>
    <xf numFmtId="0" fontId="0" fillId="0" borderId="234" xfId="0" applyBorder="1" applyAlignment="1" applyProtection="1">
      <protection hidden="1"/>
    </xf>
    <xf numFmtId="0" fontId="84" fillId="0" borderId="215" xfId="0" applyFont="1" applyBorder="1" applyAlignment="1" applyProtection="1">
      <alignment horizontal="center" vertical="center" wrapText="1"/>
      <protection hidden="1"/>
    </xf>
    <xf numFmtId="0" fontId="83" fillId="0" borderId="215" xfId="0" applyFont="1" applyBorder="1" applyAlignment="1" applyProtection="1">
      <alignment vertical="center" wrapText="1"/>
      <protection hidden="1"/>
    </xf>
    <xf numFmtId="0" fontId="60" fillId="0" borderId="79" xfId="0" applyFont="1" applyBorder="1" applyAlignment="1" applyProtection="1">
      <alignment horizontal="left" vertical="center" wrapText="1"/>
      <protection hidden="1"/>
    </xf>
    <xf numFmtId="0" fontId="0" fillId="0" borderId="73" xfId="0" applyBorder="1" applyAlignment="1" applyProtection="1">
      <protection hidden="1"/>
    </xf>
    <xf numFmtId="0" fontId="84" fillId="0" borderId="221" xfId="0" applyFont="1" applyBorder="1" applyAlignment="1" applyProtection="1">
      <alignment horizontal="center" vertical="center" wrapText="1"/>
      <protection hidden="1"/>
    </xf>
    <xf numFmtId="0" fontId="0" fillId="0" borderId="131" xfId="0" applyBorder="1" applyAlignment="1" applyProtection="1">
      <protection hidden="1"/>
    </xf>
    <xf numFmtId="0" fontId="60" fillId="0" borderId="221" xfId="0" applyFont="1" applyBorder="1" applyAlignment="1" applyProtection="1">
      <alignment horizontal="center" vertical="center" wrapText="1"/>
      <protection hidden="1"/>
    </xf>
    <xf numFmtId="0" fontId="60" fillId="16" borderId="270" xfId="0" applyFont="1" applyFill="1" applyBorder="1" applyAlignment="1" applyProtection="1">
      <alignment horizontal="center" vertical="center" wrapText="1"/>
      <protection hidden="1"/>
    </xf>
    <xf numFmtId="0" fontId="0" fillId="0" borderId="261" xfId="0" applyBorder="1" applyAlignment="1" applyProtection="1">
      <protection hidden="1"/>
    </xf>
    <xf numFmtId="0" fontId="0" fillId="0" borderId="134" xfId="0" applyBorder="1" applyAlignment="1" applyProtection="1">
      <protection hidden="1"/>
    </xf>
    <xf numFmtId="0" fontId="60" fillId="0" borderId="215" xfId="0" applyFont="1" applyBorder="1" applyAlignment="1" applyProtection="1">
      <alignment horizontal="center" vertical="center" wrapText="1"/>
      <protection hidden="1"/>
    </xf>
    <xf numFmtId="0" fontId="60" fillId="0" borderId="233" xfId="0" applyFont="1" applyBorder="1" applyAlignment="1" applyProtection="1">
      <alignment horizontal="left" vertical="center" wrapText="1"/>
      <protection hidden="1"/>
    </xf>
    <xf numFmtId="0" fontId="77" fillId="14" borderId="223" xfId="0" applyFont="1" applyFill="1" applyBorder="1" applyAlignment="1" applyProtection="1">
      <alignment horizontal="center" vertical="center" wrapText="1"/>
      <protection hidden="1"/>
    </xf>
    <xf numFmtId="0" fontId="0" fillId="0" borderId="72" xfId="0" applyBorder="1" applyAlignment="1" applyProtection="1">
      <protection hidden="1"/>
    </xf>
    <xf numFmtId="0" fontId="0" fillId="0" borderId="132" xfId="0" applyBorder="1" applyAlignment="1" applyProtection="1">
      <protection hidden="1"/>
    </xf>
    <xf numFmtId="0" fontId="85" fillId="0" borderId="271" xfId="0" applyFont="1" applyBorder="1" applyAlignment="1" applyProtection="1">
      <alignment horizontal="center" vertical="center" wrapText="1"/>
      <protection hidden="1"/>
    </xf>
    <xf numFmtId="0" fontId="0" fillId="0" borderId="272" xfId="0" applyBorder="1" applyAlignment="1" applyProtection="1">
      <protection hidden="1"/>
    </xf>
    <xf numFmtId="0" fontId="77" fillId="0" borderId="266" xfId="0" applyFont="1" applyBorder="1" applyAlignment="1" applyProtection="1">
      <alignment vertical="center"/>
      <protection hidden="1"/>
    </xf>
    <xf numFmtId="0" fontId="0" fillId="0" borderId="194" xfId="0" applyBorder="1" applyAlignment="1" applyProtection="1">
      <protection hidden="1"/>
    </xf>
    <xf numFmtId="0" fontId="0" fillId="0" borderId="267" xfId="0" applyBorder="1" applyAlignment="1" applyProtection="1">
      <protection hidden="1"/>
    </xf>
    <xf numFmtId="0" fontId="60" fillId="14" borderId="221" xfId="0" applyFont="1" applyFill="1" applyBorder="1" applyAlignment="1" applyProtection="1">
      <alignment horizontal="center" vertical="center" wrapText="1"/>
      <protection hidden="1"/>
    </xf>
    <xf numFmtId="0" fontId="0" fillId="0" borderId="133" xfId="0" applyBorder="1" applyAlignment="1" applyProtection="1">
      <protection hidden="1"/>
    </xf>
    <xf numFmtId="0" fontId="0" fillId="0" borderId="78" xfId="0" applyBorder="1" applyAlignment="1" applyProtection="1">
      <protection hidden="1"/>
    </xf>
    <xf numFmtId="0" fontId="85" fillId="0" borderId="270" xfId="0" applyFont="1" applyBorder="1" applyAlignment="1" applyProtection="1">
      <alignment horizontal="center" vertical="center" wrapText="1"/>
      <protection hidden="1"/>
    </xf>
    <xf numFmtId="0" fontId="77" fillId="14" borderId="269" xfId="0" applyFont="1" applyFill="1" applyBorder="1" applyAlignment="1" applyProtection="1">
      <alignment horizontal="center" vertical="center" textRotation="255" wrapText="1"/>
      <protection hidden="1"/>
    </xf>
    <xf numFmtId="0" fontId="77" fillId="14" borderId="215" xfId="0" applyFont="1" applyFill="1" applyBorder="1" applyAlignment="1" applyProtection="1">
      <alignment horizontal="center" vertical="center" wrapText="1"/>
      <protection hidden="1"/>
    </xf>
    <xf numFmtId="0" fontId="76" fillId="0" borderId="79" xfId="0" applyFont="1" applyBorder="1" applyAlignment="1" applyProtection="1">
      <alignment vertical="center" wrapText="1"/>
      <protection hidden="1"/>
    </xf>
    <xf numFmtId="0" fontId="79" fillId="0" borderId="236" xfId="0" applyFont="1" applyBorder="1" applyAlignment="1" applyProtection="1">
      <alignment vertical="center"/>
      <protection hidden="1"/>
    </xf>
    <xf numFmtId="0" fontId="77" fillId="14" borderId="226" xfId="0" applyFont="1" applyFill="1" applyBorder="1" applyAlignment="1" applyProtection="1">
      <alignment horizontal="center" vertical="center" wrapText="1"/>
      <protection hidden="1"/>
    </xf>
    <xf numFmtId="0" fontId="0" fillId="0" borderId="205" xfId="0" applyBorder="1" applyAlignment="1" applyProtection="1">
      <protection hidden="1"/>
    </xf>
    <xf numFmtId="0" fontId="0" fillId="0" borderId="53" xfId="0" applyBorder="1" applyAlignment="1" applyProtection="1">
      <protection hidden="1"/>
    </xf>
    <xf numFmtId="0" fontId="81" fillId="0" borderId="236" xfId="0" applyFont="1" applyBorder="1" applyAlignment="1" applyProtection="1">
      <alignment vertical="center"/>
      <protection hidden="1"/>
    </xf>
    <xf numFmtId="0" fontId="82" fillId="15" borderId="268" xfId="0" applyFont="1" applyFill="1" applyBorder="1" applyAlignment="1" applyProtection="1">
      <alignment horizontal="center" vertical="center" wrapText="1"/>
      <protection hidden="1"/>
    </xf>
    <xf numFmtId="0" fontId="60" fillId="0" borderId="222" xfId="0" applyFont="1" applyBorder="1" applyAlignment="1" applyProtection="1">
      <alignment vertical="center" wrapText="1"/>
      <protection hidden="1"/>
    </xf>
    <xf numFmtId="0" fontId="0" fillId="0" borderId="48" xfId="0" applyBorder="1" applyAlignment="1" applyProtection="1">
      <protection hidden="1"/>
    </xf>
    <xf numFmtId="0" fontId="76" fillId="0" borderId="236" xfId="0" applyFont="1" applyBorder="1" applyAlignment="1" applyProtection="1">
      <alignment vertical="center" wrapText="1"/>
      <protection hidden="1"/>
    </xf>
    <xf numFmtId="0" fontId="78" fillId="0" borderId="222" xfId="0" applyFont="1" applyBorder="1" applyAlignment="1" applyProtection="1">
      <alignment vertical="center"/>
      <protection hidden="1"/>
    </xf>
    <xf numFmtId="0" fontId="5" fillId="0" borderId="0" xfId="0" applyFont="1" applyAlignment="1">
      <alignment horizontal="center" vertical="center" wrapText="1"/>
    </xf>
    <xf numFmtId="0" fontId="24" fillId="0" borderId="5" xfId="0" applyFont="1" applyBorder="1" applyAlignment="1">
      <alignment horizontal="distributed" vertical="center"/>
    </xf>
    <xf numFmtId="0" fontId="6" fillId="0" borderId="275" xfId="0" applyFont="1" applyBorder="1" applyAlignment="1">
      <alignment horizontal="center" vertical="center" wrapText="1"/>
    </xf>
    <xf numFmtId="0" fontId="0" fillId="0" borderId="93" xfId="0" applyBorder="1" applyAlignment="1"/>
    <xf numFmtId="0" fontId="6" fillId="0" borderId="25" xfId="0" applyFont="1" applyBorder="1" applyAlignment="1">
      <alignment horizontal="center" vertical="center" wrapText="1"/>
    </xf>
    <xf numFmtId="0" fontId="37" fillId="0" borderId="0" xfId="0" applyFont="1" applyAlignment="1">
      <alignment horizontal="left"/>
    </xf>
    <xf numFmtId="0" fontId="5" fillId="0" borderId="25" xfId="0" applyFont="1" applyBorder="1" applyAlignment="1">
      <alignment horizontal="center" vertical="center" wrapText="1"/>
    </xf>
    <xf numFmtId="0" fontId="6" fillId="0" borderId="240" xfId="0" applyFont="1" applyBorder="1" applyAlignment="1">
      <alignment horizontal="left" vertical="center"/>
    </xf>
    <xf numFmtId="0" fontId="5" fillId="0" borderId="11" xfId="0" applyFont="1" applyBorder="1" applyAlignment="1">
      <alignment horizontal="left" vertical="top" wrapText="1"/>
    </xf>
    <xf numFmtId="0" fontId="6" fillId="0" borderId="276" xfId="0" applyFont="1" applyBorder="1" applyAlignment="1">
      <alignment horizontal="center" vertical="center" wrapText="1"/>
    </xf>
    <xf numFmtId="0" fontId="0" fillId="0" borderId="127" xfId="0" applyBorder="1" applyAlignment="1"/>
    <xf numFmtId="0" fontId="6" fillId="0" borderId="0" xfId="0" applyFont="1" applyAlignment="1">
      <alignment horizontal="left" vertical="center" wrapText="1" indent="15"/>
    </xf>
    <xf numFmtId="0" fontId="74" fillId="0" borderId="104" xfId="0" applyFont="1" applyBorder="1" applyAlignment="1">
      <alignment horizontal="center" vertical="center" wrapText="1"/>
    </xf>
    <xf numFmtId="0" fontId="0" fillId="0" borderId="274" xfId="0" applyBorder="1" applyAlignment="1"/>
    <xf numFmtId="0" fontId="31" fillId="0" borderId="97" xfId="0" applyFont="1" applyBorder="1" applyAlignment="1">
      <alignment horizontal="center" vertical="center" wrapText="1"/>
    </xf>
    <xf numFmtId="0" fontId="0" fillId="0" borderId="273" xfId="0" applyBorder="1" applyAlignment="1"/>
    <xf numFmtId="0" fontId="6" fillId="0" borderId="129" xfId="0" applyFont="1" applyBorder="1" applyAlignment="1">
      <alignment horizontal="center" vertical="center" wrapText="1"/>
    </xf>
    <xf numFmtId="0" fontId="0" fillId="0" borderId="111" xfId="0" applyBorder="1" applyAlignment="1"/>
    <xf numFmtId="0" fontId="31" fillId="0" borderId="101" xfId="0" applyFont="1" applyBorder="1" applyAlignment="1">
      <alignment horizontal="center" vertical="center" wrapText="1"/>
    </xf>
    <xf numFmtId="0" fontId="68" fillId="0" borderId="11" xfId="0" applyFont="1" applyBorder="1" applyAlignment="1">
      <alignment vertical="center" wrapText="1"/>
    </xf>
    <xf numFmtId="0" fontId="31" fillId="0" borderId="102" xfId="0" applyFont="1" applyBorder="1" applyAlignment="1">
      <alignment horizontal="center" vertical="center" wrapText="1"/>
    </xf>
    <xf numFmtId="0" fontId="6" fillId="0" borderId="240" xfId="0" applyFont="1" applyBorder="1" applyAlignment="1">
      <alignment horizontal="center" vertical="center" wrapText="1"/>
    </xf>
    <xf numFmtId="0" fontId="37" fillId="0" borderId="0" xfId="0" applyFont="1" applyAlignment="1">
      <alignment horizontal="left" vertical="top" wrapText="1"/>
    </xf>
    <xf numFmtId="0" fontId="5" fillId="0" borderId="83" xfId="0" applyFont="1" applyBorder="1" applyAlignment="1">
      <alignment horizontal="left" vertical="center"/>
    </xf>
    <xf numFmtId="0" fontId="5" fillId="0" borderId="82" xfId="0" applyFont="1" applyBorder="1" applyAlignment="1">
      <alignment horizontal="center" vertical="center" wrapText="1"/>
    </xf>
    <xf numFmtId="0" fontId="5" fillId="0" borderId="83" xfId="0" applyFont="1" applyBorder="1" applyAlignment="1">
      <alignment horizontal="left" vertical="center" wrapText="1"/>
    </xf>
    <xf numFmtId="0" fontId="5" fillId="0" borderId="201" xfId="0" applyFont="1" applyBorder="1" applyAlignment="1">
      <alignment horizontal="left" vertical="center"/>
    </xf>
    <xf numFmtId="0" fontId="5" fillId="0" borderId="0" xfId="0" applyFont="1" applyAlignment="1">
      <alignment horizontal="center" vertical="top" wrapText="1"/>
    </xf>
    <xf numFmtId="0" fontId="6" fillId="0" borderId="218" xfId="0" applyFont="1" applyBorder="1" applyAlignment="1">
      <alignment horizontal="center" vertical="center"/>
    </xf>
    <xf numFmtId="0" fontId="5" fillId="0" borderId="209" xfId="0" applyFont="1" applyBorder="1" applyAlignment="1">
      <alignment horizontal="left" vertical="top" wrapText="1"/>
    </xf>
    <xf numFmtId="0" fontId="6" fillId="0" borderId="150" xfId="0" applyFont="1" applyBorder="1" applyAlignment="1">
      <alignment horizontal="center" vertical="center" wrapText="1"/>
    </xf>
    <xf numFmtId="0" fontId="0" fillId="0" borderId="277" xfId="0" applyBorder="1" applyAlignment="1"/>
    <xf numFmtId="0" fontId="6" fillId="0" borderId="82" xfId="0" applyFont="1" applyBorder="1" applyAlignment="1">
      <alignment horizontal="left" vertical="center" wrapText="1"/>
    </xf>
    <xf numFmtId="0" fontId="5" fillId="0" borderId="150" xfId="0" applyFont="1" applyBorder="1" applyAlignment="1">
      <alignment horizontal="left" vertical="center" wrapText="1"/>
    </xf>
    <xf numFmtId="0" fontId="0" fillId="0" borderId="278" xfId="0" applyBorder="1" applyAlignment="1"/>
    <xf numFmtId="0" fontId="6" fillId="0" borderId="150" xfId="0" applyFont="1" applyBorder="1" applyAlignment="1">
      <alignment horizontal="center" vertical="center"/>
    </xf>
    <xf numFmtId="0" fontId="5" fillId="0" borderId="209" xfId="0" applyFont="1" applyBorder="1" applyAlignment="1">
      <alignment horizontal="left" vertical="center" wrapText="1"/>
    </xf>
    <xf numFmtId="0" fontId="26" fillId="0" borderId="0" xfId="0" applyFont="1" applyAlignment="1">
      <alignment horizontal="distributed" vertical="center"/>
    </xf>
    <xf numFmtId="0" fontId="30" fillId="0" borderId="0" xfId="0" applyFont="1" applyAlignment="1">
      <alignment vertical="center"/>
    </xf>
    <xf numFmtId="0" fontId="5" fillId="0" borderId="80" xfId="0" applyFont="1" applyBorder="1" applyAlignment="1">
      <alignment horizontal="left" vertical="center" wrapText="1"/>
    </xf>
    <xf numFmtId="0" fontId="5" fillId="0" borderId="215" xfId="0" applyFont="1" applyBorder="1" applyAlignment="1">
      <alignment horizontal="left" vertical="center" wrapText="1"/>
    </xf>
    <xf numFmtId="0" fontId="5" fillId="0" borderId="80" xfId="0" applyFont="1" applyBorder="1" applyAlignment="1">
      <alignment horizontal="left" vertical="center"/>
    </xf>
    <xf numFmtId="0" fontId="31" fillId="0" borderId="215" xfId="0" applyFont="1" applyBorder="1" applyAlignment="1">
      <alignment horizontal="center" vertical="center"/>
    </xf>
    <xf numFmtId="0" fontId="5" fillId="0" borderId="215" xfId="0" applyFont="1" applyBorder="1" applyAlignment="1">
      <alignment horizontal="center" vertical="center"/>
    </xf>
    <xf numFmtId="0" fontId="57" fillId="0" borderId="5" xfId="0" applyFont="1" applyBorder="1" applyAlignment="1">
      <alignment horizontal="left" vertical="center" wrapText="1"/>
    </xf>
    <xf numFmtId="0" fontId="60" fillId="0" borderId="14" xfId="0" applyFont="1" applyBorder="1" applyAlignment="1">
      <alignment horizontal="left" vertical="center" wrapText="1"/>
    </xf>
    <xf numFmtId="0" fontId="58" fillId="0" borderId="0" xfId="0" applyFont="1" applyAlignment="1">
      <alignment horizontal="center" vertical="center"/>
    </xf>
    <xf numFmtId="0" fontId="60" fillId="0" borderId="280" xfId="0" applyFont="1" applyBorder="1" applyAlignment="1">
      <alignment vertical="center" wrapText="1"/>
    </xf>
    <xf numFmtId="0" fontId="0" fillId="0" borderId="280" xfId="0" applyBorder="1" applyAlignment="1"/>
    <xf numFmtId="0" fontId="34" fillId="11" borderId="5" xfId="0" applyFont="1" applyFill="1" applyBorder="1" applyAlignment="1">
      <alignment horizontal="center" vertical="center" wrapText="1"/>
    </xf>
    <xf numFmtId="0" fontId="65" fillId="0" borderId="279" xfId="0" applyFont="1" applyBorder="1" applyAlignment="1">
      <alignment horizontal="center" vertical="center" wrapText="1"/>
    </xf>
    <xf numFmtId="0" fontId="0" fillId="0" borderId="208" xfId="0" applyBorder="1" applyAlignment="1"/>
    <xf numFmtId="0" fontId="67" fillId="14" borderId="5" xfId="0" applyFont="1" applyFill="1" applyBorder="1" applyAlignment="1">
      <alignment horizontal="center" vertical="center" wrapText="1"/>
    </xf>
    <xf numFmtId="0" fontId="63" fillId="0" borderId="11" xfId="0" applyFont="1" applyBorder="1" applyAlignment="1">
      <alignment vertical="center" wrapText="1"/>
    </xf>
    <xf numFmtId="0" fontId="60" fillId="0" borderId="14" xfId="0" applyFont="1" applyBorder="1" applyAlignment="1">
      <alignment horizontal="justify" vertical="center" wrapText="1"/>
    </xf>
    <xf numFmtId="0" fontId="60" fillId="0" borderId="16" xfId="0" applyFont="1" applyBorder="1" applyAlignment="1">
      <alignment vertical="center" wrapText="1"/>
    </xf>
    <xf numFmtId="0" fontId="60" fillId="0" borderId="25" xfId="0" applyFont="1" applyBorder="1" applyAlignment="1">
      <alignment vertical="center" wrapText="1"/>
    </xf>
    <xf numFmtId="0" fontId="64" fillId="12" borderId="61" xfId="0" applyFont="1" applyFill="1" applyBorder="1" applyAlignment="1">
      <alignment vertical="center" wrapText="1"/>
    </xf>
    <xf numFmtId="0" fontId="5" fillId="0" borderId="16" xfId="0" applyFont="1" applyBorder="1" applyAlignment="1">
      <alignment vertical="center" wrapText="1"/>
    </xf>
    <xf numFmtId="0" fontId="62" fillId="0" borderId="281" xfId="0" applyFont="1" applyBorder="1" applyAlignment="1">
      <alignment horizontal="left" vertical="center" wrapText="1"/>
    </xf>
    <xf numFmtId="0" fontId="61" fillId="0" borderId="0" xfId="0" applyFont="1" applyAlignment="1">
      <alignment vertical="center" wrapText="1"/>
    </xf>
    <xf numFmtId="0" fontId="66" fillId="13" borderId="27" xfId="0" applyFont="1" applyFill="1" applyBorder="1" applyAlignment="1">
      <alignment horizontal="center" vertical="center" wrapText="1"/>
    </xf>
    <xf numFmtId="0" fontId="63" fillId="0" borderId="214" xfId="0" applyFont="1" applyBorder="1" applyAlignment="1">
      <alignment horizontal="left" vertical="center" wrapText="1"/>
    </xf>
    <xf numFmtId="0" fontId="0" fillId="0" borderId="107" xfId="0" applyBorder="1" applyAlignment="1"/>
    <xf numFmtId="0" fontId="66" fillId="13" borderId="25" xfId="0" applyFont="1" applyFill="1" applyBorder="1" applyAlignment="1">
      <alignment vertical="center" wrapText="1"/>
    </xf>
    <xf numFmtId="0" fontId="58" fillId="0" borderId="5" xfId="0" applyFont="1" applyBorder="1" applyAlignment="1">
      <alignment horizontal="center" vertical="center" wrapText="1"/>
    </xf>
    <xf numFmtId="0" fontId="59" fillId="0" borderId="50" xfId="0" applyFont="1" applyBorder="1" applyAlignment="1">
      <alignment horizontal="distributed" vertical="center" wrapText="1"/>
    </xf>
    <xf numFmtId="0" fontId="31" fillId="13" borderId="11" xfId="0" applyFont="1" applyFill="1" applyBorder="1" applyAlignment="1">
      <alignment vertical="center" wrapText="1"/>
    </xf>
    <xf numFmtId="0" fontId="24" fillId="11" borderId="29" xfId="0" applyFont="1" applyFill="1" applyBorder="1" applyAlignment="1">
      <alignment horizontal="center" vertical="center" wrapText="1"/>
    </xf>
    <xf numFmtId="0" fontId="5" fillId="0" borderId="62" xfId="0" applyFont="1" applyBorder="1" applyAlignment="1">
      <alignment vertical="center" wrapText="1"/>
    </xf>
    <xf numFmtId="0" fontId="39" fillId="0" borderId="11" xfId="0" applyFont="1" applyBorder="1" applyAlignment="1">
      <alignment vertical="center" wrapText="1"/>
    </xf>
    <xf numFmtId="0" fontId="56" fillId="0" borderId="5" xfId="0" applyFont="1" applyBorder="1" applyAlignment="1">
      <alignment horizontal="left" vertical="center" wrapText="1"/>
    </xf>
    <xf numFmtId="0" fontId="24" fillId="11" borderId="13" xfId="0" applyFont="1" applyFill="1" applyBorder="1" applyAlignment="1">
      <alignment horizontal="center" vertical="center" wrapText="1"/>
    </xf>
    <xf numFmtId="0" fontId="39" fillId="0" borderId="5" xfId="0" applyFont="1" applyBorder="1" applyAlignment="1">
      <alignment vertical="center" wrapText="1"/>
    </xf>
    <xf numFmtId="0" fontId="60" fillId="0" borderId="10" xfId="0" applyFont="1" applyBorder="1" applyAlignment="1">
      <alignment horizontal="justify" vertical="center" wrapText="1"/>
    </xf>
    <xf numFmtId="0" fontId="60" fillId="0" borderId="18" xfId="0" applyFont="1" applyBorder="1" applyAlignment="1">
      <alignment horizontal="left" vertical="center" wrapText="1"/>
    </xf>
    <xf numFmtId="0" fontId="5" fillId="0" borderId="50" xfId="0" applyFont="1" applyBorder="1" applyAlignment="1">
      <alignment horizontal="distributed" vertical="center" wrapText="1"/>
    </xf>
    <xf numFmtId="0" fontId="34" fillId="0" borderId="70" xfId="0" applyFont="1" applyBorder="1" applyAlignment="1">
      <alignment vertical="center" wrapText="1"/>
    </xf>
    <xf numFmtId="0" fontId="0" fillId="0" borderId="282" xfId="0" applyBorder="1" applyAlignment="1"/>
    <xf numFmtId="0" fontId="0" fillId="0" borderId="91" xfId="0" applyBorder="1" applyAlignment="1"/>
    <xf numFmtId="0" fontId="60" fillId="0" borderId="18" xfId="0" applyFont="1" applyBorder="1" applyAlignment="1">
      <alignment horizontal="justify" vertical="center" wrapText="1"/>
    </xf>
    <xf numFmtId="0" fontId="0" fillId="11" borderId="29" xfId="0" applyFill="1" applyBorder="1" applyAlignment="1">
      <alignment vertical="center" wrapText="1"/>
    </xf>
    <xf numFmtId="0" fontId="5" fillId="0" borderId="13" xfId="0" applyFont="1" applyBorder="1" applyAlignment="1">
      <alignment horizontal="center"/>
    </xf>
    <xf numFmtId="0" fontId="5" fillId="0" borderId="29" xfId="0" applyFont="1" applyBorder="1" applyAlignment="1">
      <alignment horizontal="left" vertical="center"/>
    </xf>
    <xf numFmtId="0" fontId="5" fillId="0" borderId="5" xfId="0" applyFont="1" applyBorder="1" applyAlignment="1">
      <alignment horizontal="center" vertical="top"/>
    </xf>
    <xf numFmtId="0" fontId="5" fillId="0" borderId="26" xfId="0" applyFont="1" applyBorder="1" applyAlignment="1">
      <alignment horizontal="left" vertical="center"/>
    </xf>
    <xf numFmtId="0" fontId="5" fillId="0" borderId="11" xfId="0" applyFont="1" applyBorder="1" applyAlignment="1">
      <alignment horizontal="left" vertical="center" wrapText="1"/>
    </xf>
    <xf numFmtId="0" fontId="5" fillId="0" borderId="5" xfId="0" applyFont="1" applyBorder="1" applyAlignment="1">
      <alignment horizontal="left" vertical="center"/>
    </xf>
    <xf numFmtId="0" fontId="45" fillId="0" borderId="5" xfId="0" applyFont="1" applyBorder="1" applyAlignment="1">
      <alignment horizontal="left" vertical="top"/>
    </xf>
    <xf numFmtId="0" fontId="5" fillId="0" borderId="11" xfId="0" applyFont="1" applyBorder="1" applyAlignment="1">
      <alignment horizontal="left" vertical="center"/>
    </xf>
    <xf numFmtId="0" fontId="5" fillId="0" borderId="20" xfId="0" applyFont="1" applyBorder="1" applyAlignment="1">
      <alignment horizontal="left" vertical="center"/>
    </xf>
    <xf numFmtId="0" fontId="69" fillId="0" borderId="11" xfId="0" applyFont="1" applyBorder="1" applyAlignment="1">
      <alignment horizontal="center" vertical="center"/>
    </xf>
    <xf numFmtId="0" fontId="5" fillId="0" borderId="0" xfId="0" applyFont="1" applyAlignment="1">
      <alignment horizontal="left" vertical="center" indent="3"/>
    </xf>
    <xf numFmtId="0" fontId="5" fillId="0" borderId="5" xfId="0" applyFont="1" applyBorder="1" applyAlignment="1">
      <alignment horizontal="center" vertical="distributed" textRotation="255"/>
    </xf>
    <xf numFmtId="0" fontId="5" fillId="0" borderId="5" xfId="0" applyFont="1" applyBorder="1" applyAlignment="1">
      <alignment horizontal="left" vertical="top" wrapText="1"/>
    </xf>
    <xf numFmtId="0" fontId="5" fillId="0" borderId="25" xfId="0" applyFont="1" applyBorder="1" applyAlignment="1">
      <alignment horizontal="left" vertical="center"/>
    </xf>
    <xf numFmtId="0" fontId="5" fillId="0" borderId="18" xfId="0" applyFont="1" applyBorder="1" applyAlignment="1">
      <alignment horizontal="left" vertical="center"/>
    </xf>
    <xf numFmtId="0" fontId="5" fillId="0" borderId="19" xfId="0" applyFont="1" applyBorder="1" applyAlignment="1">
      <alignment horizontal="left" vertical="center"/>
    </xf>
    <xf numFmtId="0" fontId="5" fillId="0" borderId="13" xfId="0" applyFont="1" applyBorder="1" applyAlignment="1">
      <alignment horizontal="left" vertical="center"/>
    </xf>
    <xf numFmtId="0" fontId="72" fillId="11" borderId="25" xfId="0" applyFont="1" applyFill="1" applyBorder="1" applyAlignment="1">
      <alignment horizontal="left" vertical="center" wrapText="1"/>
    </xf>
    <xf numFmtId="0" fontId="5" fillId="11" borderId="5" xfId="0" applyFont="1" applyFill="1" applyBorder="1" applyAlignment="1">
      <alignment horizontal="left" vertical="center" wrapText="1"/>
    </xf>
    <xf numFmtId="0" fontId="24" fillId="11" borderId="11" xfId="0" applyFont="1" applyFill="1" applyBorder="1" applyAlignment="1">
      <alignment horizontal="center" vertical="top" wrapText="1"/>
    </xf>
    <xf numFmtId="0" fontId="5" fillId="0" borderId="283" xfId="0" applyFont="1" applyBorder="1" applyAlignment="1">
      <alignment horizontal="left" vertical="center" wrapText="1"/>
    </xf>
    <xf numFmtId="0" fontId="58" fillId="14" borderId="5" xfId="0" applyFont="1" applyFill="1" applyBorder="1" applyAlignment="1">
      <alignment vertical="center" wrapText="1"/>
    </xf>
    <xf numFmtId="0" fontId="5" fillId="0" borderId="70" xfId="0" applyFont="1" applyBorder="1" applyAlignment="1">
      <alignment horizontal="left" vertical="center" wrapText="1"/>
    </xf>
    <xf numFmtId="0" fontId="105" fillId="11" borderId="5" xfId="0" applyFont="1" applyFill="1" applyBorder="1" applyAlignment="1">
      <alignment horizontal="center" vertical="center" wrapText="1"/>
    </xf>
    <xf numFmtId="0" fontId="107" fillId="12" borderId="70" xfId="0" applyFont="1" applyFill="1" applyBorder="1" applyAlignment="1">
      <alignment horizontal="center" vertical="center" wrapText="1"/>
    </xf>
    <xf numFmtId="0" fontId="108" fillId="5" borderId="215" xfId="0" applyFont="1" applyFill="1" applyBorder="1" applyAlignment="1">
      <alignment horizontal="left" vertical="distributed" wrapText="1"/>
    </xf>
    <xf numFmtId="0" fontId="66" fillId="12" borderId="8" xfId="0" applyFont="1" applyFill="1" applyBorder="1" applyAlignment="1">
      <alignment horizontal="center" vertical="center"/>
    </xf>
    <xf numFmtId="0" fontId="0" fillId="0" borderId="11" xfId="0" applyBorder="1" applyAlignment="1">
      <alignment horizontal="center" vertical="center"/>
    </xf>
    <xf numFmtId="0" fontId="60" fillId="0" borderId="5" xfId="0" applyFont="1" applyBorder="1" applyAlignment="1">
      <alignment horizontal="justify" vertical="center" wrapText="1"/>
    </xf>
    <xf numFmtId="0" fontId="58" fillId="11" borderId="5" xfId="0" applyFont="1" applyFill="1" applyBorder="1" applyAlignment="1">
      <alignment horizontal="center" vertical="center" wrapText="1"/>
    </xf>
    <xf numFmtId="0" fontId="30" fillId="0" borderId="63" xfId="0" applyFont="1" applyBorder="1" applyAlignment="1">
      <alignment horizontal="left" vertical="center"/>
    </xf>
    <xf numFmtId="0" fontId="0" fillId="0" borderId="60" xfId="0" applyBorder="1" applyAlignment="1"/>
    <xf numFmtId="0" fontId="7" fillId="0" borderId="74" xfId="0" applyFont="1" applyBorder="1" applyAlignment="1">
      <alignment horizontal="left" vertical="center" wrapText="1"/>
    </xf>
    <xf numFmtId="0" fontId="30" fillId="0" borderId="63" xfId="0" applyFont="1" applyBorder="1" applyAlignment="1">
      <alignment horizontal="left" vertical="top" wrapText="1"/>
    </xf>
    <xf numFmtId="0" fontId="30" fillId="0" borderId="63" xfId="0" applyFont="1" applyBorder="1" applyAlignment="1">
      <alignment horizontal="center" vertical="center"/>
    </xf>
    <xf numFmtId="185" fontId="5" fillId="0" borderId="284" xfId="0" applyNumberFormat="1" applyFont="1" applyBorder="1" applyAlignment="1">
      <alignment horizontal="distributed" vertical="center"/>
    </xf>
    <xf numFmtId="0" fontId="0" fillId="0" borderId="284" xfId="0" applyBorder="1" applyAlignment="1"/>
    <xf numFmtId="0" fontId="47" fillId="0" borderId="25" xfId="0" applyFont="1" applyBorder="1" applyAlignment="1">
      <alignment horizontal="left" vertical="center" shrinkToFit="1"/>
    </xf>
    <xf numFmtId="0" fontId="5" fillId="0" borderId="285" xfId="0" applyFont="1" applyBorder="1" applyAlignment="1">
      <alignment horizontal="left" vertical="center" wrapText="1"/>
    </xf>
    <xf numFmtId="0" fontId="0" fillId="0" borderId="87" xfId="0" applyBorder="1" applyAlignment="1"/>
    <xf numFmtId="0" fontId="24" fillId="0" borderId="101" xfId="0" applyFont="1" applyBorder="1" applyAlignment="1">
      <alignment horizontal="center" vertical="center" wrapText="1"/>
    </xf>
    <xf numFmtId="0" fontId="0" fillId="0" borderId="95" xfId="0" applyBorder="1" applyAlignment="1"/>
    <xf numFmtId="0" fontId="24" fillId="0" borderId="222" xfId="0" applyFont="1" applyBorder="1" applyAlignment="1">
      <alignment horizontal="center" vertical="top" wrapText="1"/>
    </xf>
    <xf numFmtId="0" fontId="24" fillId="0" borderId="38" xfId="0" applyFont="1" applyBorder="1" applyAlignment="1">
      <alignment horizontal="left" vertical="top" wrapText="1"/>
    </xf>
    <xf numFmtId="0" fontId="24" fillId="0" borderId="222" xfId="0" applyFont="1" applyBorder="1" applyAlignment="1">
      <alignment horizontal="center" vertical="center" wrapText="1"/>
    </xf>
    <xf numFmtId="0" fontId="24" fillId="0" borderId="96" xfId="0" applyFont="1" applyBorder="1" applyAlignment="1">
      <alignment horizontal="left" vertical="center" shrinkToFit="1"/>
    </xf>
    <xf numFmtId="0" fontId="0" fillId="0" borderId="94" xfId="0" applyBorder="1" applyAlignment="1"/>
    <xf numFmtId="0" fontId="47" fillId="0" borderId="69" xfId="0" applyFont="1" applyBorder="1" applyAlignment="1">
      <alignment horizontal="left" vertical="center" shrinkToFit="1"/>
    </xf>
    <xf numFmtId="0" fontId="24" fillId="0" borderId="41" xfId="0" applyFont="1" applyBorder="1" applyAlignment="1">
      <alignment horizontal="left" vertical="top" wrapText="1"/>
    </xf>
    <xf numFmtId="0" fontId="0" fillId="0" borderId="286" xfId="0" applyBorder="1" applyAlignment="1"/>
    <xf numFmtId="0" fontId="5" fillId="0" borderId="90" xfId="0" applyFont="1" applyBorder="1" applyAlignment="1">
      <alignment horizontal="center" vertical="center" wrapText="1"/>
    </xf>
    <xf numFmtId="0" fontId="2" fillId="0" borderId="0" xfId="0" applyFont="1" applyAlignment="1">
      <alignment vertical="center"/>
    </xf>
    <xf numFmtId="176" fontId="0" fillId="0" borderId="5" xfId="0" applyNumberFormat="1" applyBorder="1" applyAlignment="1">
      <alignment horizontal="center" vertical="center"/>
    </xf>
    <xf numFmtId="0" fontId="2" fillId="0" borderId="21" xfId="0" applyFont="1" applyBorder="1" applyAlignment="1">
      <alignment vertical="center"/>
    </xf>
    <xf numFmtId="0" fontId="2" fillId="0" borderId="5" xfId="0" applyFont="1" applyBorder="1" applyAlignment="1">
      <alignment vertical="center"/>
    </xf>
    <xf numFmtId="0" fontId="2" fillId="0" borderId="4" xfId="0" applyFont="1" applyBorder="1" applyAlignment="1">
      <alignment horizontal="distributed" vertical="center"/>
    </xf>
    <xf numFmtId="0" fontId="0" fillId="0" borderId="7" xfId="0" applyBorder="1" applyAlignment="1"/>
    <xf numFmtId="0" fontId="23" fillId="0" borderId="0" xfId="0" applyFont="1" applyAlignment="1">
      <alignment horizontal="distributed" vertical="center"/>
    </xf>
    <xf numFmtId="0" fontId="4" fillId="0" borderId="0" xfId="0" applyFont="1" applyAlignment="1">
      <alignment horizontal="distributed" vertical="center"/>
    </xf>
    <xf numFmtId="0" fontId="2" fillId="0" borderId="21" xfId="0" applyFont="1" applyBorder="1" applyAlignment="1">
      <alignment horizontal="center" vertical="center" wrapText="1"/>
    </xf>
    <xf numFmtId="0" fontId="0" fillId="0" borderId="289" xfId="0" applyBorder="1" applyAlignment="1"/>
    <xf numFmtId="0" fontId="0" fillId="0" borderId="290" xfId="0" applyBorder="1" applyAlignment="1"/>
    <xf numFmtId="0" fontId="2" fillId="0" borderId="24" xfId="0" applyFont="1" applyBorder="1" applyAlignment="1">
      <alignment horizontal="center" vertical="center"/>
    </xf>
    <xf numFmtId="0" fontId="0" fillId="0" borderId="15" xfId="0" applyBorder="1" applyAlignment="1"/>
    <xf numFmtId="0" fontId="2" fillId="0" borderId="1" xfId="0" applyFont="1" applyBorder="1" applyAlignment="1">
      <alignment vertical="center" wrapText="1"/>
    </xf>
    <xf numFmtId="0" fontId="0" fillId="0" borderId="287" xfId="0" applyBorder="1" applyAlignment="1"/>
    <xf numFmtId="0" fontId="0" fillId="0" borderId="288" xfId="0" applyBorder="1" applyAlignment="1"/>
    <xf numFmtId="0" fontId="2" fillId="0" borderId="2" xfId="0" applyFont="1" applyBorder="1" applyAlignment="1">
      <alignment horizontal="center" vertical="center" wrapText="1"/>
    </xf>
    <xf numFmtId="0" fontId="2" fillId="0" borderId="6" xfId="0" applyFont="1" applyBorder="1" applyAlignment="1">
      <alignment horizontal="center" vertical="center"/>
    </xf>
    <xf numFmtId="0" fontId="2" fillId="0" borderId="6" xfId="0" applyFont="1" applyBorder="1" applyAlignment="1">
      <alignment horizontal="center" vertical="center" wrapText="1"/>
    </xf>
    <xf numFmtId="0" fontId="2" fillId="0" borderId="5" xfId="0" applyFont="1" applyBorder="1" applyAlignment="1">
      <alignment horizontal="distributed" vertical="center"/>
    </xf>
    <xf numFmtId="0" fontId="2" fillId="0" borderId="12" xfId="0" applyFont="1" applyBorder="1" applyAlignment="1">
      <alignment horizontal="center" vertical="center"/>
    </xf>
    <xf numFmtId="0" fontId="0" fillId="0" borderId="17" xfId="0" applyBorder="1" applyAlignment="1"/>
    <xf numFmtId="0" fontId="31" fillId="0" borderId="5" xfId="0" applyFont="1" applyBorder="1" applyAlignment="1">
      <alignment horizontal="center" vertical="center" wrapText="1"/>
    </xf>
    <xf numFmtId="0" fontId="31" fillId="0" borderId="5" xfId="0" applyFont="1" applyBorder="1" applyAlignment="1">
      <alignment horizontal="left" vertical="center" wrapText="1"/>
    </xf>
    <xf numFmtId="0" fontId="24" fillId="0" borderId="97" xfId="0" applyFont="1" applyBorder="1" applyAlignment="1">
      <alignment horizontal="center" vertical="center" wrapText="1"/>
    </xf>
    <xf numFmtId="0" fontId="24" fillId="0" borderId="5" xfId="0" applyFont="1" applyBorder="1" applyAlignment="1">
      <alignment horizontal="left" vertical="center" wrapText="1"/>
    </xf>
    <xf numFmtId="0" fontId="5" fillId="0" borderId="105" xfId="0" applyFont="1" applyBorder="1" applyAlignment="1">
      <alignment horizontal="left" vertical="center" wrapText="1"/>
    </xf>
    <xf numFmtId="0" fontId="0" fillId="0" borderId="291" xfId="0" applyBorder="1" applyAlignment="1"/>
    <xf numFmtId="0" fontId="34" fillId="0" borderId="5" xfId="0" applyFont="1" applyBorder="1" applyAlignment="1">
      <alignment horizontal="left" vertical="center" wrapText="1"/>
    </xf>
  </cellXfs>
  <cellStyles count="4">
    <cellStyle name="一般" xfId="0" builtinId="0"/>
    <cellStyle name="一般 2" xfId="1" xr:uid="{00000000-0005-0000-0000-000001000000}"/>
    <cellStyle name="一般 3" xfId="3" xr:uid="{00000000-0005-0000-0000-000003000000}"/>
    <cellStyle name="超連結" xfId="2" builtinId="8"/>
  </cellStyles>
  <dxfs count="9">
    <dxf>
      <font>
        <strike val="0"/>
        <condense val="0"/>
        <extend val="0"/>
        <outline val="0"/>
        <shadow val="0"/>
        <vertAlign val="baseline"/>
        <sz val="14"/>
        <color theme="1"/>
        <name val="標楷體"/>
        <family val="4"/>
        <charset val="136"/>
      </font>
      <alignment horizontal="center" vertical="center"/>
      <border>
        <left/>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strike val="0"/>
        <condense val="0"/>
        <extend val="0"/>
        <outline val="0"/>
        <shadow val="0"/>
        <vertAlign val="baseline"/>
        <sz val="14"/>
        <color theme="1"/>
        <name val="標楷體"/>
        <family val="4"/>
        <charset val="136"/>
      </font>
      <alignment horizontal="center" vertical="center"/>
    </dxf>
    <dxf>
      <border outline="0">
        <bottom style="thin">
          <color indexed="64"/>
        </bottom>
      </border>
    </dxf>
    <dxf>
      <font>
        <strike val="0"/>
        <condense val="0"/>
        <extend val="0"/>
        <outline val="0"/>
        <shadow val="0"/>
        <vertAlign val="baseline"/>
        <sz val="14"/>
        <color theme="1"/>
        <name val="標楷體"/>
        <family val="4"/>
        <charset val="136"/>
      </font>
      <fill>
        <patternFill patternType="solid">
          <fgColor indexed="64"/>
          <bgColor theme="9" tint="0.39997558519241921"/>
        </patternFill>
      </fill>
      <alignment horizontal="center" vertical="cent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57150</xdr:colOff>
          <xdr:row>5</xdr:row>
          <xdr:rowOff>28575</xdr:rowOff>
        </xdr:from>
        <xdr:to>
          <xdr:col>5</xdr:col>
          <xdr:colOff>1428750</xdr:colOff>
          <xdr:row>5</xdr:row>
          <xdr:rowOff>314325</xdr:rowOff>
        </xdr:to>
        <xdr:sp macro="" textlink="">
          <xdr:nvSpPr>
            <xdr:cNvPr id="16388" name="Button 4" descr="公共危險"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標楷體"/>
                  <a:ea typeface="標楷體"/>
                </a:rPr>
                <a:t>公共危險</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9525</xdr:rowOff>
        </xdr:from>
        <xdr:to>
          <xdr:col>5</xdr:col>
          <xdr:colOff>1390650</xdr:colOff>
          <xdr:row>6</xdr:row>
          <xdr:rowOff>323850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標楷體"/>
                  <a:ea typeface="標楷體"/>
                </a:rPr>
                <a:t>通緝</a:t>
              </a:r>
            </a:p>
            <a:p>
              <a:pPr algn="ctr" rtl="0">
                <a:defRPr sz="1000"/>
              </a:pPr>
              <a:endParaRPr lang="zh-TW" altLang="en-US" sz="1200" b="0" i="0" u="none" strike="noStrike" baseline="0">
                <a:solidFill>
                  <a:srgbClr val="000000"/>
                </a:solidFill>
                <a:latin typeface="標楷體"/>
                <a:ea typeface="標楷體"/>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3</xdr:row>
          <xdr:rowOff>476250</xdr:rowOff>
        </xdr:from>
        <xdr:to>
          <xdr:col>5</xdr:col>
          <xdr:colOff>1419225</xdr:colOff>
          <xdr:row>4</xdr:row>
          <xdr:rowOff>342900</xdr:rowOff>
        </xdr:to>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標楷體"/>
                  <a:ea typeface="標楷體"/>
                </a:rPr>
                <a:t>空白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104775</xdr:colOff>
          <xdr:row>7</xdr:row>
          <xdr:rowOff>85725</xdr:rowOff>
        </xdr:from>
        <xdr:to>
          <xdr:col>5</xdr:col>
          <xdr:colOff>1343025</xdr:colOff>
          <xdr:row>7</xdr:row>
          <xdr:rowOff>466725</xdr:rowOff>
        </xdr:to>
        <xdr:sp macro="" textlink="">
          <xdr:nvSpPr>
            <xdr:cNvPr id="16415" name="Button 31" hidden="1">
              <a:extLst>
                <a:ext uri="{63B3BB69-23CF-44E3-9099-C40C66FF867C}">
                  <a14:compatExt spid="_x0000_s16415"/>
                </a:ext>
                <a:ext uri="{FF2B5EF4-FFF2-40B4-BE49-F238E27FC236}">
                  <a16:creationId xmlns:a16="http://schemas.microsoft.com/office/drawing/2014/main" id="{00000000-0008-0000-0000-00001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毒品</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515471</xdr:colOff>
      <xdr:row>1</xdr:row>
      <xdr:rowOff>481853</xdr:rowOff>
    </xdr:from>
    <xdr:to>
      <xdr:col>7</xdr:col>
      <xdr:colOff>480177</xdr:colOff>
      <xdr:row>1</xdr:row>
      <xdr:rowOff>3721853</xdr:rowOff>
    </xdr:to>
    <xdr:pic>
      <xdr:nvPicPr>
        <xdr:cNvPr id="3" name="圖片 2">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cstate="print"/>
        <a:stretch>
          <a:fillRect/>
        </a:stretch>
      </xdr:blipFill>
      <xdr:spPr>
        <a:xfrm>
          <a:off x="1636059" y="1120588"/>
          <a:ext cx="2430000" cy="3240000"/>
        </a:xfrm>
        <a:prstGeom prst="rect">
          <a:avLst/>
        </a:prstGeom>
        <a:ln>
          <a:prstDash val="solid"/>
        </a:ln>
      </xdr:spPr>
    </xdr:pic>
    <xdr:clientData/>
  </xdr:twoCellAnchor>
  <xdr:twoCellAnchor editAs="oneCell">
    <xdr:from>
      <xdr:col>3</xdr:col>
      <xdr:colOff>537882</xdr:colOff>
      <xdr:row>4</xdr:row>
      <xdr:rowOff>369794</xdr:rowOff>
    </xdr:from>
    <xdr:to>
      <xdr:col>7</xdr:col>
      <xdr:colOff>503136</xdr:colOff>
      <xdr:row>4</xdr:row>
      <xdr:rowOff>3609794</xdr:rowOff>
    </xdr:to>
    <xdr:pic>
      <xdr:nvPicPr>
        <xdr:cNvPr id="6" name="圖片 5">
          <a:extLst>
            <a:ext uri="{FF2B5EF4-FFF2-40B4-BE49-F238E27FC236}">
              <a16:creationId xmlns:a16="http://schemas.microsoft.com/office/drawing/2014/main" id="{00000000-0008-0000-1A00-000006000000}"/>
            </a:ext>
          </a:extLst>
        </xdr:cNvPr>
        <xdr:cNvPicPr>
          <a:picLocks noChangeAspect="1"/>
        </xdr:cNvPicPr>
      </xdr:nvPicPr>
      <xdr:blipFill>
        <a:blip xmlns:r="http://schemas.openxmlformats.org/officeDocument/2006/relationships" r:embed="rId2" cstate="print"/>
        <a:stretch>
          <a:fillRect/>
        </a:stretch>
      </xdr:blipFill>
      <xdr:spPr>
        <a:xfrm>
          <a:off x="1658470" y="5636559"/>
          <a:ext cx="2430548" cy="3240000"/>
        </a:xfrm>
        <a:prstGeom prst="rect">
          <a:avLst/>
        </a:prstGeom>
        <a:ln>
          <a:prstDash val="solid"/>
        </a:ln>
      </xdr:spPr>
    </xdr:pic>
    <xdr:clientData/>
  </xdr:twoCellAnchor>
  <xdr:twoCellAnchor editAs="oneCell">
    <xdr:from>
      <xdr:col>13</xdr:col>
      <xdr:colOff>291354</xdr:colOff>
      <xdr:row>1</xdr:row>
      <xdr:rowOff>324971</xdr:rowOff>
    </xdr:from>
    <xdr:to>
      <xdr:col>20</xdr:col>
      <xdr:colOff>262497</xdr:colOff>
      <xdr:row>1</xdr:row>
      <xdr:rowOff>3564971</xdr:rowOff>
    </xdr:to>
    <xdr:pic>
      <xdr:nvPicPr>
        <xdr:cNvPr id="8" name="圖片 7">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3" cstate="print"/>
        <a:stretch>
          <a:fillRect/>
        </a:stretch>
      </xdr:blipFill>
      <xdr:spPr>
        <a:xfrm>
          <a:off x="7104530" y="963706"/>
          <a:ext cx="4319026" cy="3240000"/>
        </a:xfrm>
        <a:prstGeom prst="rect">
          <a:avLst/>
        </a:prstGeom>
        <a:ln>
          <a:prstDash val="soli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26085;&#24120;&#29992;\&#12304;&#19977;&#24373;&#26696;&#20214;&#12305;\1130326&#31434;&#30428;\&#26032;&#22871;&#349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輸入"/>
      <sheetName val="word用"/>
      <sheetName val="下拉用"/>
      <sheetName val=""/>
      <sheetName val="權利"/>
      <sheetName val="夜訊"/>
      <sheetName val="呈報單"/>
      <sheetName val="發傳喚通知"/>
      <sheetName val="封面"/>
      <sheetName val="贓物認領"/>
      <sheetName val="監視檢核表"/>
      <sheetName val="詐欺用檢核表"/>
      <sheetName val="行政陳報單"/>
      <sheetName val="調閱電信"/>
      <sheetName val="調閱監視器(所)"/>
      <sheetName val="入出所"/>
      <sheetName val="本人"/>
      <sheetName val="親友"/>
      <sheetName val="提審新"/>
      <sheetName val="線上立破通報單"/>
      <sheetName val="酒測單"/>
      <sheetName val="委託書"/>
      <sheetName val="酒扣領據"/>
      <sheetName val="呈報單 (多人)"/>
      <sheetName val="銷毀同意書"/>
      <sheetName val="鑑驗書"/>
      <sheetName val="檢體監管紀錄表"/>
      <sheetName val="自願受採尿同意書"/>
      <sheetName val="毒品相片紀錄"/>
      <sheetName val="案件管制表"/>
      <sheetName val="12歲"/>
      <sheetName val="3.4級毒品通報單"/>
      <sheetName val="法扶"/>
      <sheetName val="外勞"/>
      <sheetName val="捨棄聲明"/>
      <sheetName val="捨棄抗告"/>
      <sheetName val="救護資料申請書"/>
      <sheetName val="附件"/>
      <sheetName val="酒測相片紀錄"/>
      <sheetName val="送達新"/>
      <sheetName val="送達"/>
      <sheetName val="手機"/>
      <sheetName val="送驗記錄"/>
      <sheetName val="少年關懷"/>
      <sheetName val="電訪"/>
      <sheetName val="通聯紀錄表"/>
      <sheetName val="相片用"/>
    </sheetNames>
    <sheetDataSet>
      <sheetData sheetId="0"/>
      <sheetData sheetId="1"/>
      <sheetData sheetId="2">
        <row r="1">
          <cell r="A1" t="str">
            <v>通用</v>
          </cell>
          <cell r="B1" t="str">
            <v>涉嫌人通用</v>
          </cell>
          <cell r="C1" t="str">
            <v>被害人通用</v>
          </cell>
          <cell r="D1" t="str">
            <v>證人通用</v>
          </cell>
          <cell r="E1" t="str">
            <v>過失傷害</v>
          </cell>
          <cell r="F1" t="str">
            <v>傷害</v>
          </cell>
          <cell r="G1" t="str">
            <v>竊盜</v>
          </cell>
          <cell r="H1" t="str">
            <v>侵占</v>
          </cell>
          <cell r="I1" t="str">
            <v>毀損</v>
          </cell>
          <cell r="J1" t="str">
            <v>妨害電腦使用</v>
          </cell>
          <cell r="K1" t="str">
            <v>妨害名譽</v>
          </cell>
          <cell r="L1" t="str">
            <v>恐嚇</v>
          </cell>
          <cell r="M1" t="str">
            <v>撤回告訴</v>
          </cell>
          <cell r="N1" t="str">
            <v>性騷擾防治法</v>
          </cell>
          <cell r="O1" t="str">
            <v>公共危險</v>
          </cell>
          <cell r="P1" t="str">
            <v>通緝</v>
          </cell>
          <cell r="Q1" t="str">
            <v>毒品危害防制條例</v>
          </cell>
          <cell r="R1" t="str">
            <v>性騷擾</v>
          </cell>
          <cell r="S1" t="str">
            <v>逃逸外勞</v>
          </cell>
          <cell r="T1" t="str">
            <v>刑事相驗</v>
          </cell>
        </row>
        <row r="2">
          <cell r="A2" t="str">
            <v>你向警方表示你係為美國人士，請問你的中文聽、說、讀、寫能力如何？</v>
          </cell>
          <cell r="B2" t="str">
            <v>警方所告知之罪名及權利你是否清楚?你有無刑案紀錄？</v>
          </cell>
          <cell r="C2" t="str">
            <v>你今(26)日因何事接受警方製作筆錄？</v>
          </cell>
          <cell r="D2" t="str">
            <v>你與被害人為何種關係？如何認識？</v>
          </cell>
          <cell r="E2" t="str">
            <v>你於何時、何地與何人發生車禍？如何發生車禍(雙方所駕駛之車輛當時狀態？行進方向？當時發現對方車輛時雙方相距約幾公尺？採取何種反應措施？發生碰撞前時速約達每小時幾公里？發生碰撞前、時速度為何？交通號誌為何？)？</v>
          </cell>
          <cell r="F2" t="str">
            <v>你於何時、何地如何遭人傷害？因何事與對方起爭執？他為何要傷害你？請詳述案發經過。</v>
          </cell>
          <cell r="G2" t="str">
            <v>你於何時、何地如何發現你的物品遭人竊取？如何竊取？過程為何？請詳述之。</v>
          </cell>
          <cell r="H2" t="str">
            <v>妳是於何時、何地，遭何人侵占？請問你為何將該物放置於此？該人是如何侵占你的物品？請詳述之。</v>
          </cell>
          <cell r="I2" t="str">
            <v>你是何時、何地、以何方式，發現你的物品遭毀損？請詳述之。</v>
          </cell>
          <cell r="J2" t="str">
            <v>你居住地址為何？你的公司是？你公司的位置為何？電子郵件為何？</v>
          </cell>
          <cell r="K2" t="str">
            <v>你於何時、何地、如何遭人妨害名譽？請詳述案發經過。</v>
          </cell>
          <cell r="L2" t="str">
            <v>你於何時？何地？遭何人恐嚇？</v>
          </cell>
          <cell r="M2" t="str">
            <v>你於113年03月26日第一次警詢筆錄的陳述是否實在?</v>
          </cell>
          <cell r="N2" t="str">
            <v>代號楊妍煦號真實姓名對照表(彌封)之年籍資料是否正確？是否是你本人？</v>
          </cell>
          <cell r="O2" t="str">
            <v>本所警方於113年04月02日23時23分許巡經臺北市信義區松壽路24號時，見你駕駛1(車號:2於臺北市信義區松壽路24號前結報，故警方向前盤查，攔停過程中發現你散發濃厚之酒味，於經你同意實施酒精測試，經由你本人親自吹試之酒精濃度值酒測值為0.38MG/L，是否屬實? 你對於該結果有無任何疑義？</v>
          </cell>
          <cell r="P2" t="str">
            <v>本所警員於巡邏勤務中，於上述時、地發現該女子行跡可疑，上前盤查，發現為0.38，通緝日期：113年03月09日，所發布之通緝犯，姓名：楊妍煦（女性、0、A226168126)，通緝文號：安非他命，通緝案號：30；案由：竊盜，是否為你本人？</v>
          </cell>
          <cell r="Q2" t="str">
            <v>你是否為未滿12歲兒童之父母、監護人或其他實際照顧兒童之人？</v>
          </cell>
          <cell r="R2" t="str">
            <v>你今(02)日因被害人(代號楊妍煦)對你提出性騷擾告訴，故請你到本所製作警詢筆錄，是否正確？</v>
          </cell>
          <cell r="S2" t="str">
            <v>你是何時、何地逃逸？因何事逃逸？</v>
          </cell>
          <cell r="T2" t="str">
            <v>你上述年籍資料是否正確？是否為你本人？有無攜帶身分證明文件?</v>
          </cell>
        </row>
        <row r="3">
          <cell r="A3" t="str">
            <v>你上述年籍資料是否正確？是否為你本人？有無攜帶身分證明文件?</v>
          </cell>
          <cell r="B3" t="str">
            <v>請問妳是否具有低收入戶、中低收入戶、原住民或其他依法令得請求法律扶助者的身分？妳是否需要通知親屬或委任律師陪同到場？</v>
          </cell>
          <cell r="C3" t="str">
            <v>是否知悉該犯嫌的長相？穿著特徵？</v>
          </cell>
          <cell r="D3" t="str">
            <v>當被害人遭竊盜時，你是否在場？請說明事情過程？</v>
          </cell>
          <cell r="E3" t="str">
            <v>當時的天氣如何?視野如何視線是否有遭遮蔽?標誌標線是否清楚？</v>
          </cell>
          <cell r="F3" t="str">
            <v>你有無打（反擊）該名？是否有造成對方受傷？</v>
          </cell>
          <cell r="G3" t="str">
            <v>承上述，你遭竊取的財物為何？數量為何？價值多少？</v>
          </cell>
          <cell r="H3" t="str">
            <v>你遭侵占的物品特徵、價值、數量為何？</v>
          </cell>
          <cell r="I3" t="str">
            <v>妳遭毀損何物？價值為何？你為何會認為你遭染色之衣物是遭故意毀棄、損壞或致令不堪用？</v>
          </cell>
          <cell r="J3" t="str">
            <v>於何時？在何地？如何發現？你公司的電子郵件帳戶遭到冒用？</v>
          </cell>
          <cell r="K3" t="str">
            <v>請問他對你的侮辱(沒有敘述具體的事實，單純的謾罵、侮辱的行為、文字或圖片)是否有故意貶低你的人格、名譽、尊嚴？其行為為何？</v>
          </cell>
          <cell r="L3" t="str">
            <v>對方以何種方式對你恐嚇？</v>
          </cell>
          <cell r="M3" t="str">
            <v>你當時所報案之案號為Z113039AWBQ1QNU是否正確？</v>
          </cell>
          <cell r="N3" t="str">
            <v>現在是113年03月26日16時30分，代號楊妍煦是否願意製作筆錄？現在精神狀況如何？是否需要家屬或社工到場陪同？</v>
          </cell>
          <cell r="O3" t="str">
            <v>警方是否有在對你實施酒測酒精測試前，是否有提供呼氣酒精測試檢定合格證書（檢定合格單號碼：、酒測器編號：）供你檢視？之後對你告知拒測的相關事項？是否有讓你簽名？</v>
          </cell>
          <cell r="P3" t="str">
            <v>你目前居於何處？是否有收到法院或地方檢察署通知傳票？為何未出庭？</v>
          </cell>
          <cell r="Q3" t="str">
            <v>未滿12歲之兒童現在是否有人照顧？未滿12歲兒童之現居地？由何人照顧？照顧人聯絡資料？是否有獲得適當之照顧？</v>
          </cell>
          <cell r="R3" t="str">
            <v>經警方提示之監視器畫面，該圓圈內之男子是否為你本人？</v>
          </cell>
          <cell r="S3" t="str">
            <v>你逃逸期間有無打工？在何處打工？居住何處？</v>
          </cell>
          <cell r="T3" t="str">
            <v>你今(02)日因何事接受警方製作筆錄？</v>
          </cell>
        </row>
        <row r="4">
          <cell r="A4" t="str">
            <v>是否知道對方年籍資料、聯絡方式？與對方是否認識？有無仇恨或糾紛？</v>
          </cell>
          <cell r="B4" t="str">
            <v>依據提審法第1條之規定，人民被法院以外之任何機關逮捕、拘禁時，其本人或他人得向逮捕、拘禁地之地方法院聲請提審。但其他法律規定得聲請及時由法院審查者，依其規定。前項聲請及第10條之抗告，免徵費用，你是否清楚此規定？是否需要聲請提審？</v>
          </cell>
          <cell r="C4" t="str">
            <v>警方提供指認犯罪嫌疑人紀錄，編號一至六號中，何者為竊盜的犯嫌？(犯嫌可能不在指認表中)</v>
          </cell>
          <cell r="D4" t="str">
            <v>你今(26)日因何事接受警方製作筆錄？</v>
          </cell>
          <cell r="E4" t="str">
            <v>發生擦撞之撞擊部位為何？車輀受損狀況？是否有估價單？</v>
          </cell>
          <cell r="F4" t="str">
            <v>用何種器具傷害你身體何處？使你何處受傷，傷勢如何？在哪家醫院診斷？是否能提出診斷證明書？</v>
          </cell>
          <cell r="G4" t="str">
            <v>你的財物遭竊取當時你是否在場？財物放置處是否有上鎖？是否有人看管？</v>
          </cell>
          <cell r="H4" t="str">
            <v>你否知道誰取走你的物品與侵占你物品之人的裝扮、特徵？</v>
          </cell>
          <cell r="I4" t="str">
            <v>該遭毀損之物為何人所有？在何處遭到毀損？以何方式遭到毀損？毀損程度如何？除對你住所（或所有物）毀損外，有無其他侵害行為？</v>
          </cell>
          <cell r="J4" t="str">
            <v>你使用電子郵件交易的客戶是？</v>
          </cell>
          <cell r="K4" t="str">
            <v>請問他是否在公然的場所侮辱你？第三人是否可以聽得見、看得見、知情？是否有散布於眾？散布於何處？</v>
          </cell>
          <cell r="L4" t="str">
            <v>對方以何種文字及言詞對你恐嚇？</v>
          </cell>
          <cell r="M4" t="str">
            <v>警方於113年04月02日23時23分在約談涉嫌人來所說明案情,筆錄期間涉嫌人主動交付贓證物,是否為妳遭竊盜之物品？</v>
          </cell>
          <cell r="N4" t="str">
            <v>你現在於何處工作？公司設立地址為何？你就職時間為何？有無勞保？家庭狀況如何？有無前科？</v>
          </cell>
          <cell r="O4" t="str">
            <v>你飲酒結束至警方將你攔停時間是否已經超過15分鐘以上？警方於現場施測前有無提供礦泉水讓你漱口或飲用？</v>
          </cell>
          <cell r="P4" t="str">
            <v>通緝期間你目前經濟來源為何？有無他人幫你藏匿，及再犯其他刑案？</v>
          </cell>
          <cell r="Q4" t="str">
            <v>毒品危害防制條例第十七條第一項規定：「犯第四條至第八條、第十條或第十一條之罪，供出毒品來源，因而查獲其他正犯或共犯者，減輕或免除其刑」；第二項規定：「犯第四條至第八條之罪於偵查及審判中均自白者，減輕其刑」你是否清楚？</v>
          </cell>
          <cell r="R4" t="str">
            <v>據被害人(代號楊妍煦)筆錄所述，於113年03月22日23時10分許於臺北市信義區松壽路24號，遭你以徒手方式觸碰其胸部，指認你為性騷擾其之犯嫌，你做何解釋？</v>
          </cell>
          <cell r="S4" t="str">
            <v>你逃逸期間經濟來源為何？</v>
          </cell>
          <cell r="T4" t="str">
            <v>你於何時、何地、如何發現張煜杰狀況？過程為何？請詳述之。</v>
          </cell>
        </row>
        <row r="5">
          <cell r="A5" t="str">
            <v>上述所說是否實在？有無其他意見補充？</v>
          </cell>
          <cell r="B5" t="str">
            <v>現在時間113年04月02日時分許，依刑事訴訟法為夜間偵訊時間，你是否同意接受製作夜間警詢筆錄？目前精神狀況是否良好？意識是否清醒？</v>
          </cell>
          <cell r="C5" t="str">
            <v>你是否知悉謊報刑案與使公務員登載不實須負相關責任?</v>
          </cell>
          <cell r="D5" t="str">
            <v>妳與涉嫌人是否認識？何種關係？有無任何仇恨、糾紛？</v>
          </cell>
          <cell r="E5" t="str">
            <v>當時為何人駕駛？車號車種為何？你車上共乘幾人？對方駕駛為何人？車號車種為何？對方車上共乘幾人？</v>
          </cell>
          <cell r="F5" t="str">
            <v>有無其他物品遭毀損？</v>
          </cell>
          <cell r="G5" t="str">
            <v>承上述，你是否有上鎖？該竊嫌是否有使用工具破壞你的你的保管箱？</v>
          </cell>
          <cell r="H5" t="str">
            <v>你是否清楚侵占你物品的人使用何交通工具？往何處逃逸？</v>
          </cell>
          <cell r="I5" t="str">
            <v>該名犯嫌是以何種方式毀損你之財物？有無使用工具？何種工具？逃逸時，有無使用交通工具？</v>
          </cell>
          <cell r="J5" t="str">
            <v>你們本次的交易內容是？你是否知道他們的交易商品為何？金額為何？</v>
          </cell>
          <cell r="K5" t="str">
            <v>你是否如何知悉他所罵是你？</v>
          </cell>
          <cell r="L5" t="str">
            <v>看到對方傳送的文字及照片與言詞你有何感受？</v>
          </cell>
          <cell r="M5" t="str">
            <v>警方於113年04月02日23時23分在/N-IADDR發現贓證物，是否為妳遭竊之物品？</v>
          </cell>
          <cell r="N5" t="str">
            <v>案件發生時，是否為你工作時間？問你當時穿著服裝特徵為何？</v>
          </cell>
          <cell r="O5" t="str">
            <v>警方對你實施酒測酒精測定值0.38mg/l,酒測單案號號、酒測器編號,是否為你本人親自簽名的？是否為你本人親自吹測無誤？</v>
          </cell>
          <cell r="P5" t="str">
            <v>你於發布通緝日之後，有無再犯其他案件？</v>
          </cell>
          <cell r="Q5" t="str">
            <v>你是否知道如主動供出毒品之上游來源，使警方因而破獲者，依法可獲得減刑？</v>
          </cell>
          <cell r="R5" t="str">
            <v>你於碰觸到被害人(代號楊妍煦)前喝了多少酒？</v>
          </cell>
          <cell r="S5" t="str">
            <v>你是逃逸外勞依法須遣送離台有無意見？</v>
          </cell>
          <cell r="T5" t="str">
            <v>經該男子送台北馬偕醫院，經醫生於113年1月10日8時30分宣告不治死亡，你是否為真?</v>
          </cell>
        </row>
        <row r="6">
          <cell r="A6" t="str">
            <v>現任何職？是否有公司授權委託書？</v>
          </cell>
          <cell r="B6" t="str">
            <v>現在時間113年04月02日時分許，依刑事訴訟法為夜間偵訊時間，警方不得對你詢問製作筆錄，你是否知悉？</v>
          </cell>
          <cell r="C6" t="str">
            <v>現場有無監視器或有無其他目擊者或證人？時間有無誤差？有無聯絡方式？</v>
          </cell>
          <cell r="D6" t="str">
            <v>你是否知悉使公務員登載不實須負相關責任?</v>
          </cell>
          <cell r="E6" t="str">
            <v>車禍當時有無向警方報案？警方有無到場處理？對方是否有留在現場或逃逸？現場是否有移動？有無拍照或標繪？</v>
          </cell>
          <cell r="F6" t="str">
            <v>你還記得傷害你的那個男子的特徵、外貌？</v>
          </cell>
          <cell r="G6" t="str">
            <v>該竊嫌竊取物品時的裝扮、特徵？</v>
          </cell>
          <cell r="I6" t="str">
            <v>妳是否認識上述毀損妳物品的犯嫌？有無糾紛或仇恨？</v>
          </cell>
          <cell r="J6" t="str">
            <v>你為何會幫同崴股份有限公司進行交易？同崴股份有限公司的詳細資料是？你與同崴股份有限公司共進行過幾次交易？</v>
          </cell>
          <cell r="K6" t="str">
            <v>他是否有對你使用強制力（強暴手段）做出妨害名譽的行為？</v>
          </cell>
          <cell r="L6" t="str">
            <v>有無證據可提供員警偵辦？</v>
          </cell>
          <cell r="M6" t="str">
            <v>贓物認領保管單是否為妳本人確認無誤後親自簽名?</v>
          </cell>
          <cell r="N6" t="str">
            <v>你於何時、何地遭何人性騷擾，請詳述過程？</v>
          </cell>
          <cell r="O6" t="str">
            <v>因你觸犯刑法公共危險案，警方依法對你代保管車輛，1(2)，該告發單,及移置車輛保管單號是否都有交給你？</v>
          </cell>
          <cell r="Q6" t="str">
            <v>你於何時？何地？因何事為警方查獲？現場尚有何人？</v>
          </cell>
          <cell r="R6" t="str">
            <v>你使用何種方式對被害人(代號楊妍煦)實施性騷擾之行為？性騷擾何部位？性騷擾幾次？</v>
          </cell>
          <cell r="S6" t="str">
            <v>你目前身上有多少現金？你的護照目前在何處?</v>
          </cell>
          <cell r="T6" t="str">
            <v>現場是否留有凶器或打鬥之痕跡？死者身上及現場周遭是否有外傷等明顯非自然痕跡（身上勒痕、環境鞋痕、車痕等）？有無遭翻動財物痕跡？現場是否有監視器？</v>
          </cell>
        </row>
        <row r="7">
          <cell r="A7" t="str">
            <v>你於113年03月26日第一次警詢筆錄的陳述是否實在?</v>
          </cell>
          <cell r="B7" t="str">
            <v>妳今(02)日因何事接受警方製作筆錄？</v>
          </cell>
          <cell r="C7" t="str">
            <v>你是否知悉依刑訴法第237條告訴期為六個月？是否曾經提告此案過？或是否曾經撤回告訴過？</v>
          </cell>
          <cell r="D7" t="str">
            <v>你有無為自己或他人推卸刑責而向警方為不實陳述?</v>
          </cell>
          <cell r="E7" t="str">
            <v>車禍當時有無人員受傷？受傷情形為何？當時有沒有叫救護車？有無前往醫院就醫並開立診斷證明？</v>
          </cell>
          <cell r="G7" t="str">
            <v>該竊嫌有無使用交通工具？使用交通工具後，往何處逃逸？</v>
          </cell>
          <cell r="J7" t="str">
            <v>你與你的海峽國際私人有限公司共使用電子郵件進行了幾次交易？</v>
          </cell>
          <cell r="K7" t="str">
            <v>請問他是否故意去散播會損害你的名譽的評價真偽具體事件或事實，而不只是單純的辱罵而已？使用何種方式(敘述、文字、圖像)？其內容為何？</v>
          </cell>
          <cell r="M7" t="str">
            <v>為何你要撤回告訴？請詳述原因。撤回告訴狀與和解書是否由你親自填寫？是否能提供給警方？</v>
          </cell>
          <cell r="N7" t="str">
            <v>你遭受性騷擾時當時心裡感受如何？</v>
          </cell>
          <cell r="O7" t="str">
            <v>你於何時、何地與何人一同喝酒？是飲用何種酒？共喝多少？你於何時結束飲酒？飲酒後騎乘何駕駛工具？車號？該車主為何人？</v>
          </cell>
          <cell r="Q7" t="str">
            <v>你當場為警方查獲何物？係何人所有？有何用途？</v>
          </cell>
          <cell r="R7" t="str">
            <v>承上，你性騷擾被害人(代號楊妍煦)的意圖為何？</v>
          </cell>
          <cell r="S7" t="str">
            <v>你是否可以備妥金錢、機票及護照？警方將把你移交內政部移民署遣返回國，是否清楚？</v>
          </cell>
          <cell r="T7" t="str">
            <v>你與張煜杰是什麼關係？張煜杰之年籍資料、聯絡方式為何？張煜杰有無使用交通工具？使用何交通工具？你瞭解張煜杰生活狀況如何？最近生活有無異常？交友狀況如何？有無與人糾紛或結怨？你瞭解張煜杰家庭狀況如何？</v>
          </cell>
        </row>
        <row r="8">
          <cell r="B8" t="str">
            <v>你是否知悉於警詢筆錄中做不實陳述須負法律責任?</v>
          </cell>
          <cell r="C8" t="str">
            <v>你是否要提出告訴？提出何種告訴？是否附帶民事求償？</v>
          </cell>
          <cell r="D8" t="str">
            <v>請問你是否現為或曾為犯罪嫌疑人之配偶、直系血親、三親等內之旁系血親、二親等內之姻親或家長、家屬者？</v>
          </cell>
          <cell r="E8" t="str">
            <v>有無開立交通事故登記聯單？有無核發交通事故初步分析研判表？肇事原因為何？有無申請鑑定？</v>
          </cell>
          <cell r="J8" t="str">
            <v>你公司的電子郵件遭冒用的帳號是？</v>
          </cell>
          <cell r="K8" t="str">
            <v>他所使你損害名譽是否出於自衛、自辯或保護合法之利益或可受公評之事，而為適當之評論？</v>
          </cell>
          <cell r="M8" t="str">
            <v>依刑事訴訟法第 238 條 告訴乃論之罪，告訴人於第一審辯論終結前，得撤回其告訴。撤回告訴之人，不得再為同一件事提出告訴。你是否確定要撤回告訴？</v>
          </cell>
          <cell r="N8" t="str">
            <v>加害人如何對你性騷擾？其方式？撫摸何部位？次數？</v>
          </cell>
          <cell r="O8" t="str">
            <v>你從何時、何地開始駕駛1(2)？行駛的距離？欲前往何處？</v>
          </cell>
          <cell r="Q8" t="str">
            <v>你以何方式施用毒品安非他命？有無以扣案之物品作為施用之器具？多久施用1次？數量為何？</v>
          </cell>
          <cell r="R8" t="str">
            <v>你對被害人(代號楊妍煦)之性騷擾的行為是否經過他本人意識同意？如何表示同意？</v>
          </cell>
          <cell r="S8" t="str">
            <v>依就業服務法第60條規定，若查無非法容留、聘僱或媒介外國
人從事工作者及遣送事由可歸責之雇主者，其收容費用應由被
遣送之外國人負擔，你是否清楚？</v>
          </cell>
          <cell r="T8" t="str">
            <v>是否知悉張煜杰有無投保保險？張煜杰經濟來源為何？有無工作？</v>
          </cell>
        </row>
        <row r="9">
          <cell r="B9" t="str">
            <v>你有無為自己或他人推卸刑責而向警方為不實陳述？</v>
          </cell>
          <cell r="C9" t="str">
            <v>你是否知悉，依刑訴法第238條，若欲撤回告訴，應於第一審辯論終結前為之，且不得再次提告？</v>
          </cell>
          <cell r="D9" t="str">
            <v>請問你是否與犯罪嫌疑人訂有婚約者？</v>
          </cell>
          <cell r="E9" t="str">
            <v>你車禍發生時有無服用酒類或其他含有酒精成分之飲品或食品？有無實施酒精濃度測試？</v>
          </cell>
          <cell r="J9" t="str">
            <v>你是否清楚共有幾人，接收到假冒你公司的名義所發出之電子郵件詐騙訊息？相關資料為何？</v>
          </cell>
          <cell r="K9" t="str">
            <v>他所使你損害名譽是否能證明其為真實？</v>
          </cell>
          <cell r="N9" t="str">
            <v>你遭受性騷擾時有無遭受脅迫或任何使自身不能抵抗之情事？</v>
          </cell>
          <cell r="O9" t="str">
            <v>你於108年7月1日酒駕新法上路後是否有因酒後駕車遭警方查獲？</v>
          </cell>
          <cell r="Q9" t="str">
            <v>你(於前案後)於何時、何地施用毒品安非他命？</v>
          </cell>
          <cell r="R9" t="str">
            <v>你對被害人(代號楊妍煦)之性騷擾的行為被害人有無抗拒？如何抗拒？</v>
          </cell>
          <cell r="S9" t="str">
            <v>遭警方逮捕時有無受傷？逃逸期間有無遭人虐待？</v>
          </cell>
          <cell r="T9" t="str">
            <v>張煜杰身體健康狀況如何？有無疾病纏身？有無生前就醫紀錄？</v>
          </cell>
        </row>
        <row r="10">
          <cell r="B10" t="str">
            <v>警方製作警詢筆錄時，有無全程錄音錄影？</v>
          </cell>
          <cell r="C10" t="str">
            <v>如警方通知涉嫌人後，你是否同意與對方和解？</v>
          </cell>
          <cell r="D10" t="str">
            <v>請問你是否現為或曾為犯罪嫌疑人之法定代理人或現由或曾由犯罪嫌疑人為其法定代理人者？</v>
          </cell>
          <cell r="E10" t="str">
            <v>你當下行駛過程中是否有在車上使用行動電話或其他足以造成行車安全之行為?對方是否有使用？</v>
          </cell>
          <cell r="J10" t="str">
            <v>你公司的電子郵件，使用平台為何？有無裝設防毒軟體？你公司是否有資管相關設備？</v>
          </cell>
          <cell r="K10" t="str">
            <v>你是否要請求依民法第18條或民法第184、195條的損害賠償或回復名譽？</v>
          </cell>
          <cell r="N10" t="str">
            <v>你遭受性騷擾時有無反抗或制止？如何反抗或制止？對方有何反應？</v>
          </cell>
          <cell r="O10" t="str">
            <v>店家是否有告知酒後不能駕車，或是提供勿酒後駕車之標語，標示?請問你為何會有酒後駕車的行為？</v>
          </cell>
          <cell r="Q10" t="str">
            <v>你所施用之毒品安非他命係於何時、何地、向何人取得？價格、數量為何？</v>
          </cell>
          <cell r="T10" t="str">
            <v>張煜杰曾有無表示想輕生念頭？有無留下遺書？現場是否留有遺書？</v>
          </cell>
        </row>
        <row r="11">
          <cell r="B11" t="str">
            <v>警方於偵訊時你所陳述之事實是否為你自由意識下所陳述？警方有無以強暴脅迫等不正方法對你取供？警方在逮捕你時，有無使你受傷？</v>
          </cell>
          <cell r="E11" t="str">
            <v>你是否有裝設行車紀錄器?是否知悉對方有無裝設?你是否清楚案發地有無監視器的設置?</v>
          </cell>
          <cell r="J11" t="str">
            <v>你公司的電子郵件帳號是否有借予他人使用過？是否有其他人知道你公司的電子郵件帳號及密碼？</v>
          </cell>
          <cell r="N11" t="str">
            <v>加害人當時穿著服裝特徵為何？你是否認識加害人？與加害人為何種關係？是否知悉加害人的人之年籍資料、聯絡方式？是否知悉加害人所屬機關(公司)為何？擔任何職位？</v>
          </cell>
          <cell r="O11" t="str">
            <v>你酒後駕車期間是否有與人發生交通事故？</v>
          </cell>
          <cell r="Q11" t="str">
            <v>你最後一次施用毒品係於何時、何地、如何施用？</v>
          </cell>
          <cell r="T11" t="str">
            <v>張煜杰大體目前放置於何處？</v>
          </cell>
        </row>
        <row r="12">
          <cell r="B12" t="str">
            <v>警方於偵訊時你所陳述之事實是否為你自由意識下所陳述？警方有無以強暴脅迫等不正方法對你取供？</v>
          </cell>
          <cell r="E12" t="str">
            <v>事後你與對方有無商談相關賠償事宜?是否有達成和解？</v>
          </cell>
          <cell r="J12" t="str">
            <v>你是否清楚是何人冒用你的名義？你是否清楚犯嫌是如何得知你與你的客戶使用電子郵件進行交易的？你是否清楚犯嫌是如何得知你公司的電子郵件帳戶的？你都在何處使用電腦上網並使用電子郵件的？</v>
          </cell>
          <cell r="N12" t="str">
            <v>你被性騷擾時有無其他證人在場？是否認識？</v>
          </cell>
          <cell r="O12" t="str">
            <v>警方於查獲你時，妳車上是否有附載未滿12歲之人或其他乘客？</v>
          </cell>
          <cell r="Q12" t="str">
            <v>你使用之電話號碼？其申登人為何？開機密碼？鎖屏密碼？</v>
          </cell>
          <cell r="T12" t="str">
            <v>你對於張煜杰之死亡有無任何意見？</v>
          </cell>
        </row>
        <row r="13">
          <cell r="E13" t="str">
            <v>你有無向調解委員會聲請調解程序？調解情形為何？</v>
          </cell>
          <cell r="J13" t="str">
            <v>該犯嫌共假冒你公司的電子郵件帳號幾次？於何時開始假冒你公司的名義？ 到目前為止，是否有因為你公司的電子郵件帳戶遭犯嫌冒用， 而發生任何財物損失？</v>
          </cell>
          <cell r="N13" t="str">
            <v>請問妳是否知悉發生處所附近是否有監視器可供調閱或能提供警方其他資料或線索？</v>
          </cell>
          <cell r="O13" t="str">
            <v>你身體有無任何不適之症狀?如發燒?你於駕車前是否有使用酒精成分物（食）品（如蜂膠、感冒糖漿、漱口水）等物？</v>
          </cell>
          <cell r="Q13" t="str">
            <v>你近日是否有服用其他藥品？</v>
          </cell>
          <cell r="T13" t="str">
            <v>上述所說是否實在？有無其他意見補充？</v>
          </cell>
        </row>
        <row r="14">
          <cell r="E14" t="str">
            <v>你能提供何種資料(事故聯單、初判表、車鑑表、驗傷單)供警方後續偵辦使用?</v>
          </cell>
          <cell r="J14" t="str">
            <v>針對本案，你是否有向交易的對象表示，你的電子郵件遭不明犯嫌冒用？</v>
          </cell>
          <cell r="N14" t="str">
            <v>本事件你是否要提出性騷擾申訴？(如為執行職務中，係屬性別工作平等法範疇，所申訴對象係雇主而非行為人)</v>
          </cell>
          <cell r="O14" t="str">
            <v>你是如何與對方發生車禍？對方車牌為何</v>
          </cell>
          <cell r="Q14" t="str">
            <v>你有無因施用毒品經緩起訴處分、觀察勒戒或強制戒治？</v>
          </cell>
        </row>
        <row r="15">
          <cell r="N15" t="str">
            <v>性騷擾第25條之性騷擾行為為告訴乃論罪，你是否要提出告訴？</v>
          </cell>
          <cell r="O15" t="str">
            <v>你當時行駛之車道為何？車速為何？行經上述肇事路口時路口號誌為何？</v>
          </cell>
          <cell r="Q15" t="str">
            <v>你是否仍在緩起訴期間？(如答是，請續問在哪個地檢署?哪個醫療院所?)</v>
          </cell>
        </row>
        <row r="16">
          <cell r="O16" t="str">
            <v>你是否知悉你碰撞自小客貨6N-5698車體何處？</v>
          </cell>
          <cell r="Q16" t="str">
            <v>你是否知道各地方政府毒品危害防制中心有連結社政、衛政、醫療等資源，為藥癮者本人或家屬提供諮詢服務，包含戒癮治療、愛滋病篩檢、心理輔導、醫療諮詢、社會扶助、職業訓練及就業協助等？</v>
          </cell>
        </row>
        <row r="17">
          <cell r="O17" t="str">
            <v>你是否知悉你酒後駕車肇事後有無造成任何人受傷？</v>
          </cell>
          <cell r="Q17" t="str">
            <v>上述政府機關提供的各項服務方案，是為了協助藥癮者及早接受戒癮治療及回復社會生活，請問你是否有意願接受轉介，並由你本人自行前往毒品危害防制中心接受協助？（警方僅會協助將你的資料轉介給毒品危害防制中心進行評估及提供服務，不會派員陪你前往該處）</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格1" displayName="表格1" ref="B16:B26" totalsRowShown="0" headerRowDxfId="4" dataDxfId="2" headerRowBorderDxfId="3" tableBorderDxfId="1">
  <autoFilter ref="B16:B26" xr:uid="{00000000-0009-0000-0100-000001000000}"/>
  <tableColumns count="1">
    <tableColumn id="1" xr3:uid="{00000000-0010-0000-0000-000001000000}" name="姓名" dataDxfId="0"/>
  </tableColumns>
  <tableStyleInfo name="TableStyleLight16" showFirstColumn="0" showLastColumn="0" showRowStripes="1" showColumnStripes="0"/>
</table>
</file>

<file path=xl/theme/theme1.xml><?xml version="1.0" encoding="utf-8"?>
<a:theme xmlns:a="http://schemas.openxmlformats.org/drawingml/2006/main" name="Office 2013 - 2022 主題">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32.bin"/><Relationship Id="rId1" Type="http://schemas.openxmlformats.org/officeDocument/2006/relationships/hyperlink" Target="http://enc.moe.edu.tw/UploadFile/eBook/20160819134838052559/index.html"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AN42"/>
  <sheetViews>
    <sheetView showZeros="0" topLeftCell="B1" zoomScale="70" zoomScaleNormal="70" workbookViewId="0">
      <pane ySplit="1" topLeftCell="A11" activePane="bottomLeft" state="frozen"/>
      <selection activeCell="F17" sqref="F17:L17"/>
      <selection pane="bottomLeft" activeCell="F27" sqref="F27"/>
    </sheetView>
  </sheetViews>
  <sheetFormatPr defaultRowHeight="16.5" x14ac:dyDescent="0.25"/>
  <cols>
    <col min="1" max="1" width="2.375" style="505" hidden="1" customWidth="1"/>
    <col min="2" max="2" width="16.125" style="505" customWidth="1"/>
    <col min="3" max="3" width="14.375" style="505" customWidth="1"/>
    <col min="4" max="4" width="10" style="505" customWidth="1"/>
    <col min="5" max="5" width="13.75" style="505" customWidth="1"/>
    <col min="6" max="6" width="19.25" style="505" customWidth="1"/>
    <col min="7" max="7" width="23.25" style="505" customWidth="1"/>
    <col min="8" max="8" width="27.5" style="505" customWidth="1"/>
    <col min="9" max="9" width="10.25" style="505" customWidth="1"/>
    <col min="10" max="10" width="11.875" style="505" customWidth="1"/>
    <col min="11" max="12" width="7.125" style="505" customWidth="1"/>
    <col min="13" max="13" width="10.375" style="505" customWidth="1"/>
    <col min="14" max="14" width="12.125" style="505" customWidth="1"/>
    <col min="15" max="15" width="8.875" style="505" customWidth="1"/>
    <col min="16" max="16" width="6.75" style="505" customWidth="1"/>
    <col min="17" max="17" width="11" style="505" hidden="1" customWidth="1"/>
    <col min="18" max="18" width="1.625" style="505" customWidth="1"/>
    <col min="19" max="19" width="14.5" style="505" customWidth="1"/>
    <col min="20" max="20" width="9.875" style="505" customWidth="1"/>
    <col min="21" max="21" width="9.125" style="505" customWidth="1"/>
    <col min="22" max="23" width="9.375" style="505" customWidth="1"/>
    <col min="24" max="24" width="5.125" style="505" customWidth="1"/>
    <col min="25" max="25" width="11.125" style="505" customWidth="1"/>
    <col min="26" max="26" width="8.25" style="505" customWidth="1"/>
    <col min="27" max="27" width="12" style="505" customWidth="1"/>
    <col min="28" max="28" width="7.875" style="505" customWidth="1"/>
    <col min="29" max="29" width="7.375" style="505" customWidth="1"/>
    <col min="30" max="30" width="7.125" style="505" customWidth="1"/>
    <col min="31" max="31" width="6.25" style="505" customWidth="1"/>
    <col min="32" max="32" width="4.625" style="505" customWidth="1"/>
    <col min="33" max="33" width="6.25" style="505" customWidth="1"/>
    <col min="34" max="34" width="4.875" style="505" customWidth="1"/>
    <col min="35" max="35" width="5.875" style="505" customWidth="1"/>
    <col min="36" max="36" width="7.375" style="505" customWidth="1"/>
    <col min="37" max="37" width="9" style="505" customWidth="1"/>
    <col min="38" max="38" width="6.25" style="505" customWidth="1"/>
    <col min="39" max="39" width="9.75" style="505" customWidth="1"/>
    <col min="40" max="40" width="9" style="505" customWidth="1"/>
    <col min="41" max="16384" width="9" style="505"/>
  </cols>
  <sheetData>
    <row r="1" spans="1:40" ht="21.75" customHeight="1" x14ac:dyDescent="0.25">
      <c r="A1" s="505" t="s">
        <v>0</v>
      </c>
    </row>
    <row r="2" spans="1:40" ht="21.75" customHeight="1" x14ac:dyDescent="0.25">
      <c r="A2" s="505" t="s">
        <v>1</v>
      </c>
      <c r="B2" s="38" t="s">
        <v>2</v>
      </c>
      <c r="C2" s="593" t="s">
        <v>1555</v>
      </c>
      <c r="D2" s="574"/>
      <c r="E2" s="152" t="s">
        <v>4</v>
      </c>
      <c r="F2" s="91"/>
      <c r="G2" s="445" t="s">
        <v>5</v>
      </c>
      <c r="H2" s="452"/>
      <c r="I2" s="36"/>
      <c r="J2" s="38" t="s">
        <v>6</v>
      </c>
      <c r="K2" s="573"/>
      <c r="L2" s="575"/>
      <c r="N2" s="590" t="s">
        <v>7</v>
      </c>
      <c r="O2" s="574"/>
      <c r="P2" s="575"/>
      <c r="Q2" s="91"/>
      <c r="R2" s="91"/>
      <c r="S2" s="35" t="s">
        <v>8</v>
      </c>
      <c r="T2" s="578" t="str">
        <f>IF($E$2=下拉用!$D$3,下拉用!$B$2,下拉用!$A$2)</f>
        <v>一、吳興街所警員蘇詠棠受理民眾黃軾錦報案，於115年09月12日13時30分在臺北市信義區吳興街206號稱有毀損案件(證明單編號：Z115099AWBN1NGL)。警方依規定受理後，調閱店家及公家道路監視器影像，尋線找到嫌疑人並通知到案說明。</v>
      </c>
      <c r="U2" s="579"/>
      <c r="V2" s="579"/>
      <c r="W2" s="579"/>
      <c r="X2" s="580"/>
      <c r="Y2" s="428"/>
      <c r="Z2" s="535"/>
      <c r="AA2" s="535"/>
      <c r="AB2" s="535"/>
      <c r="AC2" s="430"/>
      <c r="AD2" s="430"/>
      <c r="AE2" s="430"/>
    </row>
    <row r="3" spans="1:40" ht="63.75" customHeight="1" x14ac:dyDescent="0.25">
      <c r="A3" s="505" t="s">
        <v>9</v>
      </c>
      <c r="B3" s="589" t="str">
        <f>IF($C$2="刑事相驗","110報案內容與現場狀況","犯嫌自述")</f>
        <v>犯嫌自述</v>
      </c>
      <c r="C3" s="594"/>
      <c r="D3" s="579"/>
      <c r="E3" s="580"/>
      <c r="F3" s="239"/>
      <c r="G3" s="590" t="s">
        <v>10</v>
      </c>
      <c r="H3" s="594"/>
      <c r="J3" s="445" t="s">
        <v>11</v>
      </c>
      <c r="K3" s="573" t="s">
        <v>12</v>
      </c>
      <c r="L3" s="575"/>
      <c r="N3" s="321" t="s">
        <v>13</v>
      </c>
      <c r="O3" s="576" t="s">
        <v>14</v>
      </c>
      <c r="P3" s="575"/>
      <c r="Q3" s="239"/>
      <c r="R3" s="430"/>
      <c r="T3" s="581"/>
      <c r="U3" s="582"/>
      <c r="V3" s="582"/>
      <c r="W3" s="582"/>
      <c r="X3" s="583"/>
      <c r="Y3" s="428"/>
      <c r="Z3" s="535"/>
      <c r="AA3" s="535"/>
      <c r="AB3" s="535"/>
      <c r="AH3" s="468"/>
    </row>
    <row r="4" spans="1:40" ht="45" customHeight="1" x14ac:dyDescent="0.25">
      <c r="A4" s="505" t="s">
        <v>15</v>
      </c>
      <c r="B4" s="577"/>
      <c r="C4" s="581"/>
      <c r="D4" s="582"/>
      <c r="E4" s="583"/>
      <c r="F4" s="447"/>
      <c r="G4" s="577"/>
      <c r="H4" s="577"/>
      <c r="I4" s="36"/>
      <c r="J4" s="445" t="s">
        <v>16</v>
      </c>
      <c r="K4" s="586" t="s">
        <v>17</v>
      </c>
      <c r="L4" s="575"/>
      <c r="N4" s="322" t="s">
        <v>18</v>
      </c>
      <c r="O4" s="592" t="s">
        <v>19</v>
      </c>
      <c r="P4" s="575"/>
      <c r="Q4" s="447"/>
      <c r="R4" s="447"/>
      <c r="S4" s="35" t="s">
        <v>20</v>
      </c>
      <c r="T4" s="578" t="str">
        <f>下拉用!$A$3</f>
        <v>二、警方聯繫嫌疑人於114年06月06日18時00分至所說明，但嫌於通知日期仍未至所說明，全案提供相關附件為證。</v>
      </c>
      <c r="U4" s="579"/>
      <c r="V4" s="579"/>
      <c r="W4" s="579"/>
      <c r="X4" s="580"/>
      <c r="Y4" s="428"/>
      <c r="Z4" s="535"/>
      <c r="AA4" s="535"/>
      <c r="AB4" s="535"/>
    </row>
    <row r="5" spans="1:40" ht="29.25" customHeight="1" x14ac:dyDescent="0.25">
      <c r="A5" s="505" t="s">
        <v>21</v>
      </c>
      <c r="B5" s="576" t="str">
        <f>IF($C$2="刑事相驗","發現人自述","被害自述")</f>
        <v>被害自述</v>
      </c>
      <c r="C5" s="584" t="s">
        <v>1557</v>
      </c>
      <c r="D5" s="579"/>
      <c r="E5" s="580"/>
      <c r="F5" s="430"/>
      <c r="G5" s="238" t="str">
        <f>HLOOKUP($H$14,調閱用!$1:$1048576,2,0)</f>
        <v>調閱時段：</v>
      </c>
      <c r="H5" s="546">
        <v>11405050505</v>
      </c>
      <c r="N5" s="322" t="s">
        <v>22</v>
      </c>
      <c r="O5" s="592">
        <v>125</v>
      </c>
      <c r="P5" s="575"/>
      <c r="Q5" s="430"/>
      <c r="R5" s="430"/>
      <c r="T5" s="581"/>
      <c r="U5" s="582"/>
      <c r="V5" s="582"/>
      <c r="W5" s="582"/>
      <c r="X5" s="583"/>
      <c r="Y5" s="428"/>
      <c r="Z5" s="535"/>
      <c r="AA5" s="535"/>
      <c r="AB5" s="535"/>
    </row>
    <row r="6" spans="1:40" ht="45.75" customHeight="1" x14ac:dyDescent="0.25">
      <c r="A6" s="505" t="s">
        <v>23</v>
      </c>
      <c r="B6" s="577"/>
      <c r="C6" s="581"/>
      <c r="D6" s="582"/>
      <c r="E6" s="583"/>
      <c r="F6" s="430"/>
      <c r="G6" s="238" t="str">
        <f>HLOOKUP($H$14,調閱用!$1:$1048576,3,0)</f>
        <v>調閱時段止：</v>
      </c>
      <c r="H6" s="547"/>
      <c r="I6" s="548"/>
      <c r="N6" s="322" t="s">
        <v>24</v>
      </c>
      <c r="O6" s="592" t="s">
        <v>25</v>
      </c>
      <c r="P6" s="575"/>
      <c r="Q6" s="430"/>
      <c r="R6" s="430"/>
      <c r="S6" s="35" t="s">
        <v>26</v>
      </c>
      <c r="T6" s="578" t="str">
        <f>下拉用!$A$5</f>
        <v>三、依毀損罪嫌，函送  偵查隊  續辦。</v>
      </c>
      <c r="U6" s="579"/>
      <c r="V6" s="579"/>
      <c r="W6" s="579"/>
      <c r="X6" s="580"/>
      <c r="Y6" s="428"/>
      <c r="Z6" s="535"/>
      <c r="AA6" s="535"/>
      <c r="AB6" s="535"/>
    </row>
    <row r="7" spans="1:40" ht="38.25" customHeight="1" x14ac:dyDescent="0.25">
      <c r="A7" s="505" t="s">
        <v>27</v>
      </c>
      <c r="B7" s="451" t="s">
        <v>28</v>
      </c>
      <c r="C7" s="584" t="s">
        <v>1556</v>
      </c>
      <c r="D7" s="574"/>
      <c r="E7" s="575"/>
      <c r="G7" s="238" t="str">
        <f>HLOOKUP($H$14,調閱用!$1:$1048576,4,0)</f>
        <v>調閱地址：</v>
      </c>
      <c r="H7" s="452">
        <v>0.67</v>
      </c>
      <c r="N7" s="323" t="s">
        <v>29</v>
      </c>
      <c r="O7" s="592" t="s">
        <v>30</v>
      </c>
      <c r="P7" s="575"/>
      <c r="T7" s="581"/>
      <c r="U7" s="582"/>
      <c r="V7" s="582"/>
      <c r="W7" s="582"/>
      <c r="X7" s="583"/>
      <c r="Y7" s="428"/>
      <c r="Z7" s="535"/>
      <c r="AA7" s="535"/>
      <c r="AB7" s="535"/>
      <c r="AL7" s="536"/>
      <c r="AM7" s="536"/>
      <c r="AN7" s="536"/>
    </row>
    <row r="8" spans="1:40" ht="30.75" customHeight="1" x14ac:dyDescent="0.25">
      <c r="A8" s="505" t="s">
        <v>31</v>
      </c>
      <c r="B8" s="445" t="s">
        <v>32</v>
      </c>
      <c r="C8" s="591">
        <v>11509121218</v>
      </c>
      <c r="D8" s="574"/>
      <c r="E8" s="575"/>
      <c r="G8" s="238" t="str">
        <f>HLOOKUP($H$14,調閱用!$1:$1048576,5,0)</f>
        <v>調閱位置：</v>
      </c>
      <c r="H8" s="454">
        <v>400</v>
      </c>
      <c r="I8" s="151"/>
      <c r="N8" s="445" t="s">
        <v>33</v>
      </c>
      <c r="O8" s="576" t="s">
        <v>34</v>
      </c>
      <c r="P8" s="575"/>
      <c r="S8" s="35" t="s">
        <v>8</v>
      </c>
      <c r="T8" s="584" t="str">
        <f>IFERROR(IF(輸入!$C$2="","",HLOOKUP(輸入!$C$2,調閱用!$I$1:$K$11,11,0)),"")</f>
        <v/>
      </c>
      <c r="U8" s="579"/>
      <c r="V8" s="579"/>
      <c r="W8" s="579"/>
      <c r="X8" s="580"/>
      <c r="Y8" s="429"/>
      <c r="Z8" s="530"/>
      <c r="AA8" s="530"/>
      <c r="AB8" s="530"/>
    </row>
    <row r="9" spans="1:40" ht="40.5" customHeight="1" x14ac:dyDescent="0.25">
      <c r="A9" s="505" t="s">
        <v>35</v>
      </c>
      <c r="B9" s="38" t="s">
        <v>36</v>
      </c>
      <c r="C9" s="587"/>
      <c r="D9" s="574"/>
      <c r="E9" s="575"/>
      <c r="G9" s="238">
        <f>HLOOKUP($H$14,調閱用!$1:$1048576,6,0)</f>
        <v>0</v>
      </c>
      <c r="H9" s="454"/>
      <c r="N9" s="36"/>
      <c r="O9" s="595"/>
      <c r="P9" s="596"/>
      <c r="T9" s="581"/>
      <c r="U9" s="582"/>
      <c r="V9" s="582"/>
      <c r="W9" s="582"/>
      <c r="X9" s="583"/>
      <c r="Y9" s="429"/>
      <c r="Z9" s="530"/>
      <c r="AA9" s="530"/>
      <c r="AB9" s="530"/>
    </row>
    <row r="10" spans="1:40" ht="39" customHeight="1" x14ac:dyDescent="0.25">
      <c r="A10" s="505" t="s">
        <v>37</v>
      </c>
      <c r="B10" s="445" t="s">
        <v>38</v>
      </c>
      <c r="C10" s="587">
        <v>11509121330</v>
      </c>
      <c r="D10" s="574"/>
      <c r="E10" s="575"/>
      <c r="G10" s="238">
        <f>HLOOKUP($H$14,調閱用!$1:$1048576,7,0)</f>
        <v>0</v>
      </c>
      <c r="H10" s="452"/>
    </row>
    <row r="11" spans="1:40" ht="39" customHeight="1" x14ac:dyDescent="0.25">
      <c r="B11" s="445" t="s">
        <v>39</v>
      </c>
      <c r="C11" s="587"/>
      <c r="D11" s="574"/>
      <c r="E11" s="575"/>
      <c r="G11" s="238">
        <f>HLOOKUP($H$14,調閱用!$1:$1048576,8,0)</f>
        <v>0</v>
      </c>
      <c r="H11" s="452" t="s">
        <v>40</v>
      </c>
      <c r="V11" s="530"/>
    </row>
    <row r="12" spans="1:40" ht="31.5" customHeight="1" x14ac:dyDescent="0.25">
      <c r="B12" s="445" t="s">
        <v>41</v>
      </c>
      <c r="C12" s="576" t="s">
        <v>1563</v>
      </c>
      <c r="D12" s="574"/>
      <c r="E12" s="575"/>
      <c r="G12" s="238">
        <f>HLOOKUP($H$14,調閱用!$1:$1048576,9,0)</f>
        <v>0</v>
      </c>
      <c r="H12" s="452" t="s">
        <v>42</v>
      </c>
      <c r="V12" s="530"/>
    </row>
    <row r="13" spans="1:40" ht="27.75" customHeight="1" x14ac:dyDescent="0.25">
      <c r="B13" s="445" t="s">
        <v>43</v>
      </c>
      <c r="C13" s="588"/>
      <c r="D13" s="574"/>
      <c r="E13" s="575"/>
      <c r="F13" s="549"/>
      <c r="G13" s="238">
        <f>HLOOKUP($H$14,調閱用!$1:$1048576,10,0)</f>
        <v>0</v>
      </c>
      <c r="H13" s="180"/>
      <c r="Q13" s="549"/>
      <c r="R13" s="549"/>
      <c r="V13" s="530"/>
      <c r="X13" s="48"/>
      <c r="Y13" s="48"/>
      <c r="Z13" s="48"/>
      <c r="AA13" s="48"/>
      <c r="AB13" s="48"/>
      <c r="AC13" s="48"/>
      <c r="AD13" s="48"/>
      <c r="AE13" s="48"/>
    </row>
    <row r="14" spans="1:40" ht="26.25" customHeight="1" x14ac:dyDescent="0.25">
      <c r="A14" s="36"/>
      <c r="B14" s="453" t="s">
        <v>44</v>
      </c>
      <c r="C14" s="585"/>
      <c r="D14" s="574"/>
      <c r="E14" s="575"/>
      <c r="F14" s="46"/>
      <c r="G14" s="400" t="s">
        <v>45</v>
      </c>
      <c r="H14" s="399" t="s">
        <v>46</v>
      </c>
      <c r="Q14" s="46"/>
      <c r="R14" s="46"/>
      <c r="V14" s="530"/>
      <c r="X14" s="36"/>
      <c r="Y14" s="550"/>
      <c r="Z14" s="550"/>
      <c r="AA14" s="550"/>
      <c r="AB14" s="550"/>
      <c r="AC14" s="550"/>
      <c r="AD14" s="550"/>
      <c r="AE14" s="550"/>
      <c r="AG14" s="150"/>
      <c r="AH14" s="36"/>
    </row>
    <row r="15" spans="1:40" ht="21.75" customHeight="1" x14ac:dyDescent="0.25">
      <c r="A15" s="36"/>
      <c r="B15" s="36"/>
      <c r="C15" s="36"/>
      <c r="D15" s="551"/>
      <c r="E15" s="36"/>
      <c r="F15" s="36"/>
      <c r="Q15" s="36"/>
      <c r="R15" s="36"/>
      <c r="V15" s="530"/>
      <c r="X15" s="36"/>
      <c r="Y15" s="552"/>
      <c r="Z15" s="552"/>
      <c r="AA15" s="552"/>
      <c r="AB15" s="552"/>
      <c r="AC15" s="552"/>
      <c r="AD15" s="552"/>
      <c r="AE15" s="552"/>
      <c r="AG15" s="150"/>
      <c r="AH15" s="36"/>
    </row>
    <row r="16" spans="1:40" s="468" customFormat="1" ht="33.75" customHeight="1" x14ac:dyDescent="0.25">
      <c r="A16" s="450"/>
      <c r="B16" s="344" t="s">
        <v>47</v>
      </c>
      <c r="C16" s="317" t="s">
        <v>48</v>
      </c>
      <c r="D16" s="34" t="s">
        <v>49</v>
      </c>
      <c r="E16" s="34" t="s">
        <v>50</v>
      </c>
      <c r="F16" s="34" t="s">
        <v>51</v>
      </c>
      <c r="G16" s="34" t="s">
        <v>52</v>
      </c>
      <c r="H16" s="34" t="s">
        <v>53</v>
      </c>
      <c r="I16" s="34" t="s">
        <v>54</v>
      </c>
      <c r="J16" s="34" t="s">
        <v>55</v>
      </c>
      <c r="K16" s="163" t="s">
        <v>56</v>
      </c>
      <c r="L16" s="163" t="s">
        <v>57</v>
      </c>
      <c r="M16" s="39" t="s">
        <v>58</v>
      </c>
      <c r="N16" s="34" t="s">
        <v>59</v>
      </c>
      <c r="O16" s="34" t="s">
        <v>60</v>
      </c>
      <c r="Q16" s="431"/>
      <c r="R16" s="434"/>
      <c r="S16" s="445" t="s">
        <v>61</v>
      </c>
      <c r="T16" s="584" t="s">
        <v>62</v>
      </c>
      <c r="U16" s="575"/>
      <c r="V16" s="530"/>
      <c r="X16" s="46"/>
      <c r="Y16" s="450"/>
      <c r="Z16" s="450"/>
      <c r="AA16" s="450"/>
      <c r="AB16" s="450"/>
      <c r="AC16" s="450"/>
      <c r="AD16" s="450"/>
      <c r="AE16" s="450"/>
      <c r="AF16" s="450"/>
      <c r="AG16" s="450"/>
      <c r="AH16" s="450"/>
      <c r="AI16" s="450"/>
      <c r="AJ16" s="450"/>
      <c r="AK16" s="450"/>
      <c r="AL16" s="450"/>
      <c r="AM16" s="450"/>
      <c r="AN16" s="450"/>
    </row>
    <row r="17" spans="1:40" ht="42.75" customHeight="1" x14ac:dyDescent="0.25">
      <c r="A17" s="505" t="str">
        <f>IF(COUNTIF('呈報單 多人'!$B$7:$E$41,B18)&gt;0,"",MAX(輸入!$A$16:A16)+1)</f>
        <v/>
      </c>
      <c r="B17" s="349" t="s">
        <v>1558</v>
      </c>
      <c r="C17" s="346" t="s">
        <v>1559</v>
      </c>
      <c r="D17" s="346" t="s">
        <v>1560</v>
      </c>
      <c r="E17" s="553">
        <v>989987244</v>
      </c>
      <c r="F17" s="554">
        <v>740911</v>
      </c>
      <c r="G17" s="397" t="s">
        <v>1561</v>
      </c>
      <c r="H17" s="443" t="s">
        <v>1561</v>
      </c>
      <c r="I17" s="347" t="s">
        <v>1562</v>
      </c>
      <c r="J17" s="347" t="s">
        <v>65</v>
      </c>
      <c r="K17" s="555">
        <f>IF(ISBLANK($C17),"",下拉用!$R2)</f>
        <v>41</v>
      </c>
      <c r="L17" s="555" t="str">
        <f>IF(ISBLANK($C17),"",下拉用!$S2)</f>
        <v>男</v>
      </c>
      <c r="M17" s="347" t="s">
        <v>66</v>
      </c>
      <c r="N17" s="348"/>
      <c r="O17" s="348"/>
      <c r="Q17" s="556" t="str">
        <f t="shared" ref="Q17:Q26" si="0">CONCATENATE(LEFT(F17,2),".",MID(F17,3,2),".",RIGHT(F17,2),)</f>
        <v>74.09.11</v>
      </c>
      <c r="R17" s="557"/>
      <c r="S17" s="432" t="s">
        <v>67</v>
      </c>
      <c r="T17" s="47">
        <v>115</v>
      </c>
      <c r="U17" s="47" t="s">
        <v>68</v>
      </c>
      <c r="X17" s="36"/>
      <c r="Y17" s="450"/>
    </row>
    <row r="18" spans="1:40" ht="45.75" customHeight="1" x14ac:dyDescent="0.25">
      <c r="A18" s="505">
        <f>IF(COUNTIF('呈報單 多人'!$B$7:$E$41,#REF!)&gt;0,"",MAX(輸入!$A$16:A17)+1)</f>
        <v>1</v>
      </c>
      <c r="B18" s="342" t="s">
        <v>69</v>
      </c>
      <c r="C18" s="337" t="s">
        <v>70</v>
      </c>
      <c r="D18" s="337" t="s">
        <v>64</v>
      </c>
      <c r="E18" s="558">
        <v>935680306</v>
      </c>
      <c r="F18" s="559">
        <v>840306</v>
      </c>
      <c r="G18" s="398" t="s">
        <v>71</v>
      </c>
      <c r="H18" s="353" t="s">
        <v>71</v>
      </c>
      <c r="I18" s="168" t="s">
        <v>72</v>
      </c>
      <c r="J18" s="465" t="s">
        <v>65</v>
      </c>
      <c r="K18" s="163">
        <f>IF(ISBLANK($C18),"",下拉用!$R3)</f>
        <v>31</v>
      </c>
      <c r="L18" s="560" t="str">
        <f>IF(ISBLANK($C18),"",下拉用!$S3)</f>
        <v>男</v>
      </c>
      <c r="M18" s="34"/>
      <c r="N18" s="338"/>
      <c r="O18" s="143"/>
      <c r="Q18" s="556" t="str">
        <f t="shared" si="0"/>
        <v>84.03.06</v>
      </c>
      <c r="R18" s="557"/>
      <c r="S18" s="448" t="s">
        <v>64</v>
      </c>
      <c r="T18" s="576" t="s">
        <v>74</v>
      </c>
      <c r="U18" s="575"/>
      <c r="X18" s="36"/>
      <c r="Y18" s="450"/>
    </row>
    <row r="19" spans="1:40" ht="42.75" customHeight="1" x14ac:dyDescent="0.25">
      <c r="A19" s="505" t="str">
        <f>IF(COUNTIF('呈報單 多人'!$B$7:$E$41,B19)&gt;0,"",MAX(輸入!$A$16:A18)+1)</f>
        <v/>
      </c>
      <c r="B19" s="350" t="s">
        <v>75</v>
      </c>
      <c r="C19" s="347" t="s">
        <v>76</v>
      </c>
      <c r="D19" s="347" t="s">
        <v>64</v>
      </c>
      <c r="E19" s="561">
        <v>921053420</v>
      </c>
      <c r="F19" s="562">
        <v>700131</v>
      </c>
      <c r="G19" s="397" t="s">
        <v>77</v>
      </c>
      <c r="H19" s="348" t="s">
        <v>78</v>
      </c>
      <c r="I19" s="168" t="s">
        <v>72</v>
      </c>
      <c r="J19" s="465" t="s">
        <v>79</v>
      </c>
      <c r="K19" s="555">
        <f>IF(ISBLANK($C19),"",下拉用!$R4)</f>
        <v>45</v>
      </c>
      <c r="L19" s="555" t="str">
        <f>IF(ISBLANK($C19),"",下拉用!$S4)</f>
        <v>男</v>
      </c>
      <c r="M19" s="347"/>
      <c r="N19" s="348"/>
      <c r="O19" s="348"/>
      <c r="Q19" s="556" t="str">
        <f t="shared" si="0"/>
        <v>70.01.31</v>
      </c>
      <c r="R19" s="557"/>
      <c r="S19" s="448" t="s">
        <v>81</v>
      </c>
      <c r="T19" s="576" t="s">
        <v>82</v>
      </c>
      <c r="U19" s="575"/>
      <c r="X19" s="36"/>
      <c r="Y19" s="450"/>
    </row>
    <row r="20" spans="1:40" ht="51.75" customHeight="1" x14ac:dyDescent="0.25">
      <c r="A20" s="505">
        <f>IF(COUNTIF('呈報單 多人'!$B$7:$E$41,B20)&gt;0,"",MAX(輸入!$A$16:A19)+1)</f>
        <v>2</v>
      </c>
      <c r="B20" s="342" t="s">
        <v>83</v>
      </c>
      <c r="C20" s="337" t="s">
        <v>84</v>
      </c>
      <c r="D20" s="337" t="s">
        <v>85</v>
      </c>
      <c r="E20" s="558">
        <v>933891280</v>
      </c>
      <c r="F20" s="559">
        <v>530823</v>
      </c>
      <c r="G20" s="398" t="s">
        <v>86</v>
      </c>
      <c r="H20" s="353" t="s">
        <v>86</v>
      </c>
      <c r="I20" s="168" t="s">
        <v>87</v>
      </c>
      <c r="J20" s="465" t="s">
        <v>65</v>
      </c>
      <c r="K20" s="560">
        <f>IF(ISBLANK($C20),"",下拉用!$R5)</f>
        <v>62</v>
      </c>
      <c r="L20" s="560" t="str">
        <f>IF(ISBLANK($C20),"",下拉用!$S5)</f>
        <v>男</v>
      </c>
      <c r="M20" s="37"/>
      <c r="N20" s="465"/>
      <c r="O20" s="465"/>
      <c r="Q20" s="563" t="str">
        <f t="shared" si="0"/>
        <v>53.08.23</v>
      </c>
      <c r="R20" s="557"/>
      <c r="S20" s="448" t="s">
        <v>88</v>
      </c>
      <c r="T20" s="576" t="s">
        <v>89</v>
      </c>
      <c r="U20" s="575"/>
      <c r="Y20" s="450"/>
    </row>
    <row r="21" spans="1:40" ht="48" customHeight="1" x14ac:dyDescent="0.25">
      <c r="A21" s="505">
        <f>IF(COUNTIF('呈報單 多人'!$B$7:$E$41,B21)&gt;0,"",MAX(輸入!$A$16:A20)+1)</f>
        <v>3</v>
      </c>
      <c r="B21" s="350" t="s">
        <v>9</v>
      </c>
      <c r="C21" s="347" t="s">
        <v>90</v>
      </c>
      <c r="D21" s="347" t="s">
        <v>91</v>
      </c>
      <c r="E21" s="561">
        <v>921332553</v>
      </c>
      <c r="F21" s="562">
        <v>871015</v>
      </c>
      <c r="G21" s="397" t="s">
        <v>92</v>
      </c>
      <c r="H21" s="348" t="s">
        <v>92</v>
      </c>
      <c r="I21" s="168" t="s">
        <v>87</v>
      </c>
      <c r="J21" s="465" t="s">
        <v>65</v>
      </c>
      <c r="K21" s="555">
        <f>IF(ISBLANK($C21),"",下拉用!$R6)</f>
        <v>28</v>
      </c>
      <c r="L21" s="555" t="str">
        <f>IF(ISBLANK($C21),"",下拉用!$S6)</f>
        <v>男</v>
      </c>
      <c r="M21" s="347"/>
      <c r="N21" s="348"/>
      <c r="O21" s="348"/>
      <c r="Q21" s="556" t="str">
        <f t="shared" si="0"/>
        <v>87.10.15</v>
      </c>
      <c r="R21" s="557"/>
      <c r="S21" s="448" t="s">
        <v>93</v>
      </c>
      <c r="T21" s="576" t="s">
        <v>94</v>
      </c>
      <c r="U21" s="575"/>
      <c r="X21" s="36"/>
      <c r="Y21" s="450"/>
    </row>
    <row r="22" spans="1:40" ht="57" customHeight="1" x14ac:dyDescent="0.25">
      <c r="A22" s="505">
        <f>IF(COUNTIF('呈報單 多人'!$B$7:$E$41,B22)&gt;0,"",MAX(輸入!$A$16:A21)+1)</f>
        <v>4</v>
      </c>
      <c r="B22" s="343" t="s">
        <v>23</v>
      </c>
      <c r="C22" s="168" t="s">
        <v>95</v>
      </c>
      <c r="D22" s="168" t="s">
        <v>64</v>
      </c>
      <c r="E22" s="564"/>
      <c r="F22" s="565">
        <v>821203</v>
      </c>
      <c r="G22" s="519" t="s">
        <v>96</v>
      </c>
      <c r="H22" s="465" t="s">
        <v>96</v>
      </c>
      <c r="I22" s="168" t="s">
        <v>87</v>
      </c>
      <c r="J22" s="465" t="s">
        <v>65</v>
      </c>
      <c r="K22" s="560">
        <f>IF(ISBLANK($C22),"",下拉用!$R7)</f>
        <v>33</v>
      </c>
      <c r="L22" s="560" t="str">
        <f>IF(ISBLANK($C22),"",下拉用!$S7)</f>
        <v>男</v>
      </c>
      <c r="M22" s="37"/>
      <c r="N22" s="465"/>
      <c r="O22" s="465"/>
      <c r="Q22" s="563" t="str">
        <f t="shared" si="0"/>
        <v>82.12.03</v>
      </c>
      <c r="R22" s="557"/>
      <c r="S22" s="448" t="s">
        <v>97</v>
      </c>
      <c r="T22" s="576" t="s">
        <v>94</v>
      </c>
      <c r="U22" s="575"/>
      <c r="Y22" s="450"/>
    </row>
    <row r="23" spans="1:40" ht="47.25" customHeight="1" x14ac:dyDescent="0.25">
      <c r="A23" s="505">
        <f>IF(COUNTIF('呈報單 多人'!$B$7:$E$41,B23)&gt;0,"",MAX(輸入!$A$16:A22)+1)</f>
        <v>5</v>
      </c>
      <c r="B23" s="350" t="s">
        <v>27</v>
      </c>
      <c r="C23" s="347" t="s">
        <v>98</v>
      </c>
      <c r="D23" s="347" t="s">
        <v>64</v>
      </c>
      <c r="E23" s="561">
        <v>953515594</v>
      </c>
      <c r="F23" s="562">
        <v>780817</v>
      </c>
      <c r="G23" s="397" t="s">
        <v>99</v>
      </c>
      <c r="H23" s="348" t="s">
        <v>99</v>
      </c>
      <c r="I23" s="168" t="s">
        <v>87</v>
      </c>
      <c r="J23" s="465" t="s">
        <v>65</v>
      </c>
      <c r="K23" s="555">
        <f>IF(ISBLANK($C23),"",下拉用!$R8)</f>
        <v>37</v>
      </c>
      <c r="L23" s="555" t="str">
        <f>IF(ISBLANK($C23),"",下拉用!$S8)</f>
        <v>女</v>
      </c>
      <c r="M23" s="347"/>
      <c r="N23" s="348"/>
      <c r="O23" s="348"/>
      <c r="Q23" s="556" t="str">
        <f t="shared" si="0"/>
        <v>78.08.17</v>
      </c>
      <c r="R23" s="557"/>
      <c r="S23" s="597" t="s">
        <v>100</v>
      </c>
      <c r="T23" s="574"/>
      <c r="U23" s="575"/>
      <c r="Y23" s="450"/>
    </row>
    <row r="24" spans="1:40" ht="51.75" customHeight="1" x14ac:dyDescent="0.25">
      <c r="A24" s="505">
        <f>IF(COUNTIF('呈報單 多人'!$B$7:$E$41,B24)&gt;0,"",MAX(輸入!$A$16:A23)+1)</f>
        <v>6</v>
      </c>
      <c r="B24" s="342" t="s">
        <v>31</v>
      </c>
      <c r="C24" s="337" t="s">
        <v>101</v>
      </c>
      <c r="D24" s="337" t="s">
        <v>64</v>
      </c>
      <c r="E24" s="558">
        <v>935119410</v>
      </c>
      <c r="F24" s="559">
        <v>751008</v>
      </c>
      <c r="G24" s="398" t="s">
        <v>102</v>
      </c>
      <c r="H24" s="353" t="s">
        <v>102</v>
      </c>
      <c r="I24" s="337" t="s">
        <v>87</v>
      </c>
      <c r="J24" s="353" t="s">
        <v>103</v>
      </c>
      <c r="K24" s="560">
        <f>IF(ISBLANK($C24),"",下拉用!$R9)</f>
        <v>40</v>
      </c>
      <c r="L24" s="560" t="str">
        <f>IF(ISBLANK($C24),"",下拉用!$S9)</f>
        <v>女</v>
      </c>
      <c r="M24" s="37"/>
      <c r="N24" s="465"/>
      <c r="O24" s="465"/>
      <c r="Q24" s="563" t="str">
        <f t="shared" si="0"/>
        <v>75.10.08</v>
      </c>
      <c r="R24" s="557"/>
      <c r="S24" s="433" t="s">
        <v>104</v>
      </c>
      <c r="T24" s="449" t="s">
        <v>105</v>
      </c>
      <c r="U24" s="448" t="s">
        <v>34</v>
      </c>
      <c r="Y24" s="450"/>
    </row>
    <row r="25" spans="1:40" ht="56.25" customHeight="1" x14ac:dyDescent="0.25">
      <c r="A25" s="505">
        <f>IF(COUNTIF('呈報單 多人'!$B$7:$E$41,B25)&gt;0,"",MAX(輸入!$A$16:A24)+1)</f>
        <v>7</v>
      </c>
      <c r="B25" s="350" t="s">
        <v>35</v>
      </c>
      <c r="C25" s="347" t="s">
        <v>106</v>
      </c>
      <c r="D25" s="347" t="s">
        <v>107</v>
      </c>
      <c r="E25" s="561">
        <v>958579134</v>
      </c>
      <c r="F25" s="562">
        <v>910304</v>
      </c>
      <c r="G25" s="397" t="s">
        <v>108</v>
      </c>
      <c r="H25" s="348" t="s">
        <v>108</v>
      </c>
      <c r="I25" s="168" t="s">
        <v>87</v>
      </c>
      <c r="J25" s="465" t="s">
        <v>65</v>
      </c>
      <c r="K25" s="555">
        <f>IF(ISBLANK($C25),"",下拉用!$R10)</f>
        <v>24</v>
      </c>
      <c r="L25" s="555" t="str">
        <f>IF(ISBLANK($C25),"",下拉用!$S10)</f>
        <v>男</v>
      </c>
      <c r="M25" s="347"/>
      <c r="N25" s="348"/>
      <c r="O25" s="348"/>
      <c r="Q25" s="556" t="str">
        <f t="shared" si="0"/>
        <v>91.03.04</v>
      </c>
      <c r="R25" s="557"/>
      <c r="S25" s="573" t="s">
        <v>109</v>
      </c>
      <c r="T25" s="574"/>
      <c r="U25" s="575"/>
      <c r="Y25" s="450"/>
    </row>
    <row r="26" spans="1:40" ht="52.5" customHeight="1" x14ac:dyDescent="0.25">
      <c r="A26" s="505">
        <f>IF(COUNTIF('呈報單 多人'!$B$7:$E$41,B26)&gt;0,"",MAX(輸入!$A$16:A25)+1)</f>
        <v>8</v>
      </c>
      <c r="B26" s="345" t="s">
        <v>37</v>
      </c>
      <c r="C26" s="168" t="s">
        <v>110</v>
      </c>
      <c r="D26" s="168" t="s">
        <v>64</v>
      </c>
      <c r="E26" s="564">
        <v>938451126</v>
      </c>
      <c r="F26" s="565">
        <v>721126</v>
      </c>
      <c r="G26" s="519" t="s">
        <v>111</v>
      </c>
      <c r="H26" s="465" t="s">
        <v>111</v>
      </c>
      <c r="I26" s="168" t="s">
        <v>87</v>
      </c>
      <c r="J26" s="465" t="s">
        <v>79</v>
      </c>
      <c r="K26" s="560">
        <f>IF(ISBLANK($C26),"",下拉用!$R11)</f>
        <v>43</v>
      </c>
      <c r="L26" s="560" t="str">
        <f>IF(ISBLANK($C26),"",下拉用!$S11)</f>
        <v>男</v>
      </c>
      <c r="M26" s="37"/>
      <c r="N26" s="465"/>
      <c r="O26" s="465"/>
      <c r="Q26" s="563" t="str">
        <f t="shared" si="0"/>
        <v>72.11.26</v>
      </c>
      <c r="R26" s="566"/>
      <c r="S26" s="414"/>
      <c r="U26" s="541"/>
      <c r="Y26" s="450"/>
    </row>
    <row r="27" spans="1:40" ht="24.75" customHeight="1" x14ac:dyDescent="0.25">
      <c r="N27" s="468"/>
      <c r="O27" s="468"/>
    </row>
    <row r="28" spans="1:40" x14ac:dyDescent="0.25">
      <c r="AD28" s="36"/>
      <c r="AE28" s="36"/>
      <c r="AF28" s="36"/>
      <c r="AG28" s="36"/>
      <c r="AH28" s="36"/>
      <c r="AI28" s="36"/>
      <c r="AJ28" s="36"/>
      <c r="AK28" s="450"/>
      <c r="AL28" s="36"/>
      <c r="AM28" s="36"/>
      <c r="AN28" s="36"/>
    </row>
    <row r="32" spans="1:40" ht="18" customHeight="1" x14ac:dyDescent="0.25"/>
    <row r="41" ht="42" customHeight="1" x14ac:dyDescent="0.25"/>
    <row r="42" ht="45" customHeight="1" x14ac:dyDescent="0.25"/>
  </sheetData>
  <mergeCells count="38">
    <mergeCell ref="O7:P7"/>
    <mergeCell ref="O3:P3"/>
    <mergeCell ref="N2:P2"/>
    <mergeCell ref="S23:U23"/>
    <mergeCell ref="T8:X9"/>
    <mergeCell ref="T21:U21"/>
    <mergeCell ref="C2:D2"/>
    <mergeCell ref="K2:L2"/>
    <mergeCell ref="H3:H4"/>
    <mergeCell ref="T22:U22"/>
    <mergeCell ref="K3:L3"/>
    <mergeCell ref="T2:X3"/>
    <mergeCell ref="T20:U20"/>
    <mergeCell ref="O6:P6"/>
    <mergeCell ref="C9:E9"/>
    <mergeCell ref="C3:E4"/>
    <mergeCell ref="O9:P9"/>
    <mergeCell ref="C12:E12"/>
    <mergeCell ref="C11:E11"/>
    <mergeCell ref="O5:P5"/>
    <mergeCell ref="C5:E6"/>
    <mergeCell ref="T6:X7"/>
    <mergeCell ref="S25:U25"/>
    <mergeCell ref="B5:B6"/>
    <mergeCell ref="T4:X5"/>
    <mergeCell ref="O8:P8"/>
    <mergeCell ref="T16:U16"/>
    <mergeCell ref="C14:E14"/>
    <mergeCell ref="T19:U19"/>
    <mergeCell ref="T18:U18"/>
    <mergeCell ref="K4:L4"/>
    <mergeCell ref="C10:E10"/>
    <mergeCell ref="C13:E13"/>
    <mergeCell ref="B3:B4"/>
    <mergeCell ref="G3:G4"/>
    <mergeCell ref="C8:E8"/>
    <mergeCell ref="C7:E7"/>
    <mergeCell ref="O4:P4"/>
  </mergeCells>
  <phoneticPr fontId="1" type="noConversion"/>
  <conditionalFormatting sqref="M17:M26">
    <cfRule type="containsText" dxfId="8" priority="14" operator="containsText" text="證人">
      <formula>NOT(ISERROR(SEARCH("證人",M17)))</formula>
    </cfRule>
    <cfRule type="containsText" dxfId="7" priority="15" operator="containsText" text="涉嫌人">
      <formula>NOT(ISERROR(SEARCH("涉嫌人",M17)))</formula>
    </cfRule>
    <cfRule type="containsText" dxfId="6" priority="16" operator="containsText" text="被害人">
      <formula>NOT(ISERROR(SEARCH("被害人",M17)))</formula>
    </cfRule>
  </conditionalFormatting>
  <conditionalFormatting sqref="M18">
    <cfRule type="containsText" dxfId="5" priority="18" operator="containsText" text="涉嫌人">
      <formula>NOT(ISERROR(SEARCH("涉嫌人",M18)))</formula>
    </cfRule>
  </conditionalFormatting>
  <dataValidations count="6">
    <dataValidation type="list" allowBlank="1" showInputMessage="1" showErrorMessage="1" sqref="M17:M26 AM8:XFD8" xr:uid="{00000000-0002-0000-0000-000000000000}">
      <formula1>人別</formula1>
    </dataValidation>
    <dataValidation operator="equal" showInputMessage="1" showErrorMessage="1" sqref="E18 E22 E25" xr:uid="{00000000-0002-0000-0000-000001000000}"/>
    <dataValidation operator="equal" allowBlank="1" showInputMessage="1" showErrorMessage="1" sqref="C17:C26" xr:uid="{00000000-0002-0000-0000-000002000000}"/>
    <dataValidation type="list" allowBlank="1" showInputMessage="1" showErrorMessage="1" sqref="E2" xr:uid="{00000000-0002-0000-0000-000003000000}">
      <formula1>有無涉嫌人</formula1>
    </dataValidation>
    <dataValidation type="list" allowBlank="1" showInputMessage="1" showErrorMessage="1" sqref="B17:B26" xr:uid="{00000000-0002-0000-0000-000004000000}">
      <formula1>$B$17:$B$26</formula1>
    </dataValidation>
    <dataValidation showInputMessage="1" showErrorMessage="1" sqref="T26" xr:uid="{00000000-0002-0000-0000-000005000000}"/>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6388" r:id="rId3" name="Button 4">
              <controlPr defaultSize="0" print="0" autoFill="0" autoPict="0" macro="[0]!公共危險" altText="公共危險">
                <anchor moveWithCells="1" sizeWithCells="1">
                  <from>
                    <xdr:col>5</xdr:col>
                    <xdr:colOff>57150</xdr:colOff>
                    <xdr:row>5</xdr:row>
                    <xdr:rowOff>28575</xdr:rowOff>
                  </from>
                  <to>
                    <xdr:col>5</xdr:col>
                    <xdr:colOff>1428750</xdr:colOff>
                    <xdr:row>5</xdr:row>
                    <xdr:rowOff>314325</xdr:rowOff>
                  </to>
                </anchor>
              </controlPr>
            </control>
          </mc:Choice>
        </mc:AlternateContent>
        <mc:AlternateContent xmlns:mc="http://schemas.openxmlformats.org/markup-compatibility/2006">
          <mc:Choice Requires="x14">
            <control shapeId="16389" r:id="rId4" name="Button 5">
              <controlPr defaultSize="0" print="0" autoFill="0" autoPict="0" macro="[0]!通緝">
                <anchor moveWithCells="1" sizeWithCells="1">
                  <from>
                    <xdr:col>5</xdr:col>
                    <xdr:colOff>28575</xdr:colOff>
                    <xdr:row>6</xdr:row>
                    <xdr:rowOff>9525</xdr:rowOff>
                  </from>
                  <to>
                    <xdr:col>5</xdr:col>
                    <xdr:colOff>1390650</xdr:colOff>
                    <xdr:row>6</xdr:row>
                    <xdr:rowOff>323850</xdr:rowOff>
                  </to>
                </anchor>
              </controlPr>
            </control>
          </mc:Choice>
        </mc:AlternateContent>
        <mc:AlternateContent xmlns:mc="http://schemas.openxmlformats.org/markup-compatibility/2006">
          <mc:Choice Requires="x14">
            <control shapeId="16397" r:id="rId5" name="Button 13">
              <controlPr defaultSize="0" print="0" autoFill="0" autoPict="0" macro="[0]!空白">
                <anchor moveWithCells="1" sizeWithCells="1">
                  <from>
                    <xdr:col>5</xdr:col>
                    <xdr:colOff>28575</xdr:colOff>
                    <xdr:row>3</xdr:row>
                    <xdr:rowOff>476250</xdr:rowOff>
                  </from>
                  <to>
                    <xdr:col>5</xdr:col>
                    <xdr:colOff>1419225</xdr:colOff>
                    <xdr:row>4</xdr:row>
                    <xdr:rowOff>342900</xdr:rowOff>
                  </to>
                </anchor>
              </controlPr>
            </control>
          </mc:Choice>
        </mc:AlternateContent>
        <mc:AlternateContent xmlns:mc="http://schemas.openxmlformats.org/markup-compatibility/2006">
          <mc:Choice Requires="x14">
            <control shapeId="16415" r:id="rId6" name="Button 31">
              <controlPr defaultSize="0" print="0" autoFill="0" autoPict="0" macro="[0]!毒品">
                <anchor moveWithCells="1" sizeWithCells="1">
                  <from>
                    <xdr:col>5</xdr:col>
                    <xdr:colOff>104775</xdr:colOff>
                    <xdr:row>7</xdr:row>
                    <xdr:rowOff>85725</xdr:rowOff>
                  </from>
                  <to>
                    <xdr:col>5</xdr:col>
                    <xdr:colOff>1343025</xdr:colOff>
                    <xdr:row>7</xdr:row>
                    <xdr:rowOff>466725</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B18"/>
  <sheetViews>
    <sheetView tabSelected="1" zoomScaleNormal="100" workbookViewId="0">
      <selection activeCell="H2" sqref="H2"/>
    </sheetView>
  </sheetViews>
  <sheetFormatPr defaultRowHeight="16.5" x14ac:dyDescent="0.25"/>
  <cols>
    <col min="1" max="1" width="8.375" style="536" customWidth="1"/>
    <col min="2" max="2" width="6.125" style="536" customWidth="1"/>
    <col min="3" max="3" width="6" style="536" customWidth="1"/>
    <col min="4" max="4" width="5.25" style="536" customWidth="1"/>
    <col min="5" max="5" width="6.75" style="536" customWidth="1"/>
    <col min="6" max="6" width="5.375" style="536" customWidth="1"/>
    <col min="7" max="7" width="5.75" style="536" customWidth="1"/>
    <col min="8" max="8" width="6.5" style="536" customWidth="1"/>
    <col min="9" max="9" width="7.125" style="536" customWidth="1"/>
    <col min="10" max="10" width="7.875" style="536" customWidth="1"/>
    <col min="11" max="11" width="8.75" style="536" customWidth="1"/>
    <col min="12" max="12" width="6.75" style="536" customWidth="1"/>
    <col min="13" max="13" width="7.625" style="536" customWidth="1"/>
    <col min="14" max="14" width="8.125" style="536" customWidth="1"/>
    <col min="15" max="15" width="5.125" style="536" customWidth="1"/>
    <col min="16" max="16" width="5.75" style="536" customWidth="1"/>
    <col min="17" max="17" width="5.25" style="536" customWidth="1"/>
    <col min="18" max="18" width="5.625" style="536" customWidth="1"/>
    <col min="19" max="19" width="6.75" style="536" customWidth="1"/>
    <col min="20" max="20" width="5.25" style="536" customWidth="1"/>
    <col min="21" max="21" width="8.25" style="536" customWidth="1"/>
    <col min="22" max="22" width="6.25" style="536" customWidth="1"/>
    <col min="23" max="23" width="6.875" style="536" customWidth="1"/>
    <col min="24" max="24" width="8.875" style="536" customWidth="1"/>
    <col min="25" max="25" width="5.25" style="536" customWidth="1"/>
    <col min="26" max="26" width="6" style="536" customWidth="1"/>
    <col min="27" max="27" width="6.75" style="536" customWidth="1"/>
    <col min="28" max="30" width="5.375" style="536" customWidth="1"/>
    <col min="31" max="31" width="6.625" style="536" customWidth="1"/>
    <col min="32" max="32" width="6.75" style="536" customWidth="1"/>
    <col min="33" max="33" width="6.625" style="536" customWidth="1"/>
    <col min="34" max="34" width="7.25" style="536" customWidth="1"/>
    <col min="35" max="35" width="6.875" style="536" customWidth="1"/>
    <col min="36" max="36" width="5.375" style="536" customWidth="1"/>
    <col min="37" max="37" width="9.125" style="536" customWidth="1"/>
    <col min="38" max="39" width="6.625" style="536" customWidth="1"/>
    <col min="40" max="40" width="6.75" style="536" customWidth="1"/>
    <col min="41" max="41" width="9.375" style="536" customWidth="1"/>
    <col min="42" max="42" width="5.625" style="536" customWidth="1"/>
    <col min="43" max="43" width="6" style="536" customWidth="1"/>
    <col min="44" max="64" width="9" style="536" customWidth="1"/>
    <col min="65" max="65" width="7.125" style="536" customWidth="1"/>
    <col min="66" max="66" width="11.625" style="536" customWidth="1"/>
    <col min="67" max="73" width="9" style="536" customWidth="1"/>
    <col min="74" max="75" width="9.375" style="536" customWidth="1"/>
    <col min="76" max="76" width="9.75" style="536" customWidth="1"/>
    <col min="77" max="81" width="9" style="536" customWidth="1"/>
    <col min="82" max="82" width="9.5" style="536" bestFit="1" customWidth="1"/>
    <col min="83" max="83" width="9" style="536" customWidth="1"/>
    <col min="84" max="16384" width="9" style="536"/>
  </cols>
  <sheetData>
    <row r="1" spans="1:106" s="334" customFormat="1" ht="36" customHeight="1" x14ac:dyDescent="0.25">
      <c r="A1" s="170" t="s">
        <v>112</v>
      </c>
      <c r="B1" s="170" t="s">
        <v>113</v>
      </c>
      <c r="C1" s="171" t="str">
        <f>輸入!$S$21</f>
        <v>單位電話</v>
      </c>
      <c r="D1" s="247" t="str">
        <f>輸入!$S$22</f>
        <v>單位傳真</v>
      </c>
      <c r="E1" s="364" t="str">
        <f>輸入!$B$2</f>
        <v>案由</v>
      </c>
      <c r="F1" s="171" t="s">
        <v>114</v>
      </c>
      <c r="G1" s="171" t="s">
        <v>115</v>
      </c>
      <c r="H1" s="170" t="s">
        <v>47</v>
      </c>
      <c r="I1" s="170" t="str">
        <f>輸入!$C$16</f>
        <v>身分證字號</v>
      </c>
      <c r="J1" s="170" t="str">
        <f>輸入!$D$16</f>
        <v>出生地</v>
      </c>
      <c r="K1" s="170" t="str">
        <f>輸入!$E$16</f>
        <v>電話號碼</v>
      </c>
      <c r="L1" s="171" t="str">
        <f>輸入!$F$16</f>
        <v>出生年月日</v>
      </c>
      <c r="M1" s="171" t="str">
        <f>輸入!$G$16</f>
        <v>戶籍地</v>
      </c>
      <c r="N1" s="171" t="str">
        <f>輸入!$H$16</f>
        <v>現住地</v>
      </c>
      <c r="O1" s="171" t="str">
        <f>輸入!$I$16</f>
        <v>職業</v>
      </c>
      <c r="P1" s="171" t="str">
        <f>輸入!$J$16</f>
        <v>教育程度</v>
      </c>
      <c r="Q1" s="171" t="str">
        <f>輸入!$K$16</f>
        <v>年齡</v>
      </c>
      <c r="R1" s="170" t="str">
        <f>輸入!$L$16</f>
        <v>姓別</v>
      </c>
      <c r="S1" s="171" t="str">
        <f>輸入!$M$16</f>
        <v>關係人</v>
      </c>
      <c r="T1" s="170" t="str">
        <f>輸入!$N$16</f>
        <v>國籍</v>
      </c>
      <c r="U1" s="170" t="str">
        <f>輸入!$B$12</f>
        <v>證明單編號</v>
      </c>
      <c r="V1" s="170" t="str">
        <f>輸入!$O$16</f>
        <v>移送書號</v>
      </c>
      <c r="W1" s="170" t="str">
        <f>輸入!$B$10</f>
        <v>報案日期</v>
      </c>
      <c r="X1" s="170" t="str">
        <f>輸入!$G$3</f>
        <v>攔查理由</v>
      </c>
      <c r="Y1" s="170" t="s">
        <v>116</v>
      </c>
      <c r="Z1" s="170" t="str">
        <f>輸入!$J$3</f>
        <v>車種</v>
      </c>
      <c r="AA1" s="170" t="str">
        <f>輸入!$J$4</f>
        <v>車牌</v>
      </c>
      <c r="AB1" s="170" t="e">
        <f>HLOOKUP(輸入!$H$14,調閱用!$I:$K,2,0)</f>
        <v>#N/A</v>
      </c>
      <c r="AC1" s="170" t="e">
        <f>HLOOKUP(輸入!$H$14,調閱用!$I:$K,3,0)</f>
        <v>#N/A</v>
      </c>
      <c r="AD1" s="170" t="e">
        <f>HLOOKUP(輸入!$H$14,調閱用!$I:$K,4,0)</f>
        <v>#N/A</v>
      </c>
      <c r="AE1" s="170" t="e">
        <f>HLOOKUP(輸入!$H$14,調閱用!$I:$K,5,0)</f>
        <v>#N/A</v>
      </c>
      <c r="AF1" s="170" t="e">
        <f>HLOOKUP(輸入!$H$14,調閱用!$I:$K,6,0)</f>
        <v>#N/A</v>
      </c>
      <c r="AG1" s="170" t="e">
        <f>HLOOKUP(輸入!$H$14,調閱用!$I:$K,7,0)</f>
        <v>#N/A</v>
      </c>
      <c r="AH1" s="170" t="e">
        <f>HLOOKUP(輸入!$H$14,調閱用!$I:$K,8,0)</f>
        <v>#N/A</v>
      </c>
      <c r="AI1" s="170" t="e">
        <f>HLOOKUP(輸入!$H$14,調閱用!$I:$K,9,0)</f>
        <v>#N/A</v>
      </c>
      <c r="AJ1" s="170" t="e">
        <f>HLOOKUP(輸入!$H$14,調閱用!$I:$K,10,0)</f>
        <v>#N/A</v>
      </c>
      <c r="AK1" s="171" t="str">
        <f>輸入!$N$3</f>
        <v>檢定合格單號碼</v>
      </c>
      <c r="AL1" s="171" t="str">
        <f>輸入!$N$4</f>
        <v>酒測器編號</v>
      </c>
      <c r="AM1" s="171" t="str">
        <f>輸入!$N$5</f>
        <v>酒測單案號</v>
      </c>
      <c r="AN1" s="171" t="str">
        <f>輸入!$N$6</f>
        <v>告發單</v>
      </c>
      <c r="AO1" s="171" t="str">
        <f>輸入!$N$7</f>
        <v>移置車輛保管單號</v>
      </c>
      <c r="AP1" s="333" t="s">
        <v>117</v>
      </c>
      <c r="AQ1" s="333" t="str">
        <f>輸入!$N$8</f>
        <v>查獲人員</v>
      </c>
      <c r="AR1" s="333" t="s">
        <v>118</v>
      </c>
      <c r="AS1" s="333" t="s">
        <v>119</v>
      </c>
      <c r="AT1" s="333" t="s">
        <v>120</v>
      </c>
      <c r="AU1" s="333" t="s">
        <v>121</v>
      </c>
      <c r="AV1" s="333" t="s">
        <v>122</v>
      </c>
      <c r="AW1" s="333" t="s">
        <v>123</v>
      </c>
      <c r="AX1" s="333" t="s">
        <v>124</v>
      </c>
      <c r="AY1" s="333" t="s">
        <v>125</v>
      </c>
      <c r="AZ1" s="333" t="s">
        <v>126</v>
      </c>
      <c r="BA1" s="333" t="s">
        <v>127</v>
      </c>
      <c r="BB1" s="333" t="s">
        <v>128</v>
      </c>
      <c r="BC1" s="333" t="s">
        <v>129</v>
      </c>
      <c r="BD1" s="333" t="s">
        <v>130</v>
      </c>
      <c r="BE1" s="333" t="s">
        <v>131</v>
      </c>
      <c r="BF1" s="333" t="s">
        <v>132</v>
      </c>
      <c r="BG1" s="333" t="s">
        <v>133</v>
      </c>
      <c r="BH1" s="333" t="s">
        <v>134</v>
      </c>
      <c r="BI1" s="333" t="s">
        <v>135</v>
      </c>
      <c r="BJ1" s="333" t="s">
        <v>136</v>
      </c>
      <c r="BK1" s="333" t="s">
        <v>137</v>
      </c>
      <c r="BL1" s="333" t="s">
        <v>138</v>
      </c>
      <c r="BM1" s="333" t="s">
        <v>139</v>
      </c>
      <c r="BN1" s="333" t="s">
        <v>140</v>
      </c>
      <c r="BO1" s="333" t="s">
        <v>141</v>
      </c>
      <c r="BP1" s="333" t="s">
        <v>142</v>
      </c>
      <c r="BQ1" s="333" t="s">
        <v>143</v>
      </c>
      <c r="BR1" s="333" t="s">
        <v>144</v>
      </c>
      <c r="BS1" s="333" t="s">
        <v>145</v>
      </c>
      <c r="BT1" s="333" t="s">
        <v>146</v>
      </c>
      <c r="BU1" s="333" t="s">
        <v>147</v>
      </c>
      <c r="BV1" s="333" t="s">
        <v>148</v>
      </c>
      <c r="BW1" s="333" t="s">
        <v>149</v>
      </c>
      <c r="BX1" s="333" t="s">
        <v>150</v>
      </c>
      <c r="BY1" s="333" t="s">
        <v>151</v>
      </c>
      <c r="BZ1" s="333" t="s">
        <v>152</v>
      </c>
      <c r="CA1" s="333" t="s">
        <v>153</v>
      </c>
      <c r="CB1" s="333" t="s">
        <v>154</v>
      </c>
      <c r="CC1" s="333" t="s">
        <v>155</v>
      </c>
      <c r="CD1" s="333" t="s">
        <v>156</v>
      </c>
      <c r="CE1" s="333" t="s">
        <v>157</v>
      </c>
      <c r="CF1" s="333" t="s">
        <v>158</v>
      </c>
      <c r="CG1" s="333" t="s">
        <v>159</v>
      </c>
      <c r="CH1" s="333" t="s">
        <v>160</v>
      </c>
      <c r="CI1" s="333" t="s">
        <v>161</v>
      </c>
      <c r="CJ1" s="333" t="s">
        <v>162</v>
      </c>
      <c r="CK1" s="333" t="s">
        <v>163</v>
      </c>
      <c r="CL1" s="333" t="s">
        <v>164</v>
      </c>
      <c r="CM1" s="333" t="s">
        <v>165</v>
      </c>
      <c r="CN1" s="333" t="s">
        <v>166</v>
      </c>
      <c r="CO1" s="333" t="s">
        <v>167</v>
      </c>
      <c r="CP1" s="333" t="s">
        <v>168</v>
      </c>
      <c r="CQ1" s="333" t="s">
        <v>169</v>
      </c>
      <c r="CR1" s="333" t="s">
        <v>170</v>
      </c>
      <c r="CS1" s="333" t="s">
        <v>171</v>
      </c>
      <c r="CT1" s="333" t="s">
        <v>172</v>
      </c>
      <c r="CU1" s="333" t="s">
        <v>173</v>
      </c>
      <c r="CV1" s="333" t="s">
        <v>174</v>
      </c>
      <c r="CW1" s="333" t="s">
        <v>175</v>
      </c>
      <c r="CX1" s="333" t="s">
        <v>176</v>
      </c>
      <c r="CY1" s="333" t="s">
        <v>177</v>
      </c>
      <c r="CZ1" s="333" t="s">
        <v>178</v>
      </c>
      <c r="DA1" s="334" t="s">
        <v>179</v>
      </c>
      <c r="DB1" s="334" t="s">
        <v>180</v>
      </c>
    </row>
    <row r="2" spans="1:106" s="530" customFormat="1" ht="80.25" customHeight="1" x14ac:dyDescent="0.25">
      <c r="A2" s="454" t="str">
        <f>CONCATENATE(輸入!$S$18,輸入!$T$18,輸入!$S$19,輸入!$T$19)</f>
        <v>臺北市政府警察局信義分局</v>
      </c>
      <c r="B2" s="454" t="str">
        <f>CONCATENATE(輸入!$S$20,輸入!$T$20)</f>
        <v>吳興街派出所</v>
      </c>
      <c r="C2" s="454" t="str">
        <f>輸入!$T$21</f>
        <v>(02)27398997</v>
      </c>
      <c r="D2" s="454" t="str">
        <f>輸入!$T$22</f>
        <v>(02)27398997</v>
      </c>
      <c r="E2" s="454" t="str">
        <f>呈報單!$G$15</f>
        <v>毀損</v>
      </c>
      <c r="F2" s="454" t="str">
        <f>IF($S$2=下拉用!$C$2,LEFT(下拉用!$J$5,10),LEFT(下拉用!$J$4,10))</f>
        <v>115年09月12日</v>
      </c>
      <c r="G2" s="454" t="str">
        <f>IF($S$2=下拉用!$C$2,MID(輸入!$C$11,6,2),MID(輸入!$C$10,6,2))</f>
        <v>12</v>
      </c>
      <c r="H2" s="452" t="s">
        <v>69</v>
      </c>
      <c r="I2" s="454" t="str">
        <f>UPPER(VLOOKUP(word用!$H$2,個資,2,FALSE))</f>
        <v>A126819564</v>
      </c>
      <c r="J2" s="454" t="str">
        <f>VLOOKUP(word用!$H$2,個資,3,FALSE)</f>
        <v>臺北市</v>
      </c>
      <c r="K2" s="454" t="str">
        <f>CONCATENATE("0",VLOOKUP(word用!$H$2,個資,4,FALSE))</f>
        <v>0935680306</v>
      </c>
      <c r="L2" s="454" t="str">
        <f>VLOOKUP(word用!$H$2,個資,16,FALSE)</f>
        <v>84.03.06</v>
      </c>
      <c r="M2" s="454" t="str">
        <f>VLOOKUP(word用!$H$2,個資,6,FALSE)</f>
        <v>臺北市信義區信義路五段150巷477號</v>
      </c>
      <c r="N2" s="454" t="str">
        <f>VLOOKUP(word用!$H$2,個資,7,FALSE)</f>
        <v>臺北市信義區信義路五段150巷477號</v>
      </c>
      <c r="O2" s="454" t="str">
        <f>VLOOKUP(word用!$H$2,個資,8,FALSE)</f>
        <v>收銀員</v>
      </c>
      <c r="P2" s="454" t="str">
        <f>VLOOKUP(word用!$H$2,個資,9,FALSE)</f>
        <v>大學畢業</v>
      </c>
      <c r="Q2" s="454">
        <f>VLOOKUP(word用!$H$2,個資,10,FALSE)</f>
        <v>31</v>
      </c>
      <c r="R2" s="454" t="str">
        <f>VLOOKUP(word用!$H$2,個資,11,FALSE)</f>
        <v>男</v>
      </c>
      <c r="S2" s="454">
        <f>VLOOKUP(word用!$H$2,個資,12,FALSE)</f>
        <v>0</v>
      </c>
      <c r="T2" s="454">
        <f>VLOOKUP(word用!$H$2,個資,13,FALSE)</f>
        <v>0</v>
      </c>
      <c r="U2" s="454" t="str">
        <f>UPPER(輸入!$C$12)</f>
        <v>Z115099AWBN1NGL</v>
      </c>
      <c r="V2" s="454">
        <f>VLOOKUP(word用!$H$2,個資,14,FALSE)</f>
        <v>0</v>
      </c>
      <c r="W2" s="454" t="str">
        <f>LEFT(下拉用!$J$9,10)</f>
        <v>115年09月12日</v>
      </c>
      <c r="X2" s="454">
        <f>輸入!$H$3</f>
        <v>0</v>
      </c>
      <c r="Y2" s="454" t="str">
        <f>輸入!$C$7</f>
        <v>臺北市信義區吳興街206號</v>
      </c>
      <c r="Z2" s="454" t="str">
        <f>輸入!$K$3</f>
        <v>輕機</v>
      </c>
      <c r="AA2" s="454" t="str">
        <f>UPPER(輸入!$K$4)</f>
        <v>EWJ-8123</v>
      </c>
      <c r="AB2" s="454" t="str">
        <f>下拉用!$J$2</f>
        <v>115年09月12日12時18分</v>
      </c>
      <c r="AC2" s="567">
        <f>輸入!$H$6</f>
        <v>0</v>
      </c>
      <c r="AD2" s="454">
        <f>輸入!$H$7</f>
        <v>0.67</v>
      </c>
      <c r="AE2" s="454">
        <f>輸入!$H$8</f>
        <v>400</v>
      </c>
      <c r="AF2" s="454">
        <f>輸入!$H$9</f>
        <v>0</v>
      </c>
      <c r="AG2" s="454">
        <f>輸入!$H$10</f>
        <v>0</v>
      </c>
      <c r="AH2" s="454" t="str">
        <f>輸入!$H$11</f>
        <v>自小客</v>
      </c>
      <c r="AI2" s="454" t="str">
        <f>輸入!$H$12</f>
        <v>abc-123</v>
      </c>
      <c r="AJ2" s="454">
        <f>輸入!$H$13</f>
        <v>0</v>
      </c>
      <c r="AK2" s="454" t="str">
        <f>UPPER(輸入!$O$3)</f>
        <v>J0JA1300812</v>
      </c>
      <c r="AL2" s="454" t="str">
        <f>UPPER(輸入!$O$4)</f>
        <v>A191245</v>
      </c>
      <c r="AM2" s="454" t="str">
        <f>UPPER(輸入!$O$5)</f>
        <v>125</v>
      </c>
      <c r="AN2" s="454" t="str">
        <f>UPPER(輸入!$O$6)</f>
        <v>A03H5S314</v>
      </c>
      <c r="AO2" s="496" t="str">
        <f>UPPER(輸入!$O$7)</f>
        <v>24AH5S00E</v>
      </c>
      <c r="AP2" s="454" t="str">
        <f>RIGHT(下拉用!$J$6,6)</f>
        <v>05時05分</v>
      </c>
      <c r="AQ2" s="454" t="str">
        <f>輸入!$U$24</f>
        <v>蘇詠棠</v>
      </c>
      <c r="AR2" s="454" t="str">
        <f>證人筆錄!$A$2</f>
        <v>你向警方表示你係為美國人士，請問你的中文聽、說、讀、寫能力如何？</v>
      </c>
      <c r="AS2" s="533" t="str">
        <f>證人筆錄!$A$6</f>
        <v>公司地址為何？現任何職？是否有公司授權委託書？</v>
      </c>
      <c r="AT2" s="533" t="str">
        <f>涉嫌人筆錄!$A$13</f>
        <v>物品是否為你同意並主動交付？且搜索扣押筆錄是否由你親自審視後，並簽名捺印？</v>
      </c>
      <c r="AU2" s="533" t="str">
        <f>證人筆錄!$A$3</f>
        <v>你上述年籍資料是否正確？是否為你本人？有無攜帶身分證明文件?</v>
      </c>
      <c r="AV2" s="533" t="str">
        <f>證人筆錄!$A4</f>
        <v>是否知道對方年籍資料、聯絡方式？與對方是否認識？有無仇恨或糾紛？</v>
      </c>
      <c r="AW2" s="533" t="str">
        <f>證人筆錄!$A$5</f>
        <v>上述所說是否實在？有無其他意見補充？</v>
      </c>
      <c r="AX2" s="533" t="str">
        <f>涉嫌人筆錄!$A$2</f>
        <v>警方所告知之罪名及權利你是否清楚?你有無刑案紀錄？</v>
      </c>
      <c r="AY2" s="533" t="str">
        <f>涉嫌人筆錄!$A$3</f>
        <v>你是否具有低收入戶、中低收入戶、原住民或其他依法令得請求法律扶助者的身分？妳是否需要通知親屬、法扶或委任律師陪同到場？</v>
      </c>
      <c r="AZ2" s="533" t="str">
        <f>涉嫌人筆錄!$A$4</f>
        <v>依據提審法第1條之規定，人民被法院以外之任何機關逮捕、拘禁時，其本人或他人得向逮捕、拘禁地之地方法院聲請提審。但其他法律規定得聲請及時由法院審查者，依其規定。前項聲請及第10條之抗告，免徵費用，你是否清楚此規定？是否需要聲請提審？</v>
      </c>
      <c r="BA2" s="533" t="str">
        <f>涉嫌人筆錄!$A$5</f>
        <v>現在時間年月日時分時分許，依刑事訴訟法為夜間偵訊時間，你是否同意接受製作夜間警詢筆錄？目前精神狀況是否良好？意識是否清醒？</v>
      </c>
      <c r="BB2" s="533" t="str">
        <f>涉嫌人筆錄!$A$6</f>
        <v>現在時間年月日時分時分許，依刑事訴訟法為夜間偵訊時間，警方不得對你詢問製作筆錄，你是否知悉？</v>
      </c>
      <c r="BC2" s="533" t="str">
        <f>涉嫌人筆錄!$A$7</f>
        <v>妳今()日因何事接受警方製作筆錄？</v>
      </c>
      <c r="BD2" s="533" t="str">
        <f>涉嫌人筆錄!$A$8</f>
        <v>你是否知悉於警詢筆錄中做不實陳述須負法律責任?</v>
      </c>
      <c r="BE2" s="533" t="str">
        <f>涉嫌人筆錄!$A$9</f>
        <v>你有無為自己或他人推卸刑責而向警方為不實陳述？</v>
      </c>
      <c r="BF2" s="533" t="str">
        <f>涉嫌人筆錄!$A$10</f>
        <v>警方製作警詢筆錄時，有無全程錄音錄影？</v>
      </c>
      <c r="BG2" s="533" t="str">
        <f>IF(ISBLANK(輸入!$C$10),涉嫌人筆錄!$A$11,涉嫌人筆錄!$A$12)</f>
        <v>警方於偵訊時你所陳述之事實是否為你自由意識下所陳述？警方有無以強暴脅迫等不正方法對你取供？</v>
      </c>
      <c r="BH2" s="533" t="str">
        <f>涉嫌人筆錄!$A$13</f>
        <v>物品是否為你同意並主動交付？且搜索扣押筆錄是否由你親自審視後，並簽名捺印？</v>
      </c>
      <c r="BI2" s="533" t="str">
        <f>被害人筆錄!$A$2</f>
        <v>你今(12)日因何事接受警方製作筆錄？</v>
      </c>
      <c r="BJ2" s="533" t="str">
        <f>被害人筆錄!$A$5</f>
        <v>對於特定或不特定人士做不實指控或謊報、隱匿實情，致使公務人員於文書登載不實必須擔負法律責任，是否清楚？</v>
      </c>
      <c r="BK2" s="533" t="str">
        <f>被害人筆錄!$A$4</f>
        <v>警方提供指認犯罪嫌疑人紀錄，編號一至六號中，何者為毀損的犯嫌？(犯嫌可能不在指認表中)</v>
      </c>
      <c r="BL2" s="533" t="str">
        <f>被害人筆錄!$A$6</f>
        <v>現場有無裝設監視器或其他人見聞？時間有無誤差？有無聯絡方式？有無佐證資料可提供警方?或有利事證須請警方協助調查?</v>
      </c>
      <c r="BM2" s="533" t="str">
        <f>被害人筆錄!$A$11</f>
        <v>你是否需要鑑識小隊採證？</v>
      </c>
      <c r="BN2" s="533" t="str">
        <f>被害人筆錄!$A$8</f>
        <v>你是否要提出告訴？提出何種告訴？是否曾向其他警察單位報案（有無開立證明單或未獲受理緣由過程）？是否附帶民事求償？有無與嫌犯和解或調解之意願？</v>
      </c>
      <c r="BO2" s="533" t="str">
        <f>被害人筆錄!$A$3</f>
        <v>是否知悉該犯罪嫌疑人（被告）的長相？穿著特徵？及其身分資料？</v>
      </c>
      <c r="BP2" s="533" t="str">
        <f>被害人筆錄!$A$7</f>
        <v>你是否知悉依刑訴法第237條告訴期為六個月？是否曾經提告此案過？或是否曾經撤回告訴過？</v>
      </c>
      <c r="BQ2" s="533" t="str">
        <f>被害人筆錄!$A$9</f>
        <v>你是否知悉依刑事訴訟法第 238 條 告訴乃論之罪，告訴人於第一審辯論終結前，得撤回其告訴。撤回告訴之人，不得再為同一件事提出告訴？</v>
      </c>
      <c r="BR2" s="533" t="str">
        <f>被害人筆錄!$A$13</f>
        <v>你是否確定要撤回告訴？為何你要撤回告訴？請詳述原因。撤回告訴狀與和解書是否由你親自填寫？是否能提供給警方？</v>
      </c>
      <c r="BS2" s="533" t="str">
        <f>被害人筆錄!$A$10</f>
        <v>如警方通知涉嫌人後，你是否同意與對方和解？</v>
      </c>
      <c r="BT2" s="533" t="str">
        <f>被害人筆錄!$A$12</f>
        <v>案件後續司法文書有無指定收件之處所？是否能提供聲請變更送達處所狀？</v>
      </c>
      <c r="BU2" s="533" t="str">
        <f>被害人筆錄!$A$14</f>
        <v>你於115年09月12日第一次警詢筆錄的陳述是否實在？</v>
      </c>
      <c r="BV2" s="533" t="str">
        <f>被害人筆錄!$A$15</f>
        <v>警方於年月日時分在約談涉嫌人來所說明案情,筆錄期間涉嫌人主動交付贓證物,是否為妳遭毀損之物品？是否由你領回？贓物認領保管單是否為妳本人確認無誤後親自簽名？</v>
      </c>
      <c r="BW2" s="533" t="str">
        <f>被害人筆錄!$A$16</f>
        <v>警方於發現贓證物，是否為妳遭毀損之物品？是否由你領回？贓物認領保管單是否為妳本人確認無誤後親自簽名？</v>
      </c>
      <c r="BX2" s="533" t="str">
        <f>證人筆錄!$B$2</f>
        <v>你與被害人為何種關係？如何認識？</v>
      </c>
      <c r="BY2" s="533" t="str">
        <f>證人筆錄!$B$3</f>
        <v>當被害人遭毀損時，你是否在場？請說明事情過程？</v>
      </c>
      <c r="BZ2" s="533" t="str">
        <f>證人筆錄!$B$6</f>
        <v>你是否知悉使公務員登載不實須負相關責任?</v>
      </c>
      <c r="CA2" s="533" t="str">
        <f>證人筆錄!$B$7</f>
        <v>對於特定或不特定人士做不實指控或謊報、隱匿實情，致使公務人員於文書登載不實必須擔負法律責任，是否清楚？</v>
      </c>
      <c r="CB2" s="533" t="str">
        <f>證人筆錄!$B$4</f>
        <v>你今(12)日因何事接受警方製作筆錄？</v>
      </c>
      <c r="CC2" s="533" t="str">
        <f>證人筆錄!$B$5</f>
        <v>妳與涉嫌人是否認識？何種關係？有無任何仇恨、糾紛？</v>
      </c>
      <c r="CD2" s="533" t="str">
        <f>IF(AND(COUNTIF(涉嫌人筆錄,輸入!$C$2)&gt;0,$S$2=下拉用!$C$2),HLOOKUP(輸入!$C$2,涉嫌人筆錄,2,FALSE),HLOOKUP(輸入!$C$2,被害人筆錄,2,FALSE))</f>
        <v>你是何時、何地、以何方式，發現你的物品遭毀損？請詳述之。</v>
      </c>
      <c r="CE2" s="533" t="str">
        <f>IF(AND(COUNTIF(涉嫌人筆錄,輸入!$C$2)&gt;0,$S$2=下拉用!$C$2),HLOOKUP(輸入!$C$2,涉嫌人筆錄,3,FALSE),HLOOKUP(輸入!$C$2,被害人筆錄,3,FALSE))</f>
        <v>妳遭毀損何物？價值為何？你為何會認為你遭染色之衣物是遭故意毀棄、損壞或致令不堪用？</v>
      </c>
      <c r="CF2" s="533" t="str">
        <f>IF(AND(COUNTIF(涉嫌人筆錄!$1:$1,輸入!$C$2)&gt;0,$S$2=下拉用!$C$2),HLOOKUP(輸入!$C$2,涉嫌人筆錄,4,FALSE),HLOOKUP(輸入!$C$2,被害人筆錄,4,FALSE))</f>
        <v>該遭毀損之物為何人所有？在何處遭到毀損？以何方式遭到毀損？毀損程度如何？除對你住所（或所有物）毀損外，有無其他侵害行為？</v>
      </c>
      <c r="CG2" s="533" t="str">
        <f>IF(AND(COUNTIF(涉嫌人筆錄!$1:$1,輸入!$C$2)&gt;0,$S$2=下拉用!$C$2),HLOOKUP(輸入!$C$2,涉嫌人筆錄,5,FALSE),HLOOKUP(輸入!$C$2,被害人筆錄,5,FALSE))</f>
        <v>該名犯嫌是以何種方式毀損你之財物？有無使用工具？何種工具？逃逸時，有無使用交通工具？</v>
      </c>
      <c r="CH2" s="533" t="str">
        <f>IF(AND(COUNTIF(涉嫌人筆錄!$1:$1,輸入!$C$2)&gt;0,$S$2=下拉用!$C$2),HLOOKUP(輸入!$C$2,涉嫌人筆錄,6,FALSE),HLOOKUP(輸入!$C$2,被害人筆錄,6,FALSE))</f>
        <v>妳是否認識上述毀損妳物品的犯嫌？有無糾紛或仇恨？</v>
      </c>
      <c r="CI2" s="533">
        <f>IF(AND(COUNTIF(涉嫌人筆錄!$1:$1,輸入!$C$2)&gt;0,$S$2=下拉用!$C$2),HLOOKUP(輸入!$C$2,涉嫌人筆錄,7,FALSE),HLOOKUP(輸入!$C$2,被害人筆錄,7,FALSE))</f>
        <v>0</v>
      </c>
      <c r="CJ2" s="533">
        <f>IF(AND(COUNTIF(涉嫌人筆錄!$1:$1,輸入!$C$2)&gt;0,$S$2=下拉用!$C$2),HLOOKUP(輸入!$C$2,涉嫌人筆錄,8,FALSE),HLOOKUP(輸入!$C$2,被害人筆錄,8,FALSE))</f>
        <v>0</v>
      </c>
      <c r="CK2" s="533">
        <f>IF(AND(COUNTIF(涉嫌人筆錄!$1:$1,輸入!$C$2)&gt;0,$S$2=下拉用!$C$2),HLOOKUP(輸入!$C$2,涉嫌人筆錄,9,FALSE),HLOOKUP(輸入!$C$2,被害人筆錄,9,FALSE))</f>
        <v>0</v>
      </c>
      <c r="CL2" s="533">
        <f>IF(AND(COUNTIF(涉嫌人筆錄!$1:$1,輸入!$C$2)&gt;0,$S$2=下拉用!$C$2),HLOOKUP(輸入!$C$2,涉嫌人筆錄,10,FALSE),HLOOKUP(輸入!$C$2,被害人筆錄,10,FALSE))</f>
        <v>0</v>
      </c>
      <c r="CM2" s="533">
        <f>IF(AND(COUNTIF(涉嫌人筆錄!$1:$1,輸入!$C$2)&gt;0,$S$2=下拉用!$C$2),HLOOKUP(輸入!$C$2,涉嫌人筆錄,11,FALSE),HLOOKUP(輸入!$C$2,被害人筆錄,11,FALSE))</f>
        <v>0</v>
      </c>
      <c r="CN2" s="533">
        <f>IF(AND(COUNTIF(涉嫌人筆錄!$1:$1,輸入!$C$2)&gt;0,$S$2=下拉用!$C$2),HLOOKUP(輸入!$C$2,涉嫌人筆錄,12,FALSE),HLOOKUP(輸入!$C$2,被害人筆錄,12,FALSE))</f>
        <v>0</v>
      </c>
      <c r="CO2" s="533">
        <f>IF(AND(COUNTIF(涉嫌人筆錄!$1:$1,輸入!$C$2)&gt;0,$S$2=下拉用!$C$2),HLOOKUP(輸入!$C$2,涉嫌人筆錄,13,FALSE),HLOOKUP(輸入!$C$2,被害人筆錄,13,FALSE))</f>
        <v>0</v>
      </c>
      <c r="CP2" s="533">
        <f>IF(AND(COUNTIF(涉嫌人筆錄!$1:$1,輸入!$C$2)&gt;0,$S$2=下拉用!$C$2),HLOOKUP(輸入!$C$2,涉嫌人筆錄,14,FALSE),HLOOKUP(輸入!$C$2,被害人筆錄,14,FALSE))</f>
        <v>0</v>
      </c>
      <c r="CQ2" s="533">
        <f>IF(AND(COUNTIF(涉嫌人筆錄!$1:$1,輸入!$C$2)&gt;0,$S$2=下拉用!$C$2),HLOOKUP(輸入!$C$2,涉嫌人筆錄,15,FALSE),HLOOKUP(輸入!$C$2,被害人筆錄,15,FALSE))</f>
        <v>0</v>
      </c>
      <c r="CR2" s="533">
        <f>IF(AND(COUNTIF(涉嫌人筆錄!$1:$1,輸入!$C$2)&gt;0,$S$2=下拉用!$C$2),HLOOKUP(輸入!$C$2,涉嫌人筆錄,16,FALSE),HLOOKUP(輸入!$C$2,被害人筆錄,16,FALSE))</f>
        <v>0</v>
      </c>
      <c r="CS2" s="533">
        <f>IF(AND(COUNTIF(涉嫌人筆錄!$1:$1,輸入!$C$2)&gt;0,$S$2=下拉用!$C$2),HLOOKUP(輸入!$C$2,涉嫌人筆錄,17,FALSE),HLOOKUP(輸入!$C$2,被害人筆錄,17,FALSE))</f>
        <v>0</v>
      </c>
      <c r="CT2" s="533">
        <f>IF(AND(COUNTIF(涉嫌人筆錄!$1:$1,輸入!$C$2)&gt;0,$S$2=下拉用!$C$2),HLOOKUP(輸入!$C$2,涉嫌人筆錄,18,FALSE),HLOOKUP(輸入!$C$2,被害人筆錄,18,FALSE))</f>
        <v>0</v>
      </c>
      <c r="CU2" s="533">
        <f>IF(AND(COUNTIF(涉嫌人筆錄!$1:$1,輸入!$C$2)&gt;0,$S$2=下拉用!$C$2),HLOOKUP(輸入!$C$2,涉嫌人筆錄,19,FALSE),HLOOKUP(輸入!$C$2,被害人筆錄,19,FALSE))</f>
        <v>0</v>
      </c>
      <c r="CV2" s="533">
        <f>IF(AND(COUNTIF(涉嫌人筆錄!$1:$1,輸入!$C$2)&gt;0,$S$2=下拉用!$C$2),HLOOKUP(輸入!$C$2,涉嫌人筆錄,20,FALSE),HLOOKUP(輸入!$C$2,被害人筆錄,20,FALSE))</f>
        <v>0</v>
      </c>
      <c r="CW2" s="533">
        <f>IF(AND(COUNTIF(涉嫌人筆錄!$1:$1,輸入!$C$2)&gt;0,$S$2=下拉用!$C$2),HLOOKUP(輸入!$C$2,涉嫌人筆錄,21,FALSE),HLOOKUP(輸入!$C$2,被害人筆錄,21,FALSE))</f>
        <v>0</v>
      </c>
      <c r="CX2" s="533">
        <f>IF(AND(COUNTIF(涉嫌人筆錄!$1:$1,輸入!$C$2)&gt;0,$S$2=下拉用!$C$2),HLOOKUP(輸入!$C$2,涉嫌人筆錄,22,FALSE),HLOOKUP(輸入!$C$2,被害人筆錄,22,FALSE))</f>
        <v>0</v>
      </c>
      <c r="CY2" s="533">
        <f>IF(AND(COUNTIF(涉嫌人筆錄!$1:$1,輸入!$C$2)&gt;0,$S$2=下拉用!$C$2),HLOOKUP(輸入!$C$2,涉嫌人筆錄,23,FALSE),HLOOKUP(輸入!$C$2,被害人筆錄,23,FALSE))</f>
        <v>0</v>
      </c>
      <c r="CZ2" s="533">
        <f>IF(AND(COUNTIF(涉嫌人筆錄!$1:$1,輸入!$C$2)&gt;0,$S$2=下拉用!$C$2),HLOOKUP(輸入!$C$2,涉嫌人筆錄,24,FALSE),HLOOKUP(輸入!$C$2,被害人筆錄,24,FALSE))</f>
        <v>0</v>
      </c>
      <c r="DA2" s="530" t="str">
        <f>輸入!$C$5</f>
        <v>報案人稱於115年09月12日12時18分載乘客至臺北市信義區吳興街206號，遭不知名民眾敲擊自小營(TDW-2575)右後側板金，並造成凹陷，故至所報案。</v>
      </c>
      <c r="DB2" s="530" t="str">
        <f>被害人筆錄!$A$20</f>
        <v>因為警方通知我在115年09月12日至所報毀損案，證明單號為，有循線通知嫌疑人到案說明，所以今日請我至貴派出所製作第二次筆錄以及領回贓證物。</v>
      </c>
    </row>
    <row r="3" spans="1:106" ht="22.5" customHeight="1" x14ac:dyDescent="0.25">
      <c r="A3" s="505"/>
      <c r="B3" s="505"/>
      <c r="C3" s="505"/>
      <c r="D3" s="505"/>
      <c r="F3" s="505"/>
      <c r="G3" s="334"/>
      <c r="H3" s="334"/>
      <c r="I3" s="505"/>
      <c r="J3" s="505"/>
      <c r="K3" s="505"/>
      <c r="L3" s="505"/>
      <c r="M3" s="505"/>
      <c r="N3" s="505"/>
      <c r="O3" s="505"/>
      <c r="P3" s="505"/>
      <c r="Q3" s="505"/>
      <c r="R3" s="505"/>
      <c r="S3" s="505"/>
      <c r="T3" s="505"/>
      <c r="X3" s="505"/>
      <c r="Y3" s="505"/>
      <c r="Z3" s="505"/>
      <c r="AA3" s="505"/>
      <c r="AB3" s="505"/>
      <c r="AC3" s="505"/>
      <c r="AD3" s="505"/>
      <c r="AE3" s="505"/>
      <c r="AF3" s="505"/>
      <c r="AG3" s="505"/>
      <c r="AH3" s="505"/>
      <c r="AI3" s="505"/>
      <c r="AJ3" s="505"/>
      <c r="AK3" s="505"/>
      <c r="AL3" s="505"/>
      <c r="AM3" s="505"/>
      <c r="AN3" s="505"/>
      <c r="AO3" s="505"/>
      <c r="AP3" s="505"/>
      <c r="AQ3" s="505"/>
    </row>
    <row r="4" spans="1:106" ht="25.5" customHeight="1" x14ac:dyDescent="0.25">
      <c r="A4" s="505"/>
      <c r="B4" s="505"/>
      <c r="C4" s="505"/>
      <c r="D4" s="505"/>
      <c r="F4" s="505"/>
      <c r="G4" s="530"/>
      <c r="H4" s="530"/>
      <c r="I4" s="505"/>
      <c r="J4" s="505"/>
      <c r="K4" s="505"/>
      <c r="L4" s="505"/>
      <c r="M4" s="505"/>
      <c r="N4" s="505"/>
      <c r="O4" s="505"/>
      <c r="P4" s="505"/>
      <c r="Q4" s="505"/>
      <c r="R4" s="505"/>
      <c r="S4" s="505"/>
      <c r="T4" s="505"/>
      <c r="X4" s="505"/>
      <c r="Y4" s="505"/>
      <c r="Z4" s="505"/>
      <c r="AA4" s="505"/>
      <c r="AB4" s="505"/>
      <c r="AC4" s="505"/>
      <c r="AD4" s="505"/>
      <c r="AE4" s="505"/>
      <c r="AF4" s="505"/>
      <c r="AG4" s="505"/>
      <c r="AH4" s="505"/>
      <c r="AI4" s="505"/>
      <c r="AJ4" s="505"/>
      <c r="AK4" s="505"/>
      <c r="AL4" s="505"/>
      <c r="AM4" s="505"/>
      <c r="AN4" s="505"/>
      <c r="AO4" s="505"/>
      <c r="AP4" s="505"/>
      <c r="AQ4" s="505"/>
    </row>
    <row r="5" spans="1:106" x14ac:dyDescent="0.25">
      <c r="A5" s="505"/>
      <c r="B5" s="505"/>
      <c r="C5" s="505"/>
      <c r="D5" s="505"/>
      <c r="E5" s="505"/>
      <c r="F5" s="505"/>
      <c r="G5" s="505"/>
      <c r="H5" s="568"/>
      <c r="I5" s="505"/>
      <c r="J5" s="505"/>
      <c r="K5" s="505"/>
      <c r="L5" s="505"/>
      <c r="M5" s="505"/>
      <c r="N5" s="505"/>
      <c r="O5" s="505"/>
      <c r="P5" s="505"/>
      <c r="Q5" s="505"/>
      <c r="R5" s="505"/>
      <c r="S5" s="505"/>
      <c r="T5" s="505"/>
      <c r="U5" s="505"/>
      <c r="V5" s="505"/>
      <c r="W5" s="505"/>
      <c r="X5" s="505"/>
      <c r="Y5" s="505"/>
      <c r="Z5" s="505"/>
      <c r="AA5" s="505"/>
      <c r="AB5" s="505"/>
      <c r="AC5" s="505"/>
      <c r="AD5" s="505"/>
      <c r="AE5" s="505"/>
      <c r="AF5" s="505"/>
      <c r="AG5" s="505"/>
      <c r="AH5" s="505"/>
      <c r="AI5" s="505"/>
      <c r="AJ5" s="505"/>
      <c r="AK5" s="505"/>
      <c r="AL5" s="505"/>
      <c r="AM5" s="505"/>
      <c r="AN5" s="505"/>
      <c r="AO5" s="505"/>
      <c r="AP5" s="505"/>
      <c r="AQ5" s="505"/>
    </row>
    <row r="6" spans="1:106" x14ac:dyDescent="0.25">
      <c r="A6" s="505"/>
      <c r="B6" s="505"/>
      <c r="C6" s="505"/>
      <c r="D6" s="505"/>
      <c r="E6" s="505"/>
      <c r="F6" s="505"/>
      <c r="G6" s="505"/>
      <c r="H6" s="568"/>
      <c r="I6" s="505"/>
      <c r="J6" s="505"/>
      <c r="K6" s="505"/>
      <c r="L6" s="505"/>
      <c r="M6" s="505"/>
      <c r="N6" s="505"/>
      <c r="O6" s="505"/>
      <c r="P6" s="505"/>
      <c r="Q6" s="505"/>
      <c r="R6" s="505"/>
      <c r="S6" s="505"/>
      <c r="T6" s="505"/>
      <c r="U6" s="505"/>
      <c r="V6" s="505"/>
      <c r="W6" s="505"/>
      <c r="X6" s="505"/>
      <c r="Y6" s="505"/>
      <c r="Z6" s="505"/>
      <c r="AA6" s="505"/>
      <c r="AB6" s="505"/>
      <c r="AC6" s="505"/>
      <c r="AD6" s="505"/>
      <c r="AE6" s="505"/>
      <c r="AF6" s="505"/>
      <c r="AG6" s="505"/>
      <c r="AH6" s="505"/>
      <c r="AI6" s="505"/>
      <c r="AJ6" s="505"/>
      <c r="AK6" s="505"/>
      <c r="AL6" s="505"/>
      <c r="AM6" s="505"/>
      <c r="AN6" s="505"/>
      <c r="AO6" s="505"/>
      <c r="AP6" s="505"/>
      <c r="AQ6" s="505"/>
    </row>
    <row r="7" spans="1:106" x14ac:dyDescent="0.25">
      <c r="A7" s="505"/>
      <c r="B7" s="505"/>
      <c r="C7" s="505"/>
      <c r="D7" s="505"/>
      <c r="E7" s="505"/>
      <c r="G7" s="505"/>
      <c r="H7" s="505"/>
      <c r="I7" s="505"/>
      <c r="J7" s="505"/>
      <c r="K7" s="505"/>
      <c r="L7" s="505"/>
      <c r="M7" s="505"/>
      <c r="N7" s="505"/>
      <c r="O7" s="505"/>
      <c r="P7" s="505"/>
      <c r="Q7" s="505"/>
      <c r="R7" s="505"/>
      <c r="S7" s="505"/>
      <c r="T7" s="505"/>
      <c r="U7" s="505"/>
      <c r="V7" s="505"/>
      <c r="W7" s="505"/>
      <c r="X7" s="505"/>
      <c r="Y7" s="505"/>
      <c r="Z7" s="505"/>
      <c r="AA7" s="505"/>
      <c r="AB7" s="505"/>
      <c r="AC7" s="505"/>
      <c r="AD7" s="505"/>
      <c r="AE7" s="505"/>
      <c r="AF7" s="505"/>
      <c r="AG7" s="505"/>
      <c r="AH7" s="505"/>
      <c r="AI7" s="505"/>
      <c r="AJ7" s="505"/>
      <c r="AK7" s="505"/>
      <c r="AL7" s="505"/>
      <c r="AM7" s="505"/>
      <c r="AN7" s="505"/>
      <c r="AO7" s="505"/>
      <c r="AP7" s="505"/>
      <c r="AQ7" s="505"/>
    </row>
    <row r="8" spans="1:106" x14ac:dyDescent="0.25">
      <c r="A8" s="505"/>
      <c r="B8" s="505"/>
      <c r="C8" s="505"/>
      <c r="D8" s="505"/>
      <c r="E8" s="505"/>
      <c r="F8" s="505"/>
      <c r="G8" s="505"/>
      <c r="H8" s="505"/>
      <c r="I8" s="505"/>
      <c r="J8" s="505"/>
      <c r="K8" s="505"/>
      <c r="L8" s="505"/>
      <c r="M8" s="505"/>
      <c r="N8" s="505"/>
      <c r="O8" s="505"/>
      <c r="P8" s="505"/>
      <c r="Q8" s="505"/>
      <c r="R8" s="505"/>
      <c r="S8" s="505"/>
      <c r="T8" s="505"/>
      <c r="U8" s="505"/>
      <c r="V8" s="505"/>
      <c r="W8" s="505"/>
      <c r="X8" s="505"/>
      <c r="Y8" s="505"/>
      <c r="Z8" s="505"/>
      <c r="AA8" s="505"/>
      <c r="AB8" s="505"/>
      <c r="AC8" s="505"/>
      <c r="AD8" s="505"/>
      <c r="AE8" s="505"/>
      <c r="AF8" s="505"/>
      <c r="AG8" s="505"/>
      <c r="AH8" s="505"/>
      <c r="AI8" s="505"/>
      <c r="AJ8" s="505"/>
      <c r="AK8" s="505"/>
      <c r="AL8" s="505"/>
      <c r="AM8" s="505"/>
      <c r="AN8" s="505"/>
      <c r="AO8" s="505"/>
      <c r="AP8" s="505"/>
      <c r="AQ8" s="505"/>
    </row>
    <row r="9" spans="1:106" x14ac:dyDescent="0.25">
      <c r="A9" s="505"/>
      <c r="B9" s="505"/>
      <c r="C9" s="505"/>
      <c r="D9" s="505"/>
      <c r="E9" s="505"/>
      <c r="F9" s="505"/>
      <c r="G9" s="505"/>
      <c r="H9" s="505"/>
      <c r="I9" s="505"/>
      <c r="J9" s="505"/>
      <c r="K9" s="505"/>
      <c r="L9" s="505"/>
      <c r="M9" s="505"/>
      <c r="N9" s="505"/>
      <c r="O9" s="505"/>
      <c r="P9" s="505"/>
      <c r="Q9" s="505"/>
      <c r="R9" s="505"/>
      <c r="S9" s="505"/>
      <c r="T9" s="505"/>
      <c r="U9" s="505"/>
      <c r="V9" s="505"/>
      <c r="W9" s="505"/>
      <c r="X9" s="505"/>
      <c r="Y9" s="505"/>
      <c r="Z9" s="505"/>
      <c r="AA9" s="505"/>
      <c r="AB9" s="505"/>
      <c r="AC9" s="505"/>
      <c r="AD9" s="505"/>
      <c r="AE9" s="505"/>
      <c r="AF9" s="505"/>
      <c r="AG9" s="505"/>
      <c r="AH9" s="505"/>
      <c r="AI9" s="505"/>
      <c r="AJ9" s="505"/>
      <c r="AK9" s="505"/>
      <c r="AL9" s="505"/>
      <c r="AM9" s="505"/>
      <c r="AN9" s="505"/>
      <c r="AO9" s="505"/>
      <c r="AP9" s="505"/>
      <c r="AQ9" s="505"/>
    </row>
    <row r="10" spans="1:106" x14ac:dyDescent="0.25">
      <c r="A10" s="505"/>
      <c r="B10" s="505"/>
      <c r="C10" s="505"/>
      <c r="D10" s="505"/>
      <c r="E10" s="505"/>
      <c r="F10" s="505"/>
      <c r="G10" s="505"/>
      <c r="H10" s="505"/>
      <c r="I10" s="505"/>
      <c r="J10" s="505"/>
      <c r="K10" s="505"/>
      <c r="L10" s="505"/>
      <c r="M10" s="505"/>
      <c r="N10" s="505"/>
      <c r="O10" s="505"/>
      <c r="P10" s="505"/>
      <c r="Q10" s="505"/>
      <c r="R10" s="505"/>
      <c r="S10" s="505"/>
      <c r="T10" s="505"/>
      <c r="U10" s="505"/>
      <c r="V10" s="505"/>
      <c r="W10" s="505"/>
      <c r="X10" s="505"/>
      <c r="Y10" s="505"/>
      <c r="Z10" s="505"/>
      <c r="AA10" s="505"/>
      <c r="AB10" s="505"/>
      <c r="AC10" s="505"/>
      <c r="AD10" s="505"/>
      <c r="AE10" s="505"/>
      <c r="AF10" s="505"/>
      <c r="AG10" s="505"/>
      <c r="AH10" s="505"/>
      <c r="AI10" s="505"/>
      <c r="AJ10" s="505"/>
      <c r="AK10" s="505"/>
      <c r="AL10" s="505"/>
      <c r="AM10" s="505"/>
      <c r="AN10" s="505"/>
      <c r="AO10" s="505"/>
      <c r="AP10" s="505"/>
      <c r="AQ10" s="505"/>
    </row>
    <row r="11" spans="1:106" x14ac:dyDescent="0.25">
      <c r="A11" s="505"/>
      <c r="B11" s="505"/>
      <c r="C11" s="505"/>
      <c r="D11" s="505"/>
      <c r="E11" s="505"/>
      <c r="F11" s="505"/>
      <c r="G11" s="505"/>
      <c r="H11" s="505"/>
      <c r="I11" s="505"/>
      <c r="J11" s="505"/>
      <c r="K11" s="505"/>
      <c r="L11" s="505"/>
      <c r="M11" s="505"/>
      <c r="N11" s="505"/>
      <c r="O11" s="505"/>
      <c r="P11" s="505"/>
      <c r="Q11" s="505"/>
      <c r="R11" s="505"/>
      <c r="S11" s="505"/>
      <c r="T11" s="505"/>
      <c r="U11" s="505"/>
      <c r="V11" s="505"/>
      <c r="W11" s="505"/>
      <c r="X11" s="505"/>
      <c r="Y11" s="505"/>
      <c r="Z11" s="505"/>
      <c r="AA11" s="505"/>
      <c r="AB11" s="505"/>
      <c r="AC11" s="505"/>
      <c r="AD11" s="505"/>
      <c r="AE11" s="505"/>
      <c r="AF11" s="505"/>
      <c r="AG11" s="505"/>
      <c r="AH11" s="505"/>
      <c r="AI11" s="505"/>
      <c r="AJ11" s="505"/>
      <c r="AK11" s="505"/>
      <c r="AL11" s="505"/>
      <c r="AM11" s="505"/>
      <c r="AN11" s="505"/>
      <c r="AO11" s="505"/>
      <c r="AP11" s="505"/>
      <c r="AQ11" s="505"/>
    </row>
    <row r="12" spans="1:106" ht="18" customHeight="1" x14ac:dyDescent="0.25">
      <c r="A12" s="505"/>
      <c r="B12" s="505"/>
      <c r="C12" s="505"/>
      <c r="D12" s="505"/>
      <c r="E12" s="505"/>
      <c r="F12" s="505"/>
      <c r="G12" s="505"/>
      <c r="H12" s="505"/>
      <c r="I12" s="505"/>
      <c r="J12" s="505"/>
      <c r="K12" s="505"/>
      <c r="L12" s="505"/>
      <c r="M12" s="505"/>
      <c r="N12" s="505"/>
      <c r="O12" s="505"/>
      <c r="P12" s="505"/>
      <c r="Q12" s="505"/>
      <c r="R12" s="505"/>
      <c r="S12" s="505"/>
      <c r="T12" s="505"/>
      <c r="U12" s="505"/>
      <c r="V12" s="505"/>
      <c r="W12" s="505"/>
      <c r="X12" s="505"/>
      <c r="Y12" s="505"/>
      <c r="Z12" s="505"/>
      <c r="AA12" s="505"/>
      <c r="AB12" s="505"/>
      <c r="AC12" s="505"/>
      <c r="AD12" s="505"/>
      <c r="AE12" s="505"/>
      <c r="AF12" s="505"/>
      <c r="AG12" s="505"/>
      <c r="AH12" s="505"/>
      <c r="AI12" s="505"/>
      <c r="AJ12" s="505"/>
      <c r="AK12" s="505"/>
      <c r="AL12" s="505"/>
      <c r="AM12" s="505"/>
      <c r="AN12" s="505"/>
      <c r="AO12" s="505"/>
      <c r="AP12" s="505"/>
      <c r="AQ12" s="505"/>
    </row>
    <row r="13" spans="1:106" x14ac:dyDescent="0.25">
      <c r="A13" s="505"/>
      <c r="B13" s="505"/>
      <c r="C13" s="505"/>
      <c r="D13" s="505"/>
      <c r="E13" s="505"/>
      <c r="F13" s="505"/>
      <c r="G13" s="505"/>
      <c r="H13" s="505"/>
      <c r="I13" s="505"/>
      <c r="J13" s="505"/>
      <c r="K13" s="505"/>
      <c r="L13" s="505"/>
      <c r="M13" s="505"/>
      <c r="N13" s="505"/>
      <c r="O13" s="505"/>
      <c r="P13" s="505"/>
      <c r="Q13" s="505"/>
      <c r="R13" s="505"/>
      <c r="S13" s="505"/>
      <c r="T13" s="505"/>
      <c r="U13" s="505"/>
      <c r="V13" s="505"/>
      <c r="W13" s="505"/>
      <c r="X13" s="505"/>
      <c r="Y13" s="505"/>
      <c r="Z13" s="505"/>
      <c r="AA13" s="505"/>
      <c r="AB13" s="505"/>
      <c r="AC13" s="505"/>
      <c r="AD13" s="505"/>
      <c r="AE13" s="505"/>
      <c r="AF13" s="505"/>
      <c r="AG13" s="505"/>
      <c r="AH13" s="505"/>
      <c r="AI13" s="505"/>
      <c r="AJ13" s="505"/>
      <c r="AK13" s="505"/>
      <c r="AL13" s="505"/>
      <c r="AM13" s="505"/>
      <c r="AN13" s="505"/>
      <c r="AO13" s="505"/>
      <c r="AP13" s="505"/>
      <c r="AQ13" s="505"/>
    </row>
    <row r="14" spans="1:106" x14ac:dyDescent="0.25">
      <c r="A14" s="505"/>
      <c r="B14" s="505"/>
      <c r="C14" s="505"/>
      <c r="D14" s="505"/>
      <c r="E14" s="505"/>
      <c r="F14" s="505"/>
      <c r="G14" s="505"/>
      <c r="H14" s="505"/>
      <c r="I14" s="505"/>
      <c r="J14" s="505"/>
      <c r="K14" s="505"/>
      <c r="L14" s="505"/>
      <c r="M14" s="505"/>
      <c r="N14" s="505"/>
      <c r="O14" s="505"/>
      <c r="P14" s="505"/>
      <c r="Q14" s="505"/>
      <c r="R14" s="505"/>
      <c r="S14" s="505"/>
      <c r="T14" s="505"/>
      <c r="U14" s="505"/>
      <c r="V14" s="505"/>
      <c r="W14" s="505"/>
      <c r="X14" s="505"/>
      <c r="Y14" s="505"/>
      <c r="Z14" s="505"/>
      <c r="AA14" s="505"/>
      <c r="AB14" s="505"/>
      <c r="AC14" s="505"/>
      <c r="AD14" s="505"/>
      <c r="AE14" s="505"/>
      <c r="AF14" s="505"/>
      <c r="AG14" s="505"/>
      <c r="AH14" s="505"/>
      <c r="AI14" s="505"/>
      <c r="AJ14" s="505"/>
      <c r="AK14" s="505"/>
      <c r="AL14" s="505"/>
      <c r="AM14" s="505"/>
      <c r="AN14" s="505"/>
      <c r="AO14" s="505"/>
      <c r="AP14" s="505"/>
      <c r="AQ14" s="505"/>
    </row>
    <row r="15" spans="1:106" x14ac:dyDescent="0.25">
      <c r="A15" s="505"/>
      <c r="B15" s="505"/>
      <c r="C15" s="505"/>
      <c r="D15" s="505"/>
      <c r="E15" s="505"/>
      <c r="F15" s="505"/>
      <c r="G15" s="505"/>
      <c r="H15" s="505"/>
      <c r="I15" s="505"/>
      <c r="J15" s="505"/>
      <c r="K15" s="505"/>
      <c r="L15" s="505"/>
      <c r="M15" s="505"/>
      <c r="N15" s="505"/>
      <c r="O15" s="505"/>
      <c r="P15" s="505"/>
      <c r="Q15" s="505"/>
      <c r="R15" s="505"/>
      <c r="S15" s="505"/>
      <c r="T15" s="505"/>
      <c r="U15" s="505"/>
      <c r="V15" s="505"/>
      <c r="W15" s="505"/>
      <c r="X15" s="505"/>
      <c r="Y15" s="505"/>
      <c r="Z15" s="505"/>
      <c r="AA15" s="505"/>
      <c r="AB15" s="505"/>
      <c r="AC15" s="505"/>
      <c r="AD15" s="505"/>
      <c r="AE15" s="505"/>
      <c r="AF15" s="505"/>
      <c r="AG15" s="505"/>
      <c r="AH15" s="505"/>
      <c r="AI15" s="505"/>
      <c r="AJ15" s="505"/>
      <c r="AK15" s="505"/>
      <c r="AL15" s="505"/>
      <c r="AM15" s="505"/>
      <c r="AN15" s="505"/>
      <c r="AO15" s="505"/>
      <c r="AP15" s="505"/>
      <c r="AQ15" s="505"/>
    </row>
    <row r="16" spans="1:106" x14ac:dyDescent="0.25">
      <c r="A16" s="505"/>
      <c r="B16" s="505"/>
      <c r="C16" s="505"/>
      <c r="D16" s="505"/>
      <c r="E16" s="505"/>
      <c r="F16" s="505"/>
      <c r="G16" s="505"/>
      <c r="H16" s="505"/>
      <c r="I16" s="505"/>
      <c r="J16" s="505"/>
      <c r="K16" s="505"/>
      <c r="L16" s="505"/>
      <c r="M16" s="505"/>
      <c r="N16" s="505"/>
      <c r="O16" s="505"/>
      <c r="P16" s="505"/>
      <c r="Q16" s="505"/>
      <c r="R16" s="505"/>
      <c r="S16" s="505"/>
      <c r="T16" s="505"/>
      <c r="U16" s="505"/>
      <c r="V16" s="505"/>
      <c r="W16" s="505"/>
      <c r="X16" s="505"/>
      <c r="Y16" s="505"/>
      <c r="Z16" s="505"/>
      <c r="AA16" s="505"/>
      <c r="AB16" s="505"/>
      <c r="AC16" s="505"/>
      <c r="AD16" s="505"/>
      <c r="AE16" s="505"/>
      <c r="AF16" s="505"/>
      <c r="AG16" s="505"/>
      <c r="AH16" s="505"/>
      <c r="AI16" s="505"/>
      <c r="AJ16" s="505"/>
      <c r="AK16" s="505"/>
      <c r="AL16" s="505"/>
      <c r="AM16" s="505"/>
      <c r="AN16" s="505"/>
      <c r="AO16" s="505"/>
      <c r="AP16" s="505"/>
      <c r="AQ16" s="505"/>
    </row>
    <row r="17" spans="5:8" x14ac:dyDescent="0.25">
      <c r="E17" s="505"/>
      <c r="G17" s="505"/>
      <c r="H17" s="505"/>
    </row>
    <row r="18" spans="5:8" x14ac:dyDescent="0.25">
      <c r="E18" s="505"/>
      <c r="G18" s="505"/>
      <c r="H18" s="505"/>
    </row>
  </sheetData>
  <phoneticPr fontId="1" type="noConversion"/>
  <pageMargins left="0.7" right="0.7" top="0.75" bottom="0.75" header="0.3" footer="0.3"/>
  <pageSetup paperSize="9"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275DC5AB-72B4-449D-9848-A5C6ABCC5BE1}">
          <x14:formula1>
            <xm:f>輸入!B17:B26</xm:f>
          </x14:formula1>
          <xm:sqref>H2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8"/>
  <dimension ref="A1:AC42"/>
  <sheetViews>
    <sheetView zoomScale="90" zoomScaleNormal="90" workbookViewId="0">
      <selection activeCell="J2" sqref="J2"/>
    </sheetView>
  </sheetViews>
  <sheetFormatPr defaultColWidth="23.125" defaultRowHeight="16.5" x14ac:dyDescent="0.25"/>
  <cols>
    <col min="1" max="1" width="35.875" style="536" customWidth="1"/>
    <col min="2" max="2" width="46.25" style="536" customWidth="1"/>
    <col min="3" max="3" width="8" style="536" customWidth="1"/>
    <col min="4" max="4" width="9.75" style="536" customWidth="1"/>
    <col min="5" max="5" width="10.5" style="536" customWidth="1"/>
    <col min="6" max="6" width="9.75" style="536" customWidth="1"/>
    <col min="7" max="7" width="8.75" style="536" customWidth="1"/>
    <col min="8" max="8" width="9.625" style="536" customWidth="1"/>
    <col min="9" max="9" width="9.375" style="536" customWidth="1"/>
    <col min="10" max="10" width="23.125" style="505" customWidth="1"/>
    <col min="11" max="11" width="7.5" style="505" customWidth="1"/>
    <col min="12" max="12" width="7.75" style="505" customWidth="1"/>
    <col min="13" max="13" width="7.5" style="505" customWidth="1"/>
    <col min="14" max="14" width="9.75" style="505" customWidth="1"/>
    <col min="15" max="15" width="5" style="505" customWidth="1"/>
    <col min="16" max="26" width="5.625" style="505" customWidth="1"/>
    <col min="27" max="27" width="23.125" style="505" customWidth="1"/>
    <col min="28" max="28" width="5.125" style="505" customWidth="1"/>
    <col min="29" max="29" width="8.375" style="505" customWidth="1"/>
    <col min="30" max="30" width="23.125" style="505" customWidth="1"/>
    <col min="31" max="16384" width="23.125" style="505"/>
  </cols>
  <sheetData>
    <row r="1" spans="1:29" s="87" customFormat="1" ht="39" customHeight="1" x14ac:dyDescent="0.25">
      <c r="A1" s="483" t="s">
        <v>181</v>
      </c>
      <c r="B1" s="483" t="s">
        <v>4</v>
      </c>
      <c r="C1" s="483" t="s">
        <v>58</v>
      </c>
      <c r="D1" s="483" t="s">
        <v>182</v>
      </c>
      <c r="E1" s="483" t="s">
        <v>183</v>
      </c>
      <c r="F1" s="483" t="s">
        <v>184</v>
      </c>
      <c r="G1" s="536"/>
      <c r="H1" s="483" t="s">
        <v>185</v>
      </c>
      <c r="I1" s="483"/>
    </row>
    <row r="2" spans="1:29" ht="76.5" customHeight="1" x14ac:dyDescent="0.25">
      <c r="A2" s="530" t="str">
        <f>CONCATENATE("一、",輸入!$S$20,"所",輸入!$T$24,輸入!$O$8,"擔服",輸入!$K$2,"勤務，受理民眾",$D$11,"於",$J$4,"在",輸入!$C$7,"所報",輸入!$C$2,"案(",word用!$U$1,"：",word用!$U$2,")，經報案人筆錄中所稱嫌疑人為",$D$10,"，故通知涉嫌人",$E$10,"至所說明，通知嫌疑人製作筆錄。")</f>
        <v>一、吳興街所警員蘇詠棠擔服勤務，受理民眾黃軾錦於115年09月12日13時30分在臺北市信義區吳興街206號所報毀損案(證明單編號：Z115099AWBN1NGL)，經報案人筆錄中所稱嫌疑人為，故通知涉嫌人至所說明，通知嫌疑人製作筆錄。</v>
      </c>
      <c r="B2" s="536" t="str">
        <f>CONCATENATE("一、",輸入!$S$20,"所",輸入!$T$24,輸入!$O$8,"受理民眾",$D$11,"報案，於",$J$4,"在",輸入!$C$7,"稱有",輸入!$C$2,"案件(",word用!$U$1,"：",word用!$U$2,")。警方依規定受理後，調閱店家及公家道路監視器影像，尋線找到嫌疑人",$E$10,"並通知到案說明。")</f>
        <v>一、吳興街所警員蘇詠棠受理民眾黃軾錦報案，於115年09月12日13時30分在臺北市信義區吳興街206號稱有毀損案件(證明單編號：Z115099AWBN1NGL)。警方依規定受理後，調閱店家及公家道路監視器影像，尋線找到嫌疑人並通知到案說明。</v>
      </c>
      <c r="C2" s="536" t="s">
        <v>80</v>
      </c>
      <c r="D2" s="536" t="s">
        <v>181</v>
      </c>
      <c r="E2" s="536" t="s">
        <v>186</v>
      </c>
      <c r="F2" s="536" t="s">
        <v>187</v>
      </c>
      <c r="H2" s="530" t="s">
        <v>188</v>
      </c>
      <c r="I2" s="536" t="str">
        <f>輸入!$B8</f>
        <v>發生日期</v>
      </c>
      <c r="J2" s="530" t="str">
        <f>CONCATENATE(LEFT(輸入!$C$8,3),"年",MID(輸入!$C$8,4,2),"月",MID(輸入!$C$8,6,2),"日",MID(輸入!$C$8,8,2),"時",RIGHT(輸入!$C$8,2),"分")</f>
        <v>115年09月12日12時18分</v>
      </c>
      <c r="L2" s="505" t="str">
        <f>IF(輸入!$M17&lt;&gt;下拉用!$C$2,"",CONCATENATE(輸入!$B17))</f>
        <v/>
      </c>
      <c r="M2" s="505" t="str">
        <f>IF(輸入!$M17&lt;&gt;下拉用!$C$2,"",CONCATENATE(輸入!$B17,"(",輸入!$L17,"、",LEFT(輸入!$F17,2),"年次)"))</f>
        <v/>
      </c>
      <c r="N2" s="505" t="str">
        <f>IF(輸入!$M17&lt;&gt;下拉用!$C$2,"",CONCATENATE(輸入!$B17,"(",UPPER(輸入!$C17),"、",輸入!$Q17,")"))</f>
        <v/>
      </c>
      <c r="O2" s="450" t="str">
        <f>IF(輸入!$M17&lt;&gt;下拉用!$C$3,"",CONCATENATE(輸入!$B17))</f>
        <v>黃軾錦</v>
      </c>
      <c r="P2" s="450" t="str">
        <f>IF(輸入!$M17&lt;&gt;下拉用!$C$3,"",CONCATENATE(輸入!$B17,"(",輸入!$L17,"、",LEFT(輸入!$F17,2),"年次)"))</f>
        <v>黃軾錦(男、74年次)</v>
      </c>
      <c r="Q2" s="36" t="str">
        <f>IF(輸入!$M$17&lt;&gt;下拉用!$C$2,"",REPLACE(輸入!$B$17,2,1,"O"))</f>
        <v/>
      </c>
      <c r="R2" s="569">
        <f>輸入!$T$17-LEFT(輸入!$F17,2)</f>
        <v>41</v>
      </c>
      <c r="S2" s="569" t="str">
        <f>IF(ISEVEN(MID(輸入!$C17,2,1)),"女","男")</f>
        <v>男</v>
      </c>
      <c r="T2" s="36"/>
      <c r="U2" s="414"/>
      <c r="V2" s="414"/>
      <c r="W2" s="450" t="s">
        <v>189</v>
      </c>
      <c r="X2" s="36" t="s">
        <v>190</v>
      </c>
      <c r="Y2" s="415" t="s">
        <v>191</v>
      </c>
      <c r="Z2" s="36" t="s">
        <v>192</v>
      </c>
      <c r="AB2" s="436"/>
      <c r="AC2" s="436"/>
    </row>
    <row r="3" spans="1:29" ht="76.5" customHeight="1" x14ac:dyDescent="0.25">
      <c r="A3" s="536" t="str">
        <f>IF(ISBLANK(輸入!$C$11),下拉用!$B$4,下拉用!$A$4)</f>
        <v>二、警方聯繫嫌疑人於114年06月06日18時00分至所說明，但嫌於通知日期仍未至所說明，全案提供相關附件為證。</v>
      </c>
      <c r="C3" s="536" t="s">
        <v>66</v>
      </c>
      <c r="D3" s="536" t="s">
        <v>4</v>
      </c>
      <c r="E3" s="536" t="s">
        <v>193</v>
      </c>
      <c r="F3" s="536" t="s">
        <v>194</v>
      </c>
      <c r="H3" s="536" t="s">
        <v>195</v>
      </c>
      <c r="I3" s="536" t="str">
        <f>輸入!$B9</f>
        <v>發現日期</v>
      </c>
      <c r="J3" s="530" t="str">
        <f>CONCATENATE(LEFT(輸入!$C$9,3),"年",MID(輸入!$C$9,4,2),"月",MID(輸入!$C$9,6,2),"日",MID(輸入!$C$9,8,2),"時",RIGHT(輸入!$C$9,2),"分")</f>
        <v>年月日時分</v>
      </c>
      <c r="L3" s="505" t="str">
        <f>IF(輸入!$M18&lt;&gt;下拉用!$C$2,"",CONCATENATE(輸入!$B18))</f>
        <v/>
      </c>
      <c r="M3" s="505" t="str">
        <f>IF(輸入!$M18&lt;&gt;下拉用!$C$2,"",CONCATENATE(輸入!$B18,"(",輸入!$L18,"、",LEFT(輸入!$F18,2),"年次)"))</f>
        <v/>
      </c>
      <c r="N3" s="505" t="str">
        <f>IF(輸入!$M18&lt;&gt;下拉用!$C$2,"",CONCATENATE(輸入!$B18,"(",UPPER(輸入!$C18),"、",輸入!$Q18,")"))</f>
        <v/>
      </c>
      <c r="O3" s="450" t="str">
        <f>IF(輸入!$M18&lt;&gt;下拉用!$C$3,"",CONCATENATE(輸入!$B18))</f>
        <v/>
      </c>
      <c r="P3" s="450" t="str">
        <f>IF(輸入!$M18&lt;&gt;下拉用!$C$3,"",CONCATENATE(輸入!$B18,"(",輸入!$L18,"、",LEFT(輸入!$F18,2),"年次)"))</f>
        <v/>
      </c>
      <c r="Q3" s="36" t="str">
        <f>IF(輸入!$M$18&lt;&gt;下拉用!$C$2,"",REPLACE(輸入!$B$18,2,1,"O"))</f>
        <v/>
      </c>
      <c r="R3" s="569">
        <f>輸入!$T$17-LEFT(輸入!$F18,2)</f>
        <v>31</v>
      </c>
      <c r="S3" s="569" t="str">
        <f>IF(ISEVEN(MID(輸入!$C18,2,1)),"女","男")</f>
        <v>男</v>
      </c>
      <c r="T3" s="36"/>
      <c r="U3" s="414"/>
      <c r="V3" s="414">
        <f>IF(COUNTIF(入出所!$B$8:$B$12,X3)&gt;0,"",MAX($W$2:W2)+1)</f>
        <v>1</v>
      </c>
      <c r="W3" s="450">
        <f>IF(COUNTIF('呈報單 多人'!$B$7:$E$41,X3)&gt;0,"",MAX($W$2:W2)+1)</f>
        <v>1</v>
      </c>
      <c r="X3" s="36" t="str">
        <f>輸入!B17</f>
        <v>黃軾錦</v>
      </c>
      <c r="Y3" s="415" t="str">
        <f>VLOOKUP(ROW(輸入!A1),W3:X11,2,0)</f>
        <v>黃軾錦</v>
      </c>
      <c r="Z3" s="36"/>
      <c r="AB3" s="436"/>
      <c r="AC3" s="436"/>
    </row>
    <row r="4" spans="1:29" ht="49.5" customHeight="1" x14ac:dyDescent="0.25">
      <c r="A4" s="536" t="str">
        <f>CONCATENATE("二、警方聯繫嫌疑人",$F$10,"，",LEFT(下拉用!$C$10,1),"嫌於",$J$5,"至所說明，",LEFT(下拉用!$C$10,1),"嫌於警詢筆錄中表示",輸入!$C$3,"，其他內容詳如筆錄，全案製作筆錄與相關附件為證。")</f>
        <v>二、警方聯繫嫌疑人，嫌於年月日時分至所說明，嫌於警詢筆錄中表示，其他內容詳如筆錄，全案製作筆錄與相關附件為證。</v>
      </c>
      <c r="B4" s="536" t="str">
        <f>CONCATENATE("二、警方聯繫嫌疑人",$F$10,"於",$J$13,"至所說明，但",LEFT(下拉用!$C$10,1),"嫌於通知日期仍未至所說明，全案提供相關附件為證。")</f>
        <v>二、警方聯繫嫌疑人於114年06月06日18時00分至所說明，但嫌於通知日期仍未至所說明，全案提供相關附件為證。</v>
      </c>
      <c r="C4" s="536" t="s">
        <v>73</v>
      </c>
      <c r="E4" s="536" t="str">
        <f>IF(ISBLANK(輸入!$K$3),"",CONCATENATE("駕駛",輸入!$K$3,"(",UPPER(輸入!$K$4),")"))</f>
        <v>駕駛輕機(EWJ-8123)</v>
      </c>
      <c r="F4" s="536" t="s">
        <v>196</v>
      </c>
      <c r="I4" s="536" t="str">
        <f>輸入!$B10</f>
        <v>報案日期</v>
      </c>
      <c r="J4" s="530" t="str">
        <f>CONCATENATE(LEFT(輸入!$C$10,3),"年",MID(輸入!$C$10,4,2),"月",MID(輸入!$C$10,6,2),"日",MID(輸入!$C$10,8,2),"時",RIGHT(輸入!$C$10,2),"分")</f>
        <v>115年09月12日13時30分</v>
      </c>
      <c r="L4" s="505" t="str">
        <f>IF(輸入!$M19&lt;&gt;下拉用!$C$2,"",CONCATENATE(輸入!$B19))</f>
        <v/>
      </c>
      <c r="M4" s="505" t="str">
        <f>IF(輸入!$M19&lt;&gt;下拉用!$C$2,"",CONCATENATE(輸入!$B19,"(",輸入!$L19,"、",LEFT(輸入!$F19,2),"年次)"))</f>
        <v/>
      </c>
      <c r="N4" s="505" t="str">
        <f>IF(輸入!$M19&lt;&gt;下拉用!$C$2,"",CONCATENATE(輸入!$B19,"(",UPPER(輸入!$C19),"、",輸入!$Q19,")"))</f>
        <v/>
      </c>
      <c r="O4" s="450" t="str">
        <f>IF(輸入!$M19&lt;&gt;下拉用!$C$3,"",CONCATENATE(輸入!$B19))</f>
        <v/>
      </c>
      <c r="P4" s="450" t="str">
        <f>IF(輸入!$M19&lt;&gt;下拉用!$C$3,"",CONCATENATE(輸入!$B19,"(",輸入!$L19,"、",LEFT(輸入!$F19,2),"年次)"))</f>
        <v/>
      </c>
      <c r="Q4" s="36" t="str">
        <f>IF(輸入!$M$19&lt;&gt;下拉用!$C$2,"",REPLACE(輸入!$B$19,2,1,"O"))</f>
        <v/>
      </c>
      <c r="R4" s="569">
        <f>輸入!$T$17-LEFT(輸入!$F19,2)</f>
        <v>45</v>
      </c>
      <c r="S4" s="569" t="str">
        <f>IF(ISEVEN(MID(輸入!$C19,2,1)),"女","男")</f>
        <v>男</v>
      </c>
      <c r="T4" s="36"/>
      <c r="U4" s="414"/>
      <c r="V4" s="414">
        <f>IF(COUNTIF(入出所!$B$8:$B$12,X4)&gt;0,"",MAX($W$2:W3)+1)</f>
        <v>2</v>
      </c>
      <c r="W4" s="450" t="str">
        <f>IF(COUNTIF('呈報單 多人'!$B$7:$E$41,X4)&gt;0,"",MAX($W$2:W3)+1)</f>
        <v/>
      </c>
      <c r="X4" s="36" t="str">
        <f>輸入!B18</f>
        <v>顏文祥</v>
      </c>
      <c r="Y4" s="415" t="str">
        <f>VLOOKUP(ROW(輸入!A2),W4:X12,2,0)</f>
        <v>陳之浩</v>
      </c>
      <c r="Z4" s="36"/>
      <c r="AB4" s="436"/>
      <c r="AC4" s="436"/>
    </row>
    <row r="5" spans="1:29" ht="47.25" customHeight="1" x14ac:dyDescent="0.25">
      <c r="A5" s="536" t="str">
        <f>CONCATENATE("三、依",呈報單!$G$15,"罪嫌，函送  偵查隊  續辦。")</f>
        <v>三、依毀損罪嫌，函送  偵查隊  續辦。</v>
      </c>
      <c r="C5" s="536" t="s">
        <v>58</v>
      </c>
      <c r="F5" s="536" t="s">
        <v>197</v>
      </c>
      <c r="I5" s="536" t="str">
        <f>輸入!$B11</f>
        <v>查獲日期</v>
      </c>
      <c r="J5" s="530" t="str">
        <f>CONCATENATE(LEFT(輸入!$C$11,3),"年",MID(輸入!$C$11,4,2),"月",MID(輸入!$C$11,6,2),"日",MID(輸入!$C$11,8,2),"時",RIGHT(輸入!$C$11,2),"分")</f>
        <v>年月日時分</v>
      </c>
      <c r="L5" s="505" t="str">
        <f>IF(輸入!$M20&lt;&gt;下拉用!$C$2,"",CONCATENATE(輸入!$B20))</f>
        <v/>
      </c>
      <c r="M5" s="505" t="str">
        <f>IF(輸入!$M20&lt;&gt;下拉用!$C$2,"",CONCATENATE(輸入!$B20,"(",輸入!$L20,"、",LEFT(輸入!$F20,2),"年次)"))</f>
        <v/>
      </c>
      <c r="N5" s="505" t="str">
        <f>IF(輸入!$M20&lt;&gt;下拉用!$C$2,"",CONCATENATE(輸入!$B20,"(",UPPER(輸入!$C20),"、",輸入!$Q20,")"))</f>
        <v/>
      </c>
      <c r="O5" s="450" t="str">
        <f>IF(輸入!$M20&lt;&gt;下拉用!$C$3,"",CONCATENATE(輸入!$B20))</f>
        <v/>
      </c>
      <c r="P5" s="450" t="str">
        <f>IF(輸入!$M20&lt;&gt;下拉用!$C$3,"",CONCATENATE(輸入!$B20,"(",輸入!$L20,"、",LEFT(輸入!$F20,2),"年次)"))</f>
        <v/>
      </c>
      <c r="Q5" s="36" t="str">
        <f>IF(輸入!$M$20&lt;&gt;下拉用!$C$2,"",REPLACE(輸入!$B$20,2,1,"O"))</f>
        <v/>
      </c>
      <c r="R5" s="569">
        <f>輸入!$T$17-LEFT(輸入!$F20,2)</f>
        <v>62</v>
      </c>
      <c r="S5" s="569" t="str">
        <f>IF(ISEVEN(MID(輸入!$C20,2,1)),"女","男")</f>
        <v>男</v>
      </c>
      <c r="T5" s="36"/>
      <c r="U5" s="414"/>
      <c r="V5" s="414">
        <f>IF(COUNTIF(入出所!$B$8:$B$12,X5)&gt;0,"",MAX($W$2:W4)+1)</f>
        <v>2</v>
      </c>
      <c r="W5" s="450" t="str">
        <f>IF(COUNTIF('呈報單 多人'!$B$7:$E$41,X5)&gt;0,"",MAX($W$2:W4)+1)</f>
        <v/>
      </c>
      <c r="X5" s="36" t="str">
        <f>輸入!B19</f>
        <v>張鈞揮</v>
      </c>
      <c r="Y5" s="415" t="str">
        <f>VLOOKUP(ROW(輸入!A3),W5:X12,2,0)</f>
        <v>楊子慶</v>
      </c>
      <c r="Z5" s="36"/>
      <c r="AB5" s="436"/>
      <c r="AC5" s="436"/>
    </row>
    <row r="6" spans="1:29" ht="75" customHeight="1" x14ac:dyDescent="0.25">
      <c r="A6" s="536" t="str">
        <f>CONCATENATE("本所為偵辦",$D$11,"所報",呈報單!$G$15,"案(",word用!$U$1,"：",word用!$U$2,")，警方經被害人",$D$11,"筆錄中稱該",word用!$R$2,"子為",word用!$H$2,"(",UPPER(word用!$I$2),"、",word用!$L$2,")","，職試圖與",LEFT(word用!$H$2,1),"民聯絡，但",LEFT(word用!$H$2,1),"民一直不到案說明，為使偵查順遂惠予協助，以利案件之偵辦，煩請偵查隊協助發立通知書，通知關係人",word用!$H$2,"到案說明。")</f>
        <v>本所為偵辦黃軾錦所報毀損案(證明單編號：Z115099AWBN1NGL)，警方經被害人黃軾錦筆錄中稱該男子為顏文祥(A126819564、84.03.06)，職試圖與顏民聯絡，但顏民一直不到案說明，為使偵查順遂惠予協助，以利案件之偵辦，煩請偵查隊協助發立通知書，通知關係人顏文祥到案說明。</v>
      </c>
      <c r="B6" s="536" t="str">
        <f>CONCATENATE("本所為偵辦",$D$11,"所報",呈報單!$G$15,"案(",word用!$U$1,"：",word用!$U$2,")，警方調閱監視器及比對嫌疑人使用之交通工具後，發現該",word用!$R$2,"子為",word用!$H$2,"(",word用!$I$2,"、",word用!$L$2,")","，職試圖與",LEFT(word用!$H$2,1),"民聯絡，但",LEFT(word用!$H$2,1),"民一直不到案說明，為使偵查順遂惠予協助，以利案件之偵辦，煩請偵查隊協助發立通知書，通知關係人",word用!$H$2,"到案說明。")</f>
        <v>本所為偵辦黃軾錦所報毀損案(證明單編號：Z115099AWBN1NGL)，警方調閱監視器及比對嫌疑人使用之交通工具後，發現該男子為顏文祥(A126819564、84.03.06)，職試圖與顏民聯絡，但顏民一直不到案說明，為使偵查順遂惠予協助，以利案件之偵辦，煩請偵查隊協助發立通知書，通知關係人顏文祥到案說明。</v>
      </c>
      <c r="C6" s="536" t="s">
        <v>198</v>
      </c>
      <c r="J6" s="435" t="str">
        <f>CONCATENATE(LEFT(輸入!$H$5,3),"年",MID(輸入!$H$5,4,2),"月",MID(輸入!$H$5,6,2),"日",MID(輸入!$H$5,8,2),"時",RIGHT(輸入!$H$5,2),"分")</f>
        <v>114年05月05日05時05分</v>
      </c>
      <c r="L6" s="505" t="str">
        <f>IF(輸入!$M21&lt;&gt;下拉用!$C$2,"",CONCATENATE(輸入!$B21))</f>
        <v/>
      </c>
      <c r="M6" s="505" t="str">
        <f>IF(輸入!$M21&lt;&gt;下拉用!$C$2,"",CONCATENATE(輸入!$B21,"(",輸入!$L21,"、",LEFT(輸入!$F21,2),"年次)"))</f>
        <v/>
      </c>
      <c r="N6" s="505" t="str">
        <f>IF(輸入!$M21&lt;&gt;下拉用!$C$2,"",CONCATENATE(輸入!$B21,"(",UPPER(輸入!$C21),"、",輸入!$Q21,")"))</f>
        <v/>
      </c>
      <c r="O6" s="450" t="str">
        <f>IF(輸入!$M21&lt;&gt;下拉用!$C$3,"",CONCATENATE(輸入!$B21))</f>
        <v/>
      </c>
      <c r="P6" s="450" t="str">
        <f>IF(輸入!$M21&lt;&gt;下拉用!$C$3,"",CONCATENATE(輸入!$B21,"(",輸入!$L21,"、",LEFT(輸入!$F21,2),"年次)"))</f>
        <v/>
      </c>
      <c r="Q6" s="36" t="str">
        <f>IF(輸入!$M$21&lt;&gt;下拉用!$C$2,"",REPLACE(輸入!$B$21,2,1,"O"))</f>
        <v/>
      </c>
      <c r="R6" s="569">
        <f>輸入!$T$17-LEFT(輸入!$F21,2)</f>
        <v>28</v>
      </c>
      <c r="S6" s="569" t="str">
        <f>IF(ISEVEN(MID(輸入!$C21,2,1)),"女","男")</f>
        <v>男</v>
      </c>
      <c r="T6" s="36"/>
      <c r="U6" s="414"/>
      <c r="V6" s="414">
        <f>IF(COUNTIF(入出所!$B$8:$B$12,X6)&gt;0,"",MAX($W$2:W5)+1)</f>
        <v>2</v>
      </c>
      <c r="W6" s="450">
        <f>IF(COUNTIF('呈報單 多人'!$B$7:$E$41,X6)&gt;0,"",MAX($W$2:W5)+1)</f>
        <v>2</v>
      </c>
      <c r="X6" s="36" t="str">
        <f>輸入!B20</f>
        <v>陳之浩</v>
      </c>
      <c r="Y6" s="415" t="str">
        <f>VLOOKUP(ROW(輸入!A4),W6:X12,2,0)</f>
        <v>陳志偉</v>
      </c>
      <c r="Z6" s="36"/>
      <c r="AB6" s="436"/>
      <c r="AC6" s="436"/>
    </row>
    <row r="7" spans="1:29" ht="93" customHeight="1" x14ac:dyDescent="0.25">
      <c r="A7" s="536" t="str">
        <f>CONCATENATE(輸入!$S$20,"所",輸入!$T$24,輸入!$O$8,"擔服",輸入!$K$2,"勤務，受理民眾",$D$11,"於",$J$4,"所報",輸入!$C$2,"案(",word用!$U$1,"：",word用!$U$2,")，警方經被害人",$D$11,"筆錄中稱該",word用!$R$2,"子為",$D$10,"，查嫌疑人",$F$10,"涉有重嫌，故通知犯嫌於並",$J$5,"至所說明，犯嫌於筆錄中",輸入!$C$3,"，內容詳如筆錄，全案依",輸入!$C$2,"罪嫌函送臺灣臺北地方檢察署偵辦。")</f>
        <v>吳興街所警員蘇詠棠擔服勤務，受理民眾黃軾錦於115年09月12日13時30分所報毀損案(證明單編號：Z115099AWBN1NGL)，警方經被害人黃軾錦筆錄中稱該男子為，查嫌疑人涉有重嫌，故通知犯嫌於並年月日時分至所說明，犯嫌於筆錄中，內容詳如筆錄，全案依毀損罪嫌函送臺灣臺北地方檢察署偵辦。</v>
      </c>
      <c r="B7" s="536" t="str">
        <f>CONCATENATE(輸入!$S$20,"所",輸入!$T$24,輸入!$O$8,"擔服",輸入!$K$2,"勤務，受理民眾",$D$11,"於",$J$4,"所報",輸入!$C$2,"案(",word用!$U$1,"：",word用!$U$2,")，循線調閱監視器及比對嫌疑人使用之交通工具，查嫌疑人",$F$10,"涉有重嫌，故通知犯嫌於並",$J$5,"至所說明，犯嫌於筆錄中",輸入!$C$3,"，內容詳如筆錄，全案依",輸入!$C$2,"罪嫌函送臺灣臺北地方檢察署偵辦。")</f>
        <v>吳興街所警員蘇詠棠擔服勤務，受理民眾黃軾錦於115年09月12日13時30分所報毀損案(證明單編號：Z115099AWBN1NGL)，循線調閱監視器及比對嫌疑人使用之交通工具，查嫌疑人涉有重嫌，故通知犯嫌於並年月日時分至所說明，犯嫌於筆錄中，內容詳如筆錄，全案依毀損罪嫌函送臺灣臺北地方檢察署偵辦。</v>
      </c>
      <c r="C7" s="536" t="s">
        <v>199</v>
      </c>
      <c r="J7" s="435" t="str">
        <f>CONCATENATE(LEFT(輸入!$H$6,3),"年",MID(輸入!$H$6,4,2),"月",MID(輸入!$H$6,6,2),"日",MID(輸入!$H$6,8,2),"時",RIGHT(輸入!$H$6,2),"分")</f>
        <v>年月日時分</v>
      </c>
      <c r="L7" s="505" t="str">
        <f>IF(輸入!$M22&lt;&gt;下拉用!$C$2,"",CONCATENATE(輸入!$B22))</f>
        <v/>
      </c>
      <c r="M7" s="505" t="str">
        <f>IF(輸入!$M22&lt;&gt;下拉用!$C$2,"",CONCATENATE(輸入!$B22,"(",輸入!$L22,"、",LEFT(輸入!$F22,2),"年次)"))</f>
        <v/>
      </c>
      <c r="N7" s="505" t="str">
        <f>IF(輸入!$M22&lt;&gt;下拉用!$C$2,"",CONCATENATE(輸入!$B22,"(",UPPER(輸入!$C22),"、",輸入!$Q22,")"))</f>
        <v/>
      </c>
      <c r="O7" s="450" t="str">
        <f>IF(輸入!$M22&lt;&gt;下拉用!$C$3,"",CONCATENATE(輸入!$B22))</f>
        <v/>
      </c>
      <c r="P7" s="450" t="str">
        <f>IF(輸入!$M22&lt;&gt;下拉用!$C$3,"",CONCATENATE(輸入!$B22,"(",輸入!$L22,"、",LEFT(輸入!$F22,2),"年次)"))</f>
        <v/>
      </c>
      <c r="Q7" s="36" t="str">
        <f>IF(輸入!$M$22&lt;&gt;下拉用!$C$2,"",REPLACE(輸入!$B$22,2,1,"O"))</f>
        <v/>
      </c>
      <c r="R7" s="569">
        <f>輸入!$T$17-LEFT(輸入!$F22,2)</f>
        <v>33</v>
      </c>
      <c r="S7" s="569" t="str">
        <f>IF(ISEVEN(MID(輸入!$C22,2,1)),"女","男")</f>
        <v>男</v>
      </c>
      <c r="T7" s="36"/>
      <c r="U7" s="414"/>
      <c r="V7" s="414">
        <f>IF(COUNTIF(入出所!$B$8:$B$12,X7)&gt;0,"",MAX($W$2:W6)+1)</f>
        <v>3</v>
      </c>
      <c r="W7" s="450">
        <f>IF(COUNTIF('呈報單 多人'!$B$7:$E$41,X7)&gt;0,"",MAX($W$2:W6)+1)</f>
        <v>3</v>
      </c>
      <c r="X7" s="36" t="str">
        <f>輸入!B21</f>
        <v>楊子慶</v>
      </c>
      <c r="Y7" s="415" t="str">
        <f>VLOOKUP(ROW(輸入!A5),W7:X12,2,0)</f>
        <v>楊帆婷</v>
      </c>
      <c r="Z7" s="36"/>
      <c r="AB7" s="436"/>
      <c r="AC7" s="436"/>
    </row>
    <row r="8" spans="1:29" ht="40.5" customHeight="1" x14ac:dyDescent="0.25">
      <c r="A8" s="536" t="str">
        <f>CONCATENATE(輸入!$S$20,"所",輸入!$T$24,輸入!$O$8,"擔服",輸入!$K$2,"勤務，受理民眾",$D$11,"於",$J$4,"所報",輸入!$C$2,"案(",word用!$U$1,"：",word用!$U$2,")，筆錄中稱該嫌疑人",$F$10,"涉有重嫌，故通知犯嫌於",$J$13,"至所說明，但犯嫌於通知日期仍未至所說明，故全案依",輸入!$C$2,"罪嫌函送臺灣臺北地方檢察署偵辦。")</f>
        <v>吳興街所警員蘇詠棠擔服勤務，受理民眾黃軾錦於115年09月12日13時30分所報毀損案(證明單編號：Z115099AWBN1NGL)，筆錄中稱該嫌疑人涉有重嫌，故通知犯嫌於114年06月06日18時00分至所說明，但犯嫌於通知日期仍未至所說明，故全案依毀損罪嫌函送臺灣臺北地方檢察署偵辦。</v>
      </c>
      <c r="B8" s="536" t="str">
        <f>CONCATENATE(輸入!$S$20,"所",輸入!$T$24,輸入!$O$8,"擔服",輸入!$K$2,"勤務，受理民眾",$D$11,"於",$J$4,"所報",輸入!$C$2,"案(",word用!$U$1,"：",word用!$U$2,")，警方循線調閱監視器及比對嫌疑人使用之交通工具，查嫌疑人",$F$10,"涉有重嫌，故通知犯嫌於",$J$13,"至所說明，但犯嫌於通知日期仍未至所說明，故全案依",輸入!$C$2,"罪嫌函送臺灣臺北地方檢察署偵辦。")</f>
        <v>吳興街所警員蘇詠棠擔服勤務，受理民眾黃軾錦於115年09月12日13時30分所報毀損案(證明單編號：Z115099AWBN1NGL)，警方循線調閱監視器及比對嫌疑人使用之交通工具，查嫌疑人涉有重嫌，故通知犯嫌於114年06月06日18時00分至所說明，但犯嫌於通知日期仍未至所說明，故全案依毀損罪嫌函送臺灣臺北地方檢察署偵辦。</v>
      </c>
      <c r="C8" s="536" t="s">
        <v>200</v>
      </c>
      <c r="J8" s="435" t="str">
        <f>CONCATENATE(LEFT(輸入!$C$9,3),"年",MID(輸入!$C$9,4,2),"月",MID(輸入!$C$9,6,2),"日",MID(輸入!$C$9,8,2),"時",RIGHT(輸入!$C$9,2),"分")</f>
        <v>年月日時分</v>
      </c>
      <c r="L8" s="505" t="str">
        <f>IF(輸入!$M23&lt;&gt;下拉用!$C$2,"",CONCATENATE(輸入!$B23))</f>
        <v/>
      </c>
      <c r="M8" s="505" t="str">
        <f>IF(輸入!$M23&lt;&gt;下拉用!$C$2,"",CONCATENATE(輸入!$B23,"(",輸入!$L23,"、",LEFT(輸入!$F23,2),"年次)"))</f>
        <v/>
      </c>
      <c r="N8" s="505" t="str">
        <f>IF(輸入!$M23&lt;&gt;下拉用!$C$2,"",CONCATENATE(輸入!$B23,"(",UPPER(輸入!$C23),"、",輸入!$Q23,")"))</f>
        <v/>
      </c>
      <c r="O8" s="450" t="str">
        <f>IF(輸入!$M23&lt;&gt;下拉用!$C$3,"",CONCATENATE(輸入!$B23))</f>
        <v/>
      </c>
      <c r="P8" s="450" t="str">
        <f>IF(輸入!$M23&lt;&gt;下拉用!$C$3,"",CONCATENATE(輸入!$B23,"(",輸入!$L23,"、",LEFT(輸入!$F23,2),"年次)"))</f>
        <v/>
      </c>
      <c r="Q8" s="36" t="str">
        <f>IF(輸入!$M$23&lt;&gt;下拉用!$C$2,"",REPLACE(輸入!$B$23,2,1,"O"))</f>
        <v/>
      </c>
      <c r="R8" s="569">
        <f>輸入!$T$17-LEFT(輸入!$F23,2)</f>
        <v>37</v>
      </c>
      <c r="S8" s="569" t="str">
        <f>IF(ISEVEN(MID(輸入!$C23,2,1)),"女","男")</f>
        <v>女</v>
      </c>
      <c r="T8" s="36"/>
      <c r="U8" s="414"/>
      <c r="V8" s="414">
        <f>IF(COUNTIF(入出所!$B$8:$B$12,X8)&gt;0,"",MAX($W$2:W7)+1)</f>
        <v>4</v>
      </c>
      <c r="W8" s="450">
        <f>IF(COUNTIF('呈報單 多人'!$B$7:$E$41,X8)&gt;0,"",MAX($W$2:W7)+1)</f>
        <v>4</v>
      </c>
      <c r="X8" s="36" t="str">
        <f>輸入!B22</f>
        <v>陳志偉</v>
      </c>
      <c r="Y8" s="415" t="str">
        <f>VLOOKUP(ROW(輸入!A6),W8:X12,2,0)</f>
        <v>楊妍煦</v>
      </c>
      <c r="Z8" s="36"/>
      <c r="AB8" s="436"/>
      <c r="AC8" s="436"/>
    </row>
    <row r="9" spans="1:29" ht="16.5" customHeight="1" x14ac:dyDescent="0.25">
      <c r="J9" s="435" t="str">
        <f>CONCATENATE(LEFT(輸入!$C$10,3),"年",MID(輸入!$C$10,4,2),"月",MID(輸入!$C$10,6,2),"日",MID(輸入!$C$10,8,2),"時",RIGHT(輸入!$C$10,2),"分")</f>
        <v>115年09月12日13時30分</v>
      </c>
      <c r="L9" s="505" t="str">
        <f>IF(輸入!$M24&lt;&gt;下拉用!$C$2,"",CONCATENATE(輸入!$B24))</f>
        <v/>
      </c>
      <c r="M9" s="505" t="str">
        <f>IF(輸入!$M24&lt;&gt;下拉用!$C$2,"",CONCATENATE(輸入!$B24,"(",輸入!$L24,"、",LEFT(輸入!$F24,2),"年次)"))</f>
        <v/>
      </c>
      <c r="N9" s="505" t="str">
        <f>IF(輸入!$M24&lt;&gt;下拉用!$C$2,"",CONCATENATE(輸入!$B24,"(",UPPER(輸入!$C24),"、",輸入!$Q24,")"))</f>
        <v/>
      </c>
      <c r="O9" s="450" t="str">
        <f>IF(輸入!$M24&lt;&gt;下拉用!$C$3,"",CONCATENATE(輸入!$B24))</f>
        <v/>
      </c>
      <c r="P9" s="450" t="str">
        <f>IF(輸入!$M24&lt;&gt;下拉用!$C$3,"",CONCATENATE(輸入!$B24,"(",輸入!$L24,"、",LEFT(輸入!$F24,2),"年次)"))</f>
        <v/>
      </c>
      <c r="Q9" s="36" t="str">
        <f>IF(輸入!$M$24&lt;&gt;下拉用!$C$2,"",REPLACE(輸入!$B$24,2,1,"O"))</f>
        <v/>
      </c>
      <c r="R9" s="569">
        <f>輸入!$T$17-LEFT(輸入!$F24,2)</f>
        <v>40</v>
      </c>
      <c r="S9" s="569" t="str">
        <f>IF(ISEVEN(MID(輸入!$C24,2,1)),"女","男")</f>
        <v>女</v>
      </c>
      <c r="T9" s="36"/>
      <c r="U9" s="414"/>
      <c r="V9" s="414">
        <f>IF(COUNTIF(入出所!$B$8:$B$12,X9)&gt;0,"",MAX($W$2:W8)+1)</f>
        <v>5</v>
      </c>
      <c r="W9" s="450">
        <f>IF(COUNTIF('呈報單 多人'!$B$7:$E$41,X9)&gt;0,"",MAX($W$2:W8)+1)</f>
        <v>5</v>
      </c>
      <c r="X9" s="36" t="str">
        <f>輸入!B23</f>
        <v>楊帆婷</v>
      </c>
      <c r="Y9" s="415" t="str">
        <f>VLOOKUP(ROW(輸入!A7),W9:X12,2,0)</f>
        <v>施善為</v>
      </c>
      <c r="Z9" s="36"/>
      <c r="AB9" s="436"/>
      <c r="AC9" s="436"/>
    </row>
    <row r="10" spans="1:29" ht="40.5" customHeight="1" x14ac:dyDescent="0.25">
      <c r="A10" s="536" t="str">
        <f>CONCATENATE(,LEFT($J$5,10),"查獲",呈報單!$G$15,"犯",_xlfn.TEXTJOIN("、",TRUE,下拉用!$Q$2:$Q$11),"，工作辛勞得力")</f>
        <v>年月日時分查獲毀損犯，工作辛勞得力</v>
      </c>
      <c r="C10" s="536" t="str">
        <f>IF(ISNUMBER(SEARCH("涉嫌人",輸入!$M$17)),輸入!$B$17,
IF(ISNUMBER(SEARCH("涉嫌人",輸入!$M$18)),輸入!$B$18,
IF(ISNUMBER(SEARCH("涉嫌人",輸入!$M$19)),輸入!$B$19,
IF(ISNUMBER(SEARCH("涉嫌人",輸入!$M$20)),輸入!$B$20,
IF(ISNUMBER(SEARCH("涉嫌人",輸入!$M$21)),輸入!$B$21,
IF(ISNUMBER(SEARCH("涉嫌人",輸入!$M$22)),輸入!$B$22,
IF(ISNUMBER(SEARCH("涉嫌人",輸入!$M$23)),輸入!$B$23,
IF(ISNUMBER(SEARCH("涉嫌人",輸入!$M$24)),輸入!$B$24,
IF(ISNUMBER(SEARCH("涉嫌人",輸入!$M$25)),輸入!$B$25,
IF(ISNUMBER(SEARCH("涉嫌人",輸入!$M$26)),輸入!$B$26,""))))))))))</f>
        <v/>
      </c>
      <c r="D10" s="536" t="str">
        <f>_xlfn.TEXTJOIN("、",TRUE,下拉用!$L$2:$L$11)</f>
        <v/>
      </c>
      <c r="E10" s="536" t="str">
        <f>_xlfn.TEXTJOIN("、",TRUE,下拉用!$M$2:$M$11)</f>
        <v/>
      </c>
      <c r="F10" s="536" t="str">
        <f>_xlfn.TEXTJOIN("、",TRUE,下拉用!$N$2:$N$11)</f>
        <v/>
      </c>
      <c r="J10" s="435" t="str">
        <f>CONCATENATE("日期：中華民國 ",LEFT(輸入!$C$11,3),"年",MID(輸入!$C$11,4,2),"月",MID(輸入!$C$11,6,2),"日")</f>
        <v>日期：中華民國 年月日</v>
      </c>
      <c r="L10" s="505" t="str">
        <f>IF(輸入!$M25&lt;&gt;下拉用!$C$2,"",CONCATENATE(輸入!$B25))</f>
        <v/>
      </c>
      <c r="M10" s="505" t="str">
        <f>IF(輸入!$M25&lt;&gt;下拉用!$C$2,"",CONCATENATE(輸入!$B25,"(",輸入!$L25,"、",LEFT(輸入!$F25,2),"年次)"))</f>
        <v/>
      </c>
      <c r="N10" s="505" t="str">
        <f>IF(輸入!$M25&lt;&gt;下拉用!$C$2,"",CONCATENATE(輸入!$B25,"(",UPPER(輸入!$C25),"、",輸入!$Q25,")"))</f>
        <v/>
      </c>
      <c r="O10" s="450" t="str">
        <f>IF(輸入!$M25&lt;&gt;下拉用!$C$3,"",CONCATENATE(輸入!$B25))</f>
        <v/>
      </c>
      <c r="P10" s="450" t="str">
        <f>IF(輸入!$M25&lt;&gt;下拉用!$C$3,"",CONCATENATE(輸入!$B25,"(",輸入!$L25,"、",LEFT(輸入!$F25,2),"年次)"))</f>
        <v/>
      </c>
      <c r="Q10" s="36" t="str">
        <f>IF(輸入!$M$25&lt;&gt;下拉用!$C$2,"",REPLACE(輸入!$B$25,2,1,"O"))</f>
        <v/>
      </c>
      <c r="R10" s="569">
        <f>輸入!$T$17-LEFT(輸入!$F25,2)</f>
        <v>24</v>
      </c>
      <c r="S10" s="569" t="str">
        <f>IF(ISEVEN(MID(輸入!$C25,2,1)),"女","男")</f>
        <v>男</v>
      </c>
      <c r="T10" s="36"/>
      <c r="U10" s="414"/>
      <c r="V10" s="414">
        <f>IF(COUNTIF(入出所!$B$8:$B$12,X10)&gt;0,"",MAX($W$2:W9)+1)</f>
        <v>6</v>
      </c>
      <c r="W10" s="450">
        <f>IF(COUNTIF('呈報單 多人'!$B$7:$E$41,X10)&gt;0,"",MAX($W$2:W9)+1)</f>
        <v>6</v>
      </c>
      <c r="X10" s="36" t="str">
        <f>輸入!B24</f>
        <v>楊妍煦</v>
      </c>
      <c r="Y10" s="415" t="e">
        <f>VLOOKUP(ROW(輸入!A8),W10:X12,2,0)</f>
        <v>#N/A</v>
      </c>
      <c r="Z10" s="36"/>
      <c r="AB10" s="436"/>
      <c r="AC10" s="436"/>
    </row>
    <row r="11" spans="1:29" ht="38.25" customHeight="1" x14ac:dyDescent="0.25">
      <c r="A11" s="536" t="str">
        <f>CONCATENATE(,LEFT($J$13,10),"查獲",呈報單!$G$15,"犯",_xlfn.TEXTJOIN("、",TRUE,下拉用!$Q$2:$Q$11),"，工作辛勞得力")</f>
        <v>114年06月06日查獲毀損犯，工作辛勞得力</v>
      </c>
      <c r="C11" s="536" t="str">
        <f>CONCATENATE(,IF(ISNUMBER(SEARCH("被害人",輸入!$M$17)),輸入!$B$17,
IF(ISNUMBER(SEARCH("被害人",輸入!$M$18)),輸入!$B$18,
IF(ISNUMBER(SEARCH("被害人",輸入!$M$19)),輸入!$B$19,
IF(ISNUMBER(SEARCH("被害人",輸入!$M$20)),輸入!$B$20,
IF(ISNUMBER(SEARCH("被害人",輸入!$M$21)),輸入!$B$21,
IF(ISNUMBER(SEARCH("被害人",輸入!$M$22)),輸入!$B$22,
IF(ISNUMBER(SEARCH("被害人",輸入!$M$23)),輸入!$B$23,
IF(ISNUMBER(SEARCH("被害人",輸入!$M$24)),輸入!$B$24,
IF(ISNUMBER(SEARCH("被害人",輸入!$M$25)),輸入!$B$25,
IF(ISNUMBER(SEARCH("被害人",輸入!$M$26)),輸入!$B$26,"")))))))))))</f>
        <v>黃軾錦</v>
      </c>
      <c r="D11" s="536" t="str">
        <f>_xlfn.TEXTJOIN("、",TRUE,下拉用!$O$2:$O$11)</f>
        <v>黃軾錦</v>
      </c>
      <c r="E11" s="536" t="str">
        <f>_xlfn.TEXTJOIN("、",TRUE,P2:$P$11)</f>
        <v>黃軾錦(男、74年次)</v>
      </c>
      <c r="J11" s="505" t="str">
        <f>CONCATENATE("日期：中華民國 ",LEFT(發傳喚通知!$J$7,3),"年",MID(發傳喚通知!$J$7,4,2),"月",MID(發傳喚通知!$J$7,6,2),"日")</f>
        <v>日期：中華民國 114年06月06日</v>
      </c>
      <c r="L11" s="505" t="str">
        <f>IF(輸入!$M26&lt;&gt;下拉用!$C$2,"",CONCATENATE(輸入!$B26))</f>
        <v/>
      </c>
      <c r="M11" s="505" t="str">
        <f>IF(輸入!$M26&lt;&gt;下拉用!$C$2,"",CONCATENATE(輸入!$B26,"(",輸入!$L26,"、",LEFT(輸入!$F26,2),"年次)"))</f>
        <v/>
      </c>
      <c r="N11" s="505" t="str">
        <f>IF(輸入!$M26&lt;&gt;下拉用!$C$2,"",CONCATENATE(輸入!$B26,"(",UPPER(輸入!$C26),"、",輸入!$Q26,")"))</f>
        <v/>
      </c>
      <c r="O11" s="450" t="str">
        <f>IF(輸入!$M26&lt;&gt;下拉用!$C$3,"",CONCATENATE(輸入!$B26))</f>
        <v/>
      </c>
      <c r="P11" s="450" t="str">
        <f>IF(輸入!$M26&lt;&gt;下拉用!$C$3,"",CONCATENATE(輸入!$B26,"(",輸入!$L26,"、",LEFT(輸入!$F26,2),"年次)"))</f>
        <v/>
      </c>
      <c r="Q11" s="36" t="str">
        <f>IF(輸入!$M$26&lt;&gt;下拉用!$C$2,"",REPLACE(輸入!$B$26,2,1,"O"))</f>
        <v/>
      </c>
      <c r="R11" s="569">
        <f>輸入!$T$17-LEFT(輸入!$F26,2)</f>
        <v>43</v>
      </c>
      <c r="S11" s="569" t="str">
        <f>IF(ISEVEN(MID(輸入!$C26,2,1)),"女","男")</f>
        <v>男</v>
      </c>
      <c r="T11" s="36"/>
      <c r="U11" s="414"/>
      <c r="V11" s="414">
        <f>IF(COUNTIF(入出所!$B$8:$B$12,X11)&gt;0,"",MAX($W$2:W10)+1)</f>
        <v>7</v>
      </c>
      <c r="W11" s="450">
        <f>IF(COUNTIF('呈報單 多人'!$B$7:$E$41,X11)&gt;0,"",MAX($W$2:W10)+1)</f>
        <v>7</v>
      </c>
      <c r="X11" s="36" t="str">
        <f>輸入!B25</f>
        <v>施善為</v>
      </c>
      <c r="Y11" s="415" t="e">
        <f>VLOOKUP(ROW(輸入!A9),W11:X12,2,0)</f>
        <v>#N/A</v>
      </c>
      <c r="Z11" s="36"/>
      <c r="AB11" s="436"/>
      <c r="AC11" s="436"/>
    </row>
    <row r="12" spans="1:29" ht="19.5" customHeight="1" x14ac:dyDescent="0.25">
      <c r="I12" s="51"/>
      <c r="J12" s="505" t="str">
        <f>CONCATENATE(LEFT(輸入!$C$11,3),"年",MID(輸入!$C$11,4,2),"月",MID(輸入!$C$11,6,2),"日",MID(輸入!$C$11,8,2),"時",RIGHT(輸入!$C$11,2),"分")</f>
        <v>年月日時分</v>
      </c>
      <c r="K12" s="251"/>
      <c r="N12" s="505" t="str">
        <f>IF(輸入!$M27&lt;&gt;下拉用!$C$2,"",CONCATENATE(輸入!$B27,"(",UPPER(輸入!$C27),"、",輸入!$Q27,")"))</f>
        <v/>
      </c>
      <c r="P12" s="36"/>
      <c r="Q12" s="36"/>
      <c r="R12" s="36"/>
      <c r="S12" s="36"/>
      <c r="T12" s="36"/>
      <c r="U12" s="36"/>
      <c r="V12" s="36"/>
      <c r="W12" s="450"/>
      <c r="X12" s="36"/>
      <c r="Y12" s="36"/>
      <c r="Z12" s="36"/>
      <c r="AB12" s="436"/>
      <c r="AC12" s="436"/>
    </row>
    <row r="13" spans="1:29" ht="91.5" customHeight="1" x14ac:dyDescent="0.25">
      <c r="I13" s="51"/>
      <c r="J13" s="51" t="str">
        <f>CONCATENATE(LEFT(發傳喚通知!$J$7,3),"年",MID(發傳喚通知!$J$7,4,2),"月",MID(發傳喚通知!$J$7,6,2),"日",MID(發傳喚通知!$J$7,8,2),"時",RIGHT(發傳喚通知!$J$7,2),"分")</f>
        <v>114年06月06日18時00分</v>
      </c>
      <c r="K13" s="251"/>
      <c r="AB13" s="436"/>
      <c r="AC13" s="438"/>
    </row>
    <row r="14" spans="1:29" ht="22.5" customHeight="1" x14ac:dyDescent="0.25">
      <c r="I14" s="51"/>
      <c r="J14" s="51"/>
      <c r="K14" s="251"/>
      <c r="AB14" s="436"/>
      <c r="AC14" s="436"/>
    </row>
    <row r="15" spans="1:29" ht="16.5" customHeight="1" x14ac:dyDescent="0.25">
      <c r="I15" s="51"/>
      <c r="J15" s="51"/>
      <c r="K15" s="251"/>
      <c r="AB15" s="436"/>
      <c r="AC15" s="436"/>
    </row>
    <row r="16" spans="1:29" x14ac:dyDescent="0.25">
      <c r="I16" s="51"/>
      <c r="J16" s="51"/>
      <c r="K16" s="251"/>
      <c r="AB16" s="436"/>
      <c r="AC16" s="436"/>
    </row>
    <row r="17" spans="9:29" x14ac:dyDescent="0.25">
      <c r="I17" s="51"/>
      <c r="J17" s="51"/>
      <c r="K17" s="251"/>
      <c r="AB17" s="436"/>
      <c r="AC17" s="436"/>
    </row>
    <row r="18" spans="9:29" x14ac:dyDescent="0.25">
      <c r="I18" s="51"/>
      <c r="J18" s="51"/>
      <c r="K18" s="251"/>
      <c r="AB18" s="436"/>
      <c r="AC18" s="436"/>
    </row>
    <row r="19" spans="9:29" x14ac:dyDescent="0.25">
      <c r="I19" s="51"/>
      <c r="J19" s="51"/>
      <c r="K19" s="251"/>
      <c r="AB19" s="436"/>
      <c r="AC19" s="438"/>
    </row>
    <row r="20" spans="9:29" ht="42" customHeight="1" x14ac:dyDescent="0.25">
      <c r="I20" s="51"/>
      <c r="J20" s="51"/>
      <c r="K20" s="251"/>
      <c r="AB20" s="436"/>
      <c r="AC20" s="438"/>
    </row>
    <row r="21" spans="9:29" ht="22.5" customHeight="1" x14ac:dyDescent="0.25">
      <c r="K21" s="503"/>
      <c r="AB21" s="436"/>
      <c r="AC21" s="436"/>
    </row>
    <row r="22" spans="9:29" x14ac:dyDescent="0.25">
      <c r="K22" s="503"/>
      <c r="AB22" s="436"/>
      <c r="AC22" s="436"/>
    </row>
    <row r="23" spans="9:29" x14ac:dyDescent="0.25">
      <c r="K23" s="503"/>
      <c r="AB23" s="436"/>
      <c r="AC23" s="436"/>
    </row>
    <row r="24" spans="9:29" x14ac:dyDescent="0.25">
      <c r="K24" s="503"/>
      <c r="S24" s="437"/>
      <c r="T24" s="437"/>
      <c r="U24" s="437"/>
      <c r="V24" s="437"/>
      <c r="AB24" s="436"/>
      <c r="AC24" s="436"/>
    </row>
    <row r="25" spans="9:29" x14ac:dyDescent="0.25">
      <c r="K25" s="503"/>
      <c r="R25" s="541"/>
      <c r="S25" s="541"/>
      <c r="T25" s="541"/>
      <c r="U25" s="541"/>
      <c r="V25" s="541"/>
      <c r="AB25" s="436"/>
      <c r="AC25" s="436"/>
    </row>
    <row r="26" spans="9:29" x14ac:dyDescent="0.25">
      <c r="K26" s="503"/>
      <c r="AB26" s="436"/>
      <c r="AC26" s="436"/>
    </row>
    <row r="27" spans="9:29" x14ac:dyDescent="0.25">
      <c r="K27" s="503"/>
      <c r="AB27" s="436"/>
      <c r="AC27" s="436"/>
    </row>
    <row r="42" spans="16:17" x14ac:dyDescent="0.25">
      <c r="P42" s="436"/>
      <c r="Q42" s="436"/>
    </row>
  </sheetData>
  <phoneticPr fontId="1" type="noConversion"/>
  <dataValidations disablePrompts="1" count="1">
    <dataValidation allowBlank="1" showInputMessage="1" sqref="Y2:Y11" xr:uid="{00000000-0002-0000-0200-000000000000}"/>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27"/>
  <dimension ref="A1:K25"/>
  <sheetViews>
    <sheetView zoomScale="85" zoomScaleNormal="85" workbookViewId="0">
      <selection activeCell="I12" sqref="I12"/>
    </sheetView>
  </sheetViews>
  <sheetFormatPr defaultRowHeight="16.5" x14ac:dyDescent="0.25"/>
  <cols>
    <col min="1" max="1" width="25.5" style="545" customWidth="1"/>
    <col min="2" max="2" width="25.375" style="545" customWidth="1"/>
    <col min="3" max="3" width="25.125" style="545" customWidth="1"/>
    <col min="4" max="4" width="29.125" style="545" customWidth="1"/>
    <col min="5" max="5" width="26.875" style="545" customWidth="1"/>
    <col min="6" max="6" width="29.375" style="545" customWidth="1"/>
    <col min="7" max="7" width="22.875" style="545" customWidth="1"/>
    <col min="8" max="8" width="19" style="545" customWidth="1"/>
    <col min="9" max="9" width="20.75" style="545" customWidth="1"/>
    <col min="10" max="10" width="18.375" style="545" customWidth="1"/>
    <col min="11" max="11" width="18.5" style="545" customWidth="1"/>
  </cols>
  <sheetData>
    <row r="1" spans="1:11" ht="19.5" customHeight="1" x14ac:dyDescent="0.25">
      <c r="A1" s="505" t="s">
        <v>46</v>
      </c>
      <c r="B1" s="505" t="s">
        <v>201</v>
      </c>
      <c r="C1" s="505" t="s">
        <v>202</v>
      </c>
      <c r="D1" s="505" t="s">
        <v>203</v>
      </c>
      <c r="E1" s="505" t="s">
        <v>204</v>
      </c>
      <c r="F1" s="505" t="s">
        <v>205</v>
      </c>
      <c r="G1" s="505" t="s">
        <v>206</v>
      </c>
      <c r="H1" s="505" t="s">
        <v>207</v>
      </c>
      <c r="I1" s="87" t="s">
        <v>208</v>
      </c>
      <c r="J1" s="87" t="s">
        <v>209</v>
      </c>
      <c r="K1" s="87" t="s">
        <v>210</v>
      </c>
    </row>
    <row r="2" spans="1:11" ht="19.5" customHeight="1" x14ac:dyDescent="0.25">
      <c r="A2" s="505" t="s">
        <v>211</v>
      </c>
      <c r="B2" s="505" t="s">
        <v>211</v>
      </c>
      <c r="C2" s="505" t="s">
        <v>212</v>
      </c>
      <c r="D2" s="505" t="s">
        <v>213</v>
      </c>
      <c r="E2" s="505" t="s">
        <v>214</v>
      </c>
      <c r="F2" s="505" t="s">
        <v>211</v>
      </c>
      <c r="G2" s="505" t="s">
        <v>215</v>
      </c>
      <c r="H2" s="505" t="s">
        <v>211</v>
      </c>
      <c r="I2" s="237" t="s">
        <v>216</v>
      </c>
      <c r="J2" s="237" t="s">
        <v>217</v>
      </c>
      <c r="K2" s="412" t="s">
        <v>218</v>
      </c>
    </row>
    <row r="3" spans="1:11" x14ac:dyDescent="0.25">
      <c r="A3" s="505" t="s">
        <v>219</v>
      </c>
      <c r="G3" s="505" t="s">
        <v>220</v>
      </c>
      <c r="I3" s="505"/>
      <c r="J3" s="505"/>
      <c r="K3" s="505"/>
    </row>
    <row r="4" spans="1:11" ht="21" customHeight="1" x14ac:dyDescent="0.25">
      <c r="A4" s="505" t="s">
        <v>221</v>
      </c>
      <c r="B4" s="505" t="s">
        <v>221</v>
      </c>
      <c r="C4" s="505" t="s">
        <v>222</v>
      </c>
      <c r="D4" s="505" t="s">
        <v>223</v>
      </c>
      <c r="E4" s="505" t="s">
        <v>224</v>
      </c>
      <c r="F4" s="505" t="s">
        <v>221</v>
      </c>
      <c r="G4" s="505" t="s">
        <v>225</v>
      </c>
      <c r="H4" s="505" t="s">
        <v>221</v>
      </c>
      <c r="I4" s="237" t="s">
        <v>226</v>
      </c>
      <c r="J4" s="237" t="s">
        <v>227</v>
      </c>
      <c r="K4" s="237" t="s">
        <v>228</v>
      </c>
    </row>
    <row r="5" spans="1:11" x14ac:dyDescent="0.25">
      <c r="A5" s="505" t="s">
        <v>229</v>
      </c>
      <c r="B5" s="505" t="s">
        <v>230</v>
      </c>
      <c r="C5" s="505" t="s">
        <v>231</v>
      </c>
      <c r="D5" s="505" t="s">
        <v>232</v>
      </c>
      <c r="E5" s="505" t="s">
        <v>231</v>
      </c>
      <c r="F5" s="505" t="s">
        <v>231</v>
      </c>
      <c r="G5" s="505" t="s">
        <v>233</v>
      </c>
      <c r="H5" s="505" t="s">
        <v>234</v>
      </c>
      <c r="I5" s="413" t="s">
        <v>235</v>
      </c>
      <c r="J5" s="237" t="s">
        <v>236</v>
      </c>
      <c r="K5" s="412" t="s">
        <v>237</v>
      </c>
    </row>
    <row r="6" spans="1:11" x14ac:dyDescent="0.25">
      <c r="A6" s="505"/>
      <c r="B6" s="505" t="s">
        <v>238</v>
      </c>
      <c r="C6" s="505" t="s">
        <v>239</v>
      </c>
      <c r="D6" s="505" t="s">
        <v>240</v>
      </c>
      <c r="E6" s="505"/>
      <c r="F6" s="505"/>
      <c r="G6" s="505" t="s">
        <v>241</v>
      </c>
      <c r="H6" s="505" t="s">
        <v>232</v>
      </c>
      <c r="I6" s="413" t="s">
        <v>242</v>
      </c>
      <c r="J6" s="237" t="s">
        <v>243</v>
      </c>
      <c r="K6" s="412" t="s">
        <v>244</v>
      </c>
    </row>
    <row r="7" spans="1:11" x14ac:dyDescent="0.25">
      <c r="A7" s="505"/>
      <c r="B7" s="505"/>
      <c r="C7" s="505"/>
      <c r="D7" s="505" t="s">
        <v>245</v>
      </c>
      <c r="E7" s="505"/>
      <c r="F7" s="505"/>
      <c r="G7" s="505" t="s">
        <v>246</v>
      </c>
      <c r="H7" s="505" t="s">
        <v>247</v>
      </c>
      <c r="I7" s="505"/>
      <c r="J7" s="505"/>
      <c r="K7" s="237" t="s">
        <v>248</v>
      </c>
    </row>
    <row r="8" spans="1:11" x14ac:dyDescent="0.25">
      <c r="A8" s="505"/>
      <c r="B8" s="505"/>
      <c r="C8" s="505"/>
      <c r="D8" s="505"/>
      <c r="E8" s="505"/>
      <c r="F8" s="505"/>
      <c r="G8" s="505" t="s">
        <v>249</v>
      </c>
      <c r="H8" s="505" t="s">
        <v>245</v>
      </c>
      <c r="I8" s="505" t="s">
        <v>11</v>
      </c>
      <c r="J8" s="505"/>
      <c r="K8" s="412" t="s">
        <v>250</v>
      </c>
    </row>
    <row r="9" spans="1:11" x14ac:dyDescent="0.25">
      <c r="A9" s="505"/>
      <c r="B9" s="505"/>
      <c r="C9" s="505"/>
      <c r="D9" s="505"/>
      <c r="E9" s="505"/>
      <c r="F9" s="505"/>
      <c r="G9" s="505" t="s">
        <v>251</v>
      </c>
      <c r="H9" s="505"/>
      <c r="I9" s="505" t="s">
        <v>16</v>
      </c>
      <c r="J9" s="505"/>
      <c r="K9" s="505" t="s">
        <v>252</v>
      </c>
    </row>
    <row r="10" spans="1:11" x14ac:dyDescent="0.25">
      <c r="A10" s="505"/>
      <c r="B10" s="505"/>
      <c r="C10" s="505"/>
      <c r="D10" s="505"/>
      <c r="E10" s="505"/>
      <c r="F10" s="505"/>
      <c r="G10" s="505"/>
      <c r="H10" s="505"/>
      <c r="I10" s="505"/>
      <c r="J10" s="505"/>
      <c r="K10" s="505" t="s">
        <v>253</v>
      </c>
    </row>
    <row r="11" spans="1:11" ht="354.75" customHeight="1" x14ac:dyDescent="0.25">
      <c r="A11" s="488" t="str">
        <f>CONCATENATE("因偵辦案件之需要，惠請貴單位協助調閱及備份貴單位之監視器資料，為使偵查順遂，惠予協助提供，以利案件之偵辦，擬報  請協助調閱。")</f>
        <v>因偵辦案件之需要，惠請貴單位協助調閱及備份貴單位之監視器資料，為使偵查順遂，惠予協助提供，以利案件之偵辦，擬報  請協助調閱。</v>
      </c>
      <c r="B11" s="488" t="str">
        <f>CONCATENATE("因偵辦案件循線調閱監視器畫面發現嫌疑人(姓名、年籍不詳)於",$G$24,"，使用位於",輸入!$H$6,"內",輸入!$H$8,$B$5,$B$6,輸入!$H$9,")，為使偵查順遂，惠予協助提供犯嫌使用卡片時的監視器畫面與使用銀行卡片資料，以利案件之偵辦，擬報  請協助調閱。")</f>
        <v>因偵辦案件循線調閱監視器畫面發現嫌疑人(姓名、年籍不詳)於114年05月05日05時05分，使用位於內400銀行ATM提款機(機號：)，為使偵查順遂，惠予協助提供犯嫌使用卡片時的監視器畫面與使用銀行卡片資料，以利案件之偵辦，擬報  請協助調閱。</v>
      </c>
      <c r="C11" s="488" t="str">
        <f>CONCATENATE("因偵辦案件之需要，經被害人提供消費發票並提供詳細消費資訊(",$C$2,$G$24,"，",$C$4,輸入!$H$7,"，使用",$C$1,$C$5,輸入!$H$8,"，",$C$6,輸入!$H$9,")，為使偵查順遂，惠請貴單位予協助提供持卡人個資，以利案件之偵辦，擬報  請協助調閱。")</f>
        <v>因偵辦案件之需要，經被害人提供消費發票並提供詳細消費資訊(刷卡時段：114年05月05日05時05分，刷卡地址：0.67，使用信用卡卡號：400，POS機號碼：)，為使偵查順遂，惠請貴單位予協助提供持卡人個資，以利案件之偵辦，擬報  請協助調閱。</v>
      </c>
      <c r="D11" s="488" t="str">
        <f>CONCATENATE("因偵辦案件之需要，經被害人提供消費發票並提供詳細消費資訊(",$D$2,$G$24,"，",$D$4,輸入!$H$7,"，",$D$5,輸入!$H$8,"，",$D$6,輸入!$H$9,"，",$D$7,輸入!$H$10,"元)，為使偵查順遂，惠請貴單位予協助提供持卡人個資，以利案件之偵辦，擬報  請協助調閱。")</f>
        <v>因偵辦案件之需要，經被害人提供消費發票並提供詳細消費資訊(消費時段：114年05月05日05時05分，消費地址：0.67，電子載具：/400，發票號碼：，消費金額：新臺幣元)，為使偵查順遂，惠請貴單位予協助提供持卡人個資，以利案件之偵辦，擬報  請協助調閱。</v>
      </c>
      <c r="E11" s="488" t="str">
        <f>CONCATENATE("因偵辦案件經循線調閱監視器畫面發現嫌疑人(姓名、年籍不詳)於",$G$24,"，進入",輸入!$H$7,"內，使用",$E$1,$E$5,輸入!$H$8,"，為使偵查順遂，為查明本案犯罪嫌疑人真實姓名年籍，擬報請協助調閱",$E$1,"持卡人個資，以利案件之偵辦，擬報  請協助調閱。")</f>
        <v>因偵辦案件經循線調閱監視器畫面發現嫌疑人(姓名、年籍不詳)於114年05月05日05時05分，進入0.67內，使用悠遊卡卡號：400，為使偵查順遂，為查明本案犯罪嫌疑人真實姓名年籍，擬報請協助調閱悠遊卡持卡人個資，以利案件之偵辦，擬報  請協助調閱。</v>
      </c>
      <c r="F11" s="488" t="str">
        <f>CONCATENATE("因偵辦案件經循線調閱監視器畫面發現嫌疑人(姓名、年籍不詳)於",$G$24,"，進入",輸入!$H$7,"內，使用",$F$1,$F$5,輸入!$H$8,")，為使偵查順遂，為查明本案犯罪嫌疑人真實姓名年籍，擬報請協助調閱",$F$1,"持卡人個資，以利案件之偵辦，擬報  請協助調閱。")</f>
        <v>因偵辦案件經循線調閱監視器畫面發現嫌疑人(姓名、年籍不詳)於114年05月05日05時05分，進入0.67內，使用敬老卡卡號：400)，為使偵查順遂，為查明本案犯罪嫌疑人真實姓名年籍，擬報請協助調閱敬老卡持卡人個資，以利案件之偵辦，擬報  請協助調閱。</v>
      </c>
      <c r="G11" s="488" t="str">
        <f>CONCATENATE("因偵辦案件經循線調閱監視器畫面與詢問",輸入!$H$11,"(",UPPER(輸入!$H$12),")計程車司機",輸入!$H$9,"(",輸入!$H$10,")，表示該犯嫌使用",$G$1," APP叫車搭乘並提供行程詳細資訊。",CHAR(10),$G$2,$G$24,,CHAR(10),$G$4,輸入!$H$6,CHAR(10),G$3,$G$25,CHAR(10),$G$5,輸入!$H$8,"")</f>
        <v>因偵辦案件經循線調閱監視器畫面與詢問自小客(ABC-123)計程車司機()，表示該犯嫌使用Uber APP叫車搭乘並提供行程詳細資訊。
上車時段：114年05月05日05時05分
上車地址：
下車時段：0.6年7月日時67分
下車地址：400</v>
      </c>
      <c r="H11" s="488" t="str">
        <f>CONCATENATE("因偵辦案件之需要，經被害人提供消費發票並提供詳細會員編號(",輸入!$G$7,輸入!$H$7,"，",輸入!$G$7,輸入!$H$7,"，",輸入!$G$8,輸入!$H$8,IF(ISBLANK(輸入!$H$9),"，",$H$24),$H$7,輸入!$H$10,IF(ISBLANK(輸入!$H$11),"",調閱用!$H$25),"，為使偵查順遂，惠請貴單位予協助提供持卡人個資，以利案件之偵辦，擬報  請協助調閱。")</f>
        <v>因偵辦案件之需要，經被害人提供消費發票並提供詳細會員編號(調閱地址：0.67，調閱地址：0.67，調閱位置：400，會員編號：，0自小客元，為使偵查順遂，惠請貴單位予協助提供持卡人個資，以利案件之偵辦，擬報  請協助調閱。</v>
      </c>
      <c r="I11" s="51" t="str">
        <f>CONCATENATE(,輸入!S20,"所",輸入!$T$24,輸入!$O$8,"執行",輸入!$K$2,輸入!$J$2,"於",下拉用!$J$5,"許，於",輸入!$C$7,"發現",輸入!$H$11,"(",UPPER(輸入!$H$12),")",輸入!$H$3,"，攔停過程時發現駕駛人",word用!$H$2,"身上有濃厚之酒味，詢問駕駛人",word用!$H$2,"(",word用!$I$2,"、",word用!$L$2,")坦承有飲酒，故對其施以酒精濃度測試(施測時間：",$G$24,")，其酒測值為 ",輸入!$H$7," MG/L， 案經製作筆錄，爰依涉公共危險罪嫌，移請 偵查隊偵辦。")</f>
        <v>吳興街所警員蘇詠棠執行勤務於年月日時分許，於臺北市信義區吳興街206號發現自小客(ABC-123)，攔停過程時發現駕駛人顏文祥身上有濃厚之酒味，詢問駕駛人顏文祥(A126819564、84.03.06)坦承有飲酒，故對其施以酒精濃度測試(施測時間：114年05月05日05時05分)，其酒測值為 0.67 MG/L， 案經製作筆錄，爰依涉公共危險罪嫌，移請 偵查隊偵辦。</v>
      </c>
      <c r="J11" s="51" t="str">
        <f>CONCATENATE(,輸入!S20,"所",輸入!$T$24,輸入!$O$8,"於",輸入!$K$2,輸入!$J$2,"中，於",下拉用!$J$5,"許發現",LEFT(word用!$H$2,1),"嫌",下拉用!$E$4,輸入!$H$3,"於",輸入!$C$7,"，故警方便向前盤查，發現為通緝單位：",輸入!$H$7,"，通緝日期：",LEFT($G$24,10),"，所發布之通緝犯，姓名：",word用!$H$2,"（",word用!$R$2,"性、",word用!$L$2,"、身份證號：",word用!$I$2,"，通緝文號：",輸入!$H$8,"，通緝案號：",輸入!$H$9,"；案由：",輸入!$H$2,輸入!$C$2,"。依法逮捕歸案，移送偵查隊偵辦。")</f>
        <v>吳興街所警員蘇詠棠於勤務中，於年月日時分許發現顏嫌駕駛輕機(EWJ-8123)於臺北市信義區吳興街206號，故警方便向前盤查，發現為通緝單位：0.67，通緝日期：114年05月05日，所發布之通緝犯，姓名：顏文祥（男性、84.03.06、身份證號：A126819564，通緝文號：400，通緝案號：；案由：毀損。依法逮捕歸案，移送偵查隊偵辦。</v>
      </c>
      <c r="K11" s="416" t="str">
        <f>CONCATENATE(,輸入!R15,"所",輸入!$S$19,輸入!$O$8,"執行",輸入!$K$2,"勤務時於",下拉用!$J$5,"在",輸入!$C$7,"許，發現",word用!$H$2,"(",word用!$I$2,"、",word用!$L$2,")",下拉用!$E$4,輸入!$H$3,"，故警方便向前盤查，盤查過程中見",LEFT(word用!$H$2,1),"嫌神色緊張，經",LEFT(word用!$H$2,1),"嫌同意檢視下，於",LEFT(word用!$H$2,1),"嫌的",輸入!$H$13,"發現",word用!$AE$2,輸入!$H$11,輸入!$H$12,"(",調閱用!$K$25,")，並於",IF(ISBLANK(輸入!$H$7),"現場",輸入!$H$7),"以",輸入!$S$11,"所製造之檢驗包檢驗，呈陽性反應，故將",LEFT(word用!$H$2,1),"嫌帶返所偵訊， 案經製作筆錄，爰依涉毒品危害防制條例，移請 偵查隊偵辦。")</f>
        <v>所信義蘇詠棠執行勤務時於年月日時分在臺北市信義區吳興街206號許，發現顏文祥(A126819564、84.03.06)駕駛輕機(EWJ-8123)，故警方便向前盤查，盤查過程中見顏嫌神色緊張，經顏嫌同意檢視下，於顏嫌的發現400自小客abc-123(0、0)，並於0.67以所製造之檢驗包檢驗，呈陽性反應，故將顏嫌帶返所偵訊， 案經製作筆錄，爰依涉毒品危害防制條例，移請 偵查隊偵辦。</v>
      </c>
    </row>
    <row r="12" spans="1:11" ht="111.75" customHeight="1" x14ac:dyDescent="0.25">
      <c r="A12" s="488" t="str">
        <f>CONCATENATE($A$2,下拉用!$J$2,"至",下拉用!$J$4,CHAR(10),$A$4,輸入!$H$7,CHAR(10),$A$5,輸入!$H$8)</f>
        <v>調閱時段：115年09月12日12時18分至115年09月12日13時30分
調閱地址：0.67
調閱位置：400</v>
      </c>
      <c r="B12" s="488" t="str">
        <f>CONCATENATE("懇請 貴隊發函，向信用卡公司調閱該人相關個人資料(會員基本資料姓名、身分證字號、連絡電話及地址)、消費資訊及該時段調閱監視器影像檔案，俾利後續偵辦，請協助調閱。")</f>
        <v>懇請 貴隊發函，向信用卡公司調閱該人相關個人資料(會員基本資料姓名、身分證字號、連絡電話及地址)、消費資訊及該時段調閱監視器影像檔案，俾利後續偵辦，請協助調閱。</v>
      </c>
      <c r="C12" s="51" t="str">
        <f>CONCATENATE("懇請 貴隊發函，向信用卡公司調閱該人相關個人資料(會員基本資料姓名、身分證字號、連絡電話及地址)、消費資訊及該時段調閱監視器影像檔案，俾利後續偵辦，請協助調閱。")</f>
        <v>懇請 貴隊發函，向信用卡公司調閱該人相關個人資料(會員基本資料姓名、身分證字號、連絡電話及地址)、消費資訊及該時段調閱監視器影像檔案，俾利後續偵辦，請協助調閱。</v>
      </c>
      <c r="D12" s="488" t="str">
        <f>CONCATENATE("懇請 貴隊發函，向財政部財政資訊中心調閱該人相關個人資料(會員基本資料姓名、身分證字號、連絡電話及地址)、消費資訊，俾利後續偵辦，請協助調閱。")</f>
        <v>懇請 貴隊發函，向財政部財政資訊中心調閱該人相關個人資料(會員基本資料姓名、身分證字號、連絡電話及地址)、消費資訊，俾利後續偵辦，請協助調閱。</v>
      </c>
      <c r="E12" s="488" t="str">
        <f>CONCATENATE("懇請 貴隊發函，向",$E$1,"公司調閱該人相關個人資料(會員基本資料姓名、身分證字號、連絡電話及地址)、消費資訊及該時段調閱監視器影像檔案，俾利後續偵辦，請協助調閱。")</f>
        <v>懇請 貴隊發函，向悠遊卡公司調閱該人相關個人資料(會員基本資料姓名、身分證字號、連絡電話及地址)、消費資訊及該時段調閱監視器影像檔案，俾利後續偵辦，請協助調閱。</v>
      </c>
      <c r="F12" s="488" t="str">
        <f>CONCATENATE("懇請 貴隊發函，向",$F$1,"公司調閱該人相關個人資料(會員基本資料姓名、身分證字號、連絡電話及地址)、消費資訊及該時段調閱監視器影像檔案，俾利後續偵辦，請協助調閱。")</f>
        <v>懇請 貴隊發函，向敬老卡公司調閱該人相關個人資料(會員基本資料姓名、身分證字號、連絡電話及地址)、消費資訊及該時段調閱監視器影像檔案，俾利後續偵辦，請協助調閱。</v>
      </c>
      <c r="G12" s="488" t="str">
        <f>CONCATENATE("懇請 貴隊發函，向",$G$1,"公司調閱該趟行程訂單人相關個人資料(會員基本資料姓名、身分證字號、連絡電話及地址及消費資訊。")</f>
        <v>懇請 貴隊發函，向Uber公司調閱該趟行程訂單人相關個人資料(會員基本資料姓名、身分證字號、連絡電話及地址及消費資訊。</v>
      </c>
      <c r="H12" s="536" t="str">
        <f>CONCATENATE("懇請 貴隊發函，向",輸入!$H$8,"調閱該人相關個人資料(會員基本資料姓名、身分證字號、連絡電話及地址)、消費資訊，俾利後續偵辦，請協助調閱。")</f>
        <v>懇請 貴隊發函，向400調閱該人相關個人資料(會員基本資料姓名、身分證字號、連絡電話及地址)、消費資訊，俾利後續偵辦，請協助調閱。</v>
      </c>
    </row>
    <row r="13" spans="1:11" ht="129.75" customHeight="1" x14ac:dyDescent="0.25">
      <c r="A13" s="505"/>
      <c r="B13" s="505"/>
      <c r="C13" s="51"/>
      <c r="D13" s="488" t="str">
        <f>CONCATENATE("因偵辦案件之需要，經循線調閱監視器畫面發現嫌疑人(姓名、年籍不詳)犯案時將電子發票存入手機號碼條碼載具；申請調閱嫌疑人所使用之電子發票共通性載具申登基資(電子發票整合服務平台主管機關:財政部財政資訊中心)，為使偵查順遂，惠請貴單位予協助提供電子載具持用人個資，以利案件之偵辦，擬報  請協助調閱。",CHAR(10),$D$2,輸入!$H$5,"，",$D$4,輸入!$H$6,"，",$D$5,輸入!$H$7,"，",$D$6,輸入!$H$8,"，",$D$7,輸入!$H$9,"元。")</f>
        <v>因偵辦案件之需要，經循線調閱監視器畫面發現嫌疑人(姓名、年籍不詳)犯案時將電子發票存入手機號碼條碼載具；申請調閱嫌疑人所使用之電子發票共通性載具申登基資(電子發票整合服務平台主管機關:財政部財政資訊中心)，為使偵查順遂，惠請貴單位予協助提供電子載具持用人個資，以利案件之偵辦，擬報  請協助調閱。
消費時段：11405050505，消費地址：，電子載具：/0.67，發票號碼：400，消費金額：新臺幣元。</v>
      </c>
      <c r="F13" s="488" t="s">
        <v>254</v>
      </c>
      <c r="G13" s="505"/>
    </row>
    <row r="14" spans="1:11" x14ac:dyDescent="0.25">
      <c r="A14" s="505"/>
      <c r="B14" s="505"/>
      <c r="C14" s="51"/>
      <c r="D14" s="505"/>
      <c r="E14" s="505"/>
      <c r="F14" s="505"/>
      <c r="G14" s="505"/>
    </row>
    <row r="15" spans="1:11" x14ac:dyDescent="0.25">
      <c r="A15" s="505"/>
      <c r="B15" s="505"/>
      <c r="C15" s="51"/>
      <c r="D15" s="505"/>
      <c r="E15" s="505"/>
      <c r="F15" s="505"/>
      <c r="G15" s="505"/>
    </row>
    <row r="16" spans="1:11" x14ac:dyDescent="0.25">
      <c r="A16" s="505"/>
      <c r="B16" s="505"/>
      <c r="C16" s="51"/>
      <c r="D16" s="505"/>
      <c r="E16" s="505"/>
      <c r="F16" s="505"/>
      <c r="G16" s="505"/>
    </row>
    <row r="17" spans="1:11" x14ac:dyDescent="0.25">
      <c r="A17" s="505"/>
      <c r="B17" s="505"/>
      <c r="C17" s="51"/>
      <c r="D17" s="505"/>
      <c r="E17" s="505"/>
      <c r="F17" s="505"/>
      <c r="G17" s="505"/>
    </row>
    <row r="18" spans="1:11" x14ac:dyDescent="0.25">
      <c r="A18" s="505"/>
      <c r="B18" s="505"/>
      <c r="C18" s="51"/>
      <c r="D18" s="505"/>
      <c r="E18" s="505"/>
      <c r="F18" s="505"/>
      <c r="G18" s="505"/>
    </row>
    <row r="19" spans="1:11" x14ac:dyDescent="0.25">
      <c r="A19" s="505"/>
      <c r="B19" s="505"/>
      <c r="C19" s="51"/>
      <c r="D19" s="505"/>
      <c r="E19" s="505"/>
      <c r="F19" s="505"/>
      <c r="G19" s="505"/>
    </row>
    <row r="20" spans="1:11" x14ac:dyDescent="0.25">
      <c r="A20" s="505"/>
      <c r="B20" s="505"/>
      <c r="C20" s="51"/>
      <c r="D20" s="505"/>
      <c r="E20" s="505"/>
      <c r="F20" s="505"/>
      <c r="G20" s="505"/>
    </row>
    <row r="21" spans="1:11" x14ac:dyDescent="0.25">
      <c r="A21" s="505"/>
      <c r="B21" s="505"/>
      <c r="C21" s="51"/>
      <c r="D21" s="505"/>
      <c r="E21" s="505"/>
      <c r="F21" s="505"/>
      <c r="G21" s="505"/>
    </row>
    <row r="23" spans="1:11" ht="19.5" customHeight="1" x14ac:dyDescent="0.25">
      <c r="K23" s="87" t="str">
        <f>CONCATENATE(LEFT(輸入!$C$10,3),"年",MID(輸入!$C$10,4,2),"月")</f>
        <v>115年09月</v>
      </c>
    </row>
    <row r="24" spans="1:11" x14ac:dyDescent="0.25">
      <c r="G24" s="541" t="str">
        <f>CONCATENATE(LEFT(輸入!$H$5,3),"年",MID(輸入!$H$5,4,2),"月",MID(輸入!$H$5,6,2),"日",MID(輸入!$H$5,8,2),"時",RIGHT(輸入!$H$5,2),"分")</f>
        <v>114年05月05日05時05分</v>
      </c>
      <c r="H24" s="541" t="str">
        <f>CONCATENATE("，",輸入!$G$9,輸入!$H$9)</f>
        <v>，0</v>
      </c>
      <c r="K24" s="505" t="str">
        <f>CONCATENATE(LEFT(輸入!$C$11,3),"年",MID(輸入!$C$11,4,2),"月")</f>
        <v>年月</v>
      </c>
    </row>
    <row r="25" spans="1:11" x14ac:dyDescent="0.25">
      <c r="G25" s="541" t="str">
        <f>CONCATENATE(LEFT(輸入!$H$7,3),"年",MID(輸入!$H$7,4,2),"月",MID(輸入!$H$7,6,2),"日",MID(輸入!$H$7,8,2),"時",RIGHT(輸入!$H$7,2),"分")</f>
        <v>0.6年7月日時67分</v>
      </c>
      <c r="H25" s="541" t="str">
        <f>CONCATENATE(,"，",輸入!$G$11,輸入!$H$11,"元")</f>
        <v>，0自小客元</v>
      </c>
      <c r="K25" s="505" t="str">
        <f>CONCATENATE(輸入!$G$9,輸入!$H$9,"、",輸入!$G$10,輸入!$H$10)</f>
        <v>0、0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37">
    <tabColor rgb="FF92D050"/>
  </sheetPr>
  <dimension ref="A1:G6"/>
  <sheetViews>
    <sheetView topLeftCell="E1" workbookViewId="0">
      <selection activeCell="E5" sqref="E5"/>
    </sheetView>
  </sheetViews>
  <sheetFormatPr defaultRowHeight="16.5" x14ac:dyDescent="0.25"/>
  <cols>
    <col min="1" max="1" width="30" style="536" customWidth="1"/>
    <col min="2" max="2" width="17.75" style="536" customWidth="1"/>
    <col min="3" max="3" width="47.875" style="536" customWidth="1"/>
    <col min="4" max="4" width="9" style="536" customWidth="1"/>
    <col min="5" max="5" width="38.875" style="536" customWidth="1"/>
    <col min="6" max="6" width="35.75" style="536" customWidth="1"/>
    <col min="7" max="7" width="40" style="536" customWidth="1"/>
    <col min="8" max="8" width="9" style="536" customWidth="1"/>
    <col min="9" max="16384" width="9" style="536"/>
  </cols>
  <sheetData>
    <row r="1" spans="1:7" ht="57.75" customHeight="1" x14ac:dyDescent="0.25">
      <c r="A1" s="51" t="s">
        <v>255</v>
      </c>
      <c r="B1" s="51" t="s">
        <v>256</v>
      </c>
      <c r="C1" s="51" t="s">
        <v>257</v>
      </c>
      <c r="E1" s="536" t="s">
        <v>258</v>
      </c>
    </row>
    <row r="2" spans="1:7" ht="76.5" customHeight="1" x14ac:dyDescent="0.25">
      <c r="A2" s="536" t="str">
        <f>CONCATENATE(,LEFT(下拉用!$J$12,10),"查獲",呈報單!$G$15,"犯",_xlfn.TEXTJOIN("、",TRUE,下拉用!$Q$2:$Q$11),"，工作辛勞得力")</f>
        <v>年月日時分查獲毀損犯，工作辛勞得力</v>
      </c>
      <c r="B2" s="536" t="str">
        <f>CONCATENATE(,"北市警信分刑字第",word用!$V$2,"號")</f>
        <v>北市警信分刑字第0號</v>
      </c>
      <c r="C2" s="536" t="str">
        <f>輸入!$T$8</f>
        <v/>
      </c>
      <c r="E2" s="598" t="str">
        <f>CONCATENATE(輸入!$S$20,"所報告
一、受理案由：",呈報單!$G$15,"(受理)
二、發生時間：",下拉用!J2,"
三、發生地點：",輸入!$C$7,"
四、報案時間：",下拉用!J4,"
五、案情摘要：
報案人",下拉用!$E$11,輸入!$C$5,"
六、後續處置：
（一）依規定陳報（證明單號：",word用!$U$2,")
（二）本案管轄：
（三）處理員警：警員 ",輸入!$O$8,"。
七、上傳PDF：已完成；卷宗送批：已完成。")</f>
        <v>吳興街所報告
一、受理案由：毀損(受理)
二、發生時間：115年09月12日12時18分
三、發生地點：臺北市信義區吳興街206號
四、報案時間：115年09月12日13時30分
五、案情摘要：
報案人黃軾錦(男、74年次)報案人稱於115年09月12日12時18分載乘客至臺北市信義區吳興街206號，遭不知名民眾敲擊自小營(TDW-2575)右後側板金，並造成凹陷，故至所報案。
六、後續處置：
（一）依規定陳報（證明單號：Z115099AWBN1NGL)
（二）本案管轄：
（三）處理員警：警員 蘇詠棠。
七、上傳PDF：已完成；卷宗送批：已完成。</v>
      </c>
      <c r="F2" s="598" t="str">
        <f>CONCATENATE(輸入!$S$20,"所報告
一、受理案由：",呈報單!$G$15,"(破獲)
二、發生時間：",下拉用!J2,"
三、發生地點：",輸入!$C$7,"
四、報案時間：",下拉用!J4,"
五、破獲時間：",下拉用!J5,"
六、案情摘要：
報案人",下拉用!$E$11,輸入!$C$5,"
七、後續處置：
（一）依規定陳報（證明單號：",word用!$U$2,")
（二）警方依規定受理後，調閱店家及公家道路監視器影像，尋線找到嫌疑人並聯繫嫌疑人",下拉用!$F$10,"至所說明，",LEFT(下拉用!$C$10,1),"嫌於警詢筆錄中表示",輸入!$C$3,"，其他內容詳如筆錄，函送偵查隊續辦。
（三）處理員警",輸入!$O$8,"。
八、上傳PDF：已完成；卷宗送批：已完成。")</f>
        <v>吳興街所報告
一、受理案由：毀損(破獲)
二、發生時間：115年09月12日12時18分
三、發生地點：臺北市信義區吳興街206號
四、報案時間：115年09月12日13時30分
五、破獲時間：年月日時分
六、案情摘要：
報案人黃軾錦(男、74年次)報案人稱於115年09月12日12時18分載乘客至臺北市信義區吳興街206號，遭不知名民眾敲擊自小營(TDW-2575)右後側板金，並造成凹陷，故至所報案。
七、後續處置：
（一）依規定陳報（證明單號：Z115099AWBN1NGL)
（二）警方依規定受理後，調閱店家及公家道路監視器影像，尋線找到嫌疑人並聯繫嫌疑人至所說明，嫌於警詢筆錄中表示，其他內容詳如筆錄，函送偵查隊續辦。
（三）處理員警蘇詠棠。
八、上傳PDF：已完成；卷宗送批：已完成。</v>
      </c>
      <c r="G2" s="598" t="str">
        <f>CONCATENATE(輸入!$S$20,"所報告
一、查獲案由：",呈報單!$G$15,"(破獲)
二、查獲時間：",MID(輸入!$C$11,4,4),"/",RIGHT(輸入!$C$11,4),"
三、查獲地點：",輸入!$C$7,"
四、案情摘要：
",呈報單!$F$16,"
五、處理員警",輸入!$O$8,"。
六、上傳PDF：已完成；卷宗送批：已完成。")</f>
        <v>吳興街所報告
一、查獲案由：毀損(破獲)
二、查獲時間：/
三、查獲地點：臺北市信義區吳興街206號
四、案情摘要：
一、吳興街所警員蘇詠棠受理民眾黃軾錦報案，於115年09月12日13時30分在臺北市信義區吳興街206號稱有毀損案件(證明單編號：Z115099AWBN1NGL)。警方依規定受理後，調閱店家及公家道路監視器影像，尋線找到嫌疑人並通知到案說明。
二、警方聯繫嫌疑人於114年06月06日18時00分至所說明，但嫌於通知日期仍未至所說明，全案提供相關附件為證。
三、依毀損罪嫌，函送  偵查隊  續辦。
五、處理員警蘇詠棠。
六、上傳PDF：已完成；卷宗送批：已完成。</v>
      </c>
    </row>
    <row r="3" spans="1:7" ht="80.25" customHeight="1" x14ac:dyDescent="0.25">
      <c r="A3" s="536" t="str">
        <f>CONCATENATE(,LEFT(下拉用!$J$13,10),"查獲",呈報單!$G$15,"犯",_xlfn.TEXTJOIN("、",TRUE,下拉用!$Q$2:$Q$11),"，工作辛勞得力")</f>
        <v>114年06月06日查獲毀損犯，工作辛勞得力</v>
      </c>
      <c r="B3" s="536" t="str">
        <f>CONCATENATE(,"北市警信分刑字第",word用!$V$2,"號")</f>
        <v>北市警信分刑字第0號</v>
      </c>
      <c r="C3" s="536" t="str">
        <f>IF(AND(輸入!$C$11="",輸入!$E$2=下拉用!$D$2),下拉用!$A$8,
IF(AND(輸入!$C$11="",輸入!$E$2=下拉用!$D$3),下拉用!$B$8,
IF(AND(輸入!$C$11&lt;&gt;"",輸入!$E$2=下拉用!$D$2),下拉用!$A$7,
IF(AND(輸入!$C$11&lt;&gt;"",輸入!$E$2=下拉用!$D$3),下拉用!$B$7,""))))</f>
        <v>吳興街所警員蘇詠棠擔服勤務，受理民眾黃軾錦於115年09月12日13時30分所報毀損案(證明單編號：Z115099AWBN1NGL)，警方循線調閱監視器及比對嫌疑人使用之交通工具，查嫌疑人涉有重嫌，故通知犯嫌於114年06月06日18時00分至所說明，但犯嫌於通知日期仍未至所說明，故全案依毀損罪嫌函送臺灣臺北地方檢察署偵辦。</v>
      </c>
      <c r="E3" s="599"/>
      <c r="F3" s="599"/>
      <c r="G3" s="599"/>
    </row>
    <row r="4" spans="1:7" ht="258" customHeight="1" x14ac:dyDescent="0.25">
      <c r="E4" s="599"/>
      <c r="F4" s="599"/>
      <c r="G4" s="599"/>
    </row>
    <row r="5" spans="1:7" x14ac:dyDescent="0.25">
      <c r="E5" s="536" t="str">
        <f>CONCATENATE(LEFT(輸入!$C$10,7),下拉用!$D$11,"所報",輸入!$C$2,"案(",輸入!$O$8,")")</f>
        <v>1150912黃軾錦所報毀損案(蘇詠棠)</v>
      </c>
      <c r="G5" s="536" t="str">
        <f>CONCATENATE(LEFT(輸入!$C$10,7),下拉用!$D$10,"涉嫌",輸入!$C$2,"案(",輸入!$O$8,")")</f>
        <v>1150912涉嫌毀損案(蘇詠棠)</v>
      </c>
    </row>
    <row r="6" spans="1:7" ht="33" customHeight="1" x14ac:dyDescent="0.25">
      <c r="E6" s="536" t="str">
        <f>CONCATENATE(LEFT(輸入!$C$10,7),下拉用!$D$11,"所報",輸入!$C$2,"案(",word用!$U$2,")")</f>
        <v>1150912黃軾錦所報毀損案(Z115099AWBN1NGL)</v>
      </c>
    </row>
  </sheetData>
  <mergeCells count="3">
    <mergeCell ref="F2:F4"/>
    <mergeCell ref="E2:E4"/>
    <mergeCell ref="G2:G4"/>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49"/>
  <dimension ref="B2:AB32"/>
  <sheetViews>
    <sheetView view="pageLayout" topLeftCell="A19" zoomScaleNormal="100" workbookViewId="0">
      <selection activeCell="F21" sqref="F21:AB22"/>
    </sheetView>
  </sheetViews>
  <sheetFormatPr defaultColWidth="3" defaultRowHeight="16.5" x14ac:dyDescent="0.25"/>
  <cols>
    <col min="1" max="2" width="3" style="217" customWidth="1"/>
    <col min="3" max="3" width="4.625" style="217" customWidth="1"/>
    <col min="4" max="4" width="3.5" style="217" customWidth="1"/>
    <col min="5" max="5" width="3.25" style="217" customWidth="1"/>
    <col min="6" max="6" width="3" style="217" customWidth="1"/>
    <col min="7" max="7" width="2.625" style="217" customWidth="1"/>
    <col min="8" max="8" width="3.75" style="217" customWidth="1"/>
    <col min="9" max="14" width="3" style="217" customWidth="1"/>
    <col min="15" max="15" width="2.625" style="217" customWidth="1"/>
    <col min="16" max="17" width="3" style="217" customWidth="1"/>
    <col min="18" max="18" width="2" style="217" customWidth="1"/>
    <col min="19" max="19" width="2.625" style="217" customWidth="1"/>
    <col min="20" max="21" width="3" style="217" customWidth="1"/>
    <col min="22" max="22" width="2.125" style="217" customWidth="1"/>
    <col min="23" max="23" width="2.5" style="217" customWidth="1"/>
    <col min="24" max="26" width="3" style="217" customWidth="1"/>
    <col min="27" max="27" width="5.375" style="217" customWidth="1"/>
    <col min="28" max="28" width="4.375" style="217" customWidth="1"/>
    <col min="29" max="259" width="3" style="217" customWidth="1"/>
    <col min="260" max="260" width="3.5" style="217" customWidth="1"/>
    <col min="261" max="274" width="3" style="217" customWidth="1"/>
    <col min="275" max="275" width="3.75" style="217" customWidth="1"/>
    <col min="276" max="282" width="3" style="217" customWidth="1"/>
    <col min="283" max="283" width="5.375" style="217" customWidth="1"/>
    <col min="284" max="284" width="4.375" style="217" customWidth="1"/>
    <col min="285" max="515" width="3" style="217" customWidth="1"/>
    <col min="516" max="516" width="3.5" style="217" customWidth="1"/>
    <col min="517" max="530" width="3" style="217" customWidth="1"/>
    <col min="531" max="531" width="3.75" style="217" customWidth="1"/>
    <col min="532" max="538" width="3" style="217" customWidth="1"/>
    <col min="539" max="539" width="5.375" style="217" customWidth="1"/>
    <col min="540" max="540" width="4.375" style="217" customWidth="1"/>
    <col min="541" max="771" width="3" style="217" customWidth="1"/>
    <col min="772" max="772" width="3.5" style="217" customWidth="1"/>
    <col min="773" max="786" width="3" style="217" customWidth="1"/>
    <col min="787" max="787" width="3.75" style="217" customWidth="1"/>
    <col min="788" max="794" width="3" style="217" customWidth="1"/>
    <col min="795" max="795" width="5.375" style="217" customWidth="1"/>
    <col min="796" max="796" width="4.375" style="217" customWidth="1"/>
    <col min="797" max="1027" width="3" style="217" customWidth="1"/>
    <col min="1028" max="1028" width="3.5" style="217" customWidth="1"/>
    <col min="1029" max="1042" width="3" style="217" customWidth="1"/>
    <col min="1043" max="1043" width="3.75" style="217" customWidth="1"/>
    <col min="1044" max="1050" width="3" style="217" customWidth="1"/>
    <col min="1051" max="1051" width="5.375" style="217" customWidth="1"/>
    <col min="1052" max="1052" width="4.375" style="217" customWidth="1"/>
    <col min="1053" max="1283" width="3" style="217" customWidth="1"/>
    <col min="1284" max="1284" width="3.5" style="217" customWidth="1"/>
    <col min="1285" max="1298" width="3" style="217" customWidth="1"/>
    <col min="1299" max="1299" width="3.75" style="217" customWidth="1"/>
    <col min="1300" max="1306" width="3" style="217" customWidth="1"/>
    <col min="1307" max="1307" width="5.375" style="217" customWidth="1"/>
    <col min="1308" max="1308" width="4.375" style="217" customWidth="1"/>
    <col min="1309" max="1539" width="3" style="217" customWidth="1"/>
    <col min="1540" max="1540" width="3.5" style="217" customWidth="1"/>
    <col min="1541" max="1554" width="3" style="217" customWidth="1"/>
    <col min="1555" max="1555" width="3.75" style="217" customWidth="1"/>
    <col min="1556" max="1562" width="3" style="217" customWidth="1"/>
    <col min="1563" max="1563" width="5.375" style="217" customWidth="1"/>
    <col min="1564" max="1564" width="4.375" style="217" customWidth="1"/>
    <col min="1565" max="1795" width="3" style="217" customWidth="1"/>
    <col min="1796" max="1796" width="3.5" style="217" customWidth="1"/>
    <col min="1797" max="1810" width="3" style="217" customWidth="1"/>
    <col min="1811" max="1811" width="3.75" style="217" customWidth="1"/>
    <col min="1812" max="1818" width="3" style="217" customWidth="1"/>
    <col min="1819" max="1819" width="5.375" style="217" customWidth="1"/>
    <col min="1820" max="1820" width="4.375" style="217" customWidth="1"/>
    <col min="1821" max="2051" width="3" style="217" customWidth="1"/>
    <col min="2052" max="2052" width="3.5" style="217" customWidth="1"/>
    <col min="2053" max="2066" width="3" style="217" customWidth="1"/>
    <col min="2067" max="2067" width="3.75" style="217" customWidth="1"/>
    <col min="2068" max="2074" width="3" style="217" customWidth="1"/>
    <col min="2075" max="2075" width="5.375" style="217" customWidth="1"/>
    <col min="2076" max="2076" width="4.375" style="217" customWidth="1"/>
    <col min="2077" max="2307" width="3" style="217" customWidth="1"/>
    <col min="2308" max="2308" width="3.5" style="217" customWidth="1"/>
    <col min="2309" max="2322" width="3" style="217" customWidth="1"/>
    <col min="2323" max="2323" width="3.75" style="217" customWidth="1"/>
    <col min="2324" max="2330" width="3" style="217" customWidth="1"/>
    <col min="2331" max="2331" width="5.375" style="217" customWidth="1"/>
    <col min="2332" max="2332" width="4.375" style="217" customWidth="1"/>
    <col min="2333" max="2563" width="3" style="217" customWidth="1"/>
    <col min="2564" max="2564" width="3.5" style="217" customWidth="1"/>
    <col min="2565" max="2578" width="3" style="217" customWidth="1"/>
    <col min="2579" max="2579" width="3.75" style="217" customWidth="1"/>
    <col min="2580" max="2586" width="3" style="217" customWidth="1"/>
    <col min="2587" max="2587" width="5.375" style="217" customWidth="1"/>
    <col min="2588" max="2588" width="4.375" style="217" customWidth="1"/>
    <col min="2589" max="2819" width="3" style="217" customWidth="1"/>
    <col min="2820" max="2820" width="3.5" style="217" customWidth="1"/>
    <col min="2821" max="2834" width="3" style="217" customWidth="1"/>
    <col min="2835" max="2835" width="3.75" style="217" customWidth="1"/>
    <col min="2836" max="2842" width="3" style="217" customWidth="1"/>
    <col min="2843" max="2843" width="5.375" style="217" customWidth="1"/>
    <col min="2844" max="2844" width="4.375" style="217" customWidth="1"/>
    <col min="2845" max="3075" width="3" style="217" customWidth="1"/>
    <col min="3076" max="3076" width="3.5" style="217" customWidth="1"/>
    <col min="3077" max="3090" width="3" style="217" customWidth="1"/>
    <col min="3091" max="3091" width="3.75" style="217" customWidth="1"/>
    <col min="3092" max="3098" width="3" style="217" customWidth="1"/>
    <col min="3099" max="3099" width="5.375" style="217" customWidth="1"/>
    <col min="3100" max="3100" width="4.375" style="217" customWidth="1"/>
    <col min="3101" max="3331" width="3" style="217" customWidth="1"/>
    <col min="3332" max="3332" width="3.5" style="217" customWidth="1"/>
    <col min="3333" max="3346" width="3" style="217" customWidth="1"/>
    <col min="3347" max="3347" width="3.75" style="217" customWidth="1"/>
    <col min="3348" max="3354" width="3" style="217" customWidth="1"/>
    <col min="3355" max="3355" width="5.375" style="217" customWidth="1"/>
    <col min="3356" max="3356" width="4.375" style="217" customWidth="1"/>
    <col min="3357" max="3587" width="3" style="217" customWidth="1"/>
    <col min="3588" max="3588" width="3.5" style="217" customWidth="1"/>
    <col min="3589" max="3602" width="3" style="217" customWidth="1"/>
    <col min="3603" max="3603" width="3.75" style="217" customWidth="1"/>
    <col min="3604" max="3610" width="3" style="217" customWidth="1"/>
    <col min="3611" max="3611" width="5.375" style="217" customWidth="1"/>
    <col min="3612" max="3612" width="4.375" style="217" customWidth="1"/>
    <col min="3613" max="3843" width="3" style="217" customWidth="1"/>
    <col min="3844" max="3844" width="3.5" style="217" customWidth="1"/>
    <col min="3845" max="3858" width="3" style="217" customWidth="1"/>
    <col min="3859" max="3859" width="3.75" style="217" customWidth="1"/>
    <col min="3860" max="3866" width="3" style="217" customWidth="1"/>
    <col min="3867" max="3867" width="5.375" style="217" customWidth="1"/>
    <col min="3868" max="3868" width="4.375" style="217" customWidth="1"/>
    <col min="3869" max="4099" width="3" style="217" customWidth="1"/>
    <col min="4100" max="4100" width="3.5" style="217" customWidth="1"/>
    <col min="4101" max="4114" width="3" style="217" customWidth="1"/>
    <col min="4115" max="4115" width="3.75" style="217" customWidth="1"/>
    <col min="4116" max="4122" width="3" style="217" customWidth="1"/>
    <col min="4123" max="4123" width="5.375" style="217" customWidth="1"/>
    <col min="4124" max="4124" width="4.375" style="217" customWidth="1"/>
    <col min="4125" max="4355" width="3" style="217" customWidth="1"/>
    <col min="4356" max="4356" width="3.5" style="217" customWidth="1"/>
    <col min="4357" max="4370" width="3" style="217" customWidth="1"/>
    <col min="4371" max="4371" width="3.75" style="217" customWidth="1"/>
    <col min="4372" max="4378" width="3" style="217" customWidth="1"/>
    <col min="4379" max="4379" width="5.375" style="217" customWidth="1"/>
    <col min="4380" max="4380" width="4.375" style="217" customWidth="1"/>
    <col min="4381" max="4611" width="3" style="217" customWidth="1"/>
    <col min="4612" max="4612" width="3.5" style="217" customWidth="1"/>
    <col min="4613" max="4626" width="3" style="217" customWidth="1"/>
    <col min="4627" max="4627" width="3.75" style="217" customWidth="1"/>
    <col min="4628" max="4634" width="3" style="217" customWidth="1"/>
    <col min="4635" max="4635" width="5.375" style="217" customWidth="1"/>
    <col min="4636" max="4636" width="4.375" style="217" customWidth="1"/>
    <col min="4637" max="4867" width="3" style="217" customWidth="1"/>
    <col min="4868" max="4868" width="3.5" style="217" customWidth="1"/>
    <col min="4869" max="4882" width="3" style="217" customWidth="1"/>
    <col min="4883" max="4883" width="3.75" style="217" customWidth="1"/>
    <col min="4884" max="4890" width="3" style="217" customWidth="1"/>
    <col min="4891" max="4891" width="5.375" style="217" customWidth="1"/>
    <col min="4892" max="4892" width="4.375" style="217" customWidth="1"/>
    <col min="4893" max="5123" width="3" style="217" customWidth="1"/>
    <col min="5124" max="5124" width="3.5" style="217" customWidth="1"/>
    <col min="5125" max="5138" width="3" style="217" customWidth="1"/>
    <col min="5139" max="5139" width="3.75" style="217" customWidth="1"/>
    <col min="5140" max="5146" width="3" style="217" customWidth="1"/>
    <col min="5147" max="5147" width="5.375" style="217" customWidth="1"/>
    <col min="5148" max="5148" width="4.375" style="217" customWidth="1"/>
    <col min="5149" max="5379" width="3" style="217" customWidth="1"/>
    <col min="5380" max="5380" width="3.5" style="217" customWidth="1"/>
    <col min="5381" max="5394" width="3" style="217" customWidth="1"/>
    <col min="5395" max="5395" width="3.75" style="217" customWidth="1"/>
    <col min="5396" max="5402" width="3" style="217" customWidth="1"/>
    <col min="5403" max="5403" width="5.375" style="217" customWidth="1"/>
    <col min="5404" max="5404" width="4.375" style="217" customWidth="1"/>
    <col min="5405" max="5635" width="3" style="217" customWidth="1"/>
    <col min="5636" max="5636" width="3.5" style="217" customWidth="1"/>
    <col min="5637" max="5650" width="3" style="217" customWidth="1"/>
    <col min="5651" max="5651" width="3.75" style="217" customWidth="1"/>
    <col min="5652" max="5658" width="3" style="217" customWidth="1"/>
    <col min="5659" max="5659" width="5.375" style="217" customWidth="1"/>
    <col min="5660" max="5660" width="4.375" style="217" customWidth="1"/>
    <col min="5661" max="5891" width="3" style="217" customWidth="1"/>
    <col min="5892" max="5892" width="3.5" style="217" customWidth="1"/>
    <col min="5893" max="5906" width="3" style="217" customWidth="1"/>
    <col min="5907" max="5907" width="3.75" style="217" customWidth="1"/>
    <col min="5908" max="5914" width="3" style="217" customWidth="1"/>
    <col min="5915" max="5915" width="5.375" style="217" customWidth="1"/>
    <col min="5916" max="5916" width="4.375" style="217" customWidth="1"/>
    <col min="5917" max="6147" width="3" style="217" customWidth="1"/>
    <col min="6148" max="6148" width="3.5" style="217" customWidth="1"/>
    <col min="6149" max="6162" width="3" style="217" customWidth="1"/>
    <col min="6163" max="6163" width="3.75" style="217" customWidth="1"/>
    <col min="6164" max="6170" width="3" style="217" customWidth="1"/>
    <col min="6171" max="6171" width="5.375" style="217" customWidth="1"/>
    <col min="6172" max="6172" width="4.375" style="217" customWidth="1"/>
    <col min="6173" max="6403" width="3" style="217" customWidth="1"/>
    <col min="6404" max="6404" width="3.5" style="217" customWidth="1"/>
    <col min="6405" max="6418" width="3" style="217" customWidth="1"/>
    <col min="6419" max="6419" width="3.75" style="217" customWidth="1"/>
    <col min="6420" max="6426" width="3" style="217" customWidth="1"/>
    <col min="6427" max="6427" width="5.375" style="217" customWidth="1"/>
    <col min="6428" max="6428" width="4.375" style="217" customWidth="1"/>
    <col min="6429" max="6659" width="3" style="217" customWidth="1"/>
    <col min="6660" max="6660" width="3.5" style="217" customWidth="1"/>
    <col min="6661" max="6674" width="3" style="217" customWidth="1"/>
    <col min="6675" max="6675" width="3.75" style="217" customWidth="1"/>
    <col min="6676" max="6682" width="3" style="217" customWidth="1"/>
    <col min="6683" max="6683" width="5.375" style="217" customWidth="1"/>
    <col min="6684" max="6684" width="4.375" style="217" customWidth="1"/>
    <col min="6685" max="6915" width="3" style="217" customWidth="1"/>
    <col min="6916" max="6916" width="3.5" style="217" customWidth="1"/>
    <col min="6917" max="6930" width="3" style="217" customWidth="1"/>
    <col min="6931" max="6931" width="3.75" style="217" customWidth="1"/>
    <col min="6932" max="6938" width="3" style="217" customWidth="1"/>
    <col min="6939" max="6939" width="5.375" style="217" customWidth="1"/>
    <col min="6940" max="6940" width="4.375" style="217" customWidth="1"/>
    <col min="6941" max="7171" width="3" style="217" customWidth="1"/>
    <col min="7172" max="7172" width="3.5" style="217" customWidth="1"/>
    <col min="7173" max="7186" width="3" style="217" customWidth="1"/>
    <col min="7187" max="7187" width="3.75" style="217" customWidth="1"/>
    <col min="7188" max="7194" width="3" style="217" customWidth="1"/>
    <col min="7195" max="7195" width="5.375" style="217" customWidth="1"/>
    <col min="7196" max="7196" width="4.375" style="217" customWidth="1"/>
    <col min="7197" max="7427" width="3" style="217" customWidth="1"/>
    <col min="7428" max="7428" width="3.5" style="217" customWidth="1"/>
    <col min="7429" max="7442" width="3" style="217" customWidth="1"/>
    <col min="7443" max="7443" width="3.75" style="217" customWidth="1"/>
    <col min="7444" max="7450" width="3" style="217" customWidth="1"/>
    <col min="7451" max="7451" width="5.375" style="217" customWidth="1"/>
    <col min="7452" max="7452" width="4.375" style="217" customWidth="1"/>
    <col min="7453" max="7683" width="3" style="217" customWidth="1"/>
    <col min="7684" max="7684" width="3.5" style="217" customWidth="1"/>
    <col min="7685" max="7698" width="3" style="217" customWidth="1"/>
    <col min="7699" max="7699" width="3.75" style="217" customWidth="1"/>
    <col min="7700" max="7706" width="3" style="217" customWidth="1"/>
    <col min="7707" max="7707" width="5.375" style="217" customWidth="1"/>
    <col min="7708" max="7708" width="4.375" style="217" customWidth="1"/>
    <col min="7709" max="7939" width="3" style="217" customWidth="1"/>
    <col min="7940" max="7940" width="3.5" style="217" customWidth="1"/>
    <col min="7941" max="7954" width="3" style="217" customWidth="1"/>
    <col min="7955" max="7955" width="3.75" style="217" customWidth="1"/>
    <col min="7956" max="7962" width="3" style="217" customWidth="1"/>
    <col min="7963" max="7963" width="5.375" style="217" customWidth="1"/>
    <col min="7964" max="7964" width="4.375" style="217" customWidth="1"/>
    <col min="7965" max="8195" width="3" style="217" customWidth="1"/>
    <col min="8196" max="8196" width="3.5" style="217" customWidth="1"/>
    <col min="8197" max="8210" width="3" style="217" customWidth="1"/>
    <col min="8211" max="8211" width="3.75" style="217" customWidth="1"/>
    <col min="8212" max="8218" width="3" style="217" customWidth="1"/>
    <col min="8219" max="8219" width="5.375" style="217" customWidth="1"/>
    <col min="8220" max="8220" width="4.375" style="217" customWidth="1"/>
    <col min="8221" max="8451" width="3" style="217" customWidth="1"/>
    <col min="8452" max="8452" width="3.5" style="217" customWidth="1"/>
    <col min="8453" max="8466" width="3" style="217" customWidth="1"/>
    <col min="8467" max="8467" width="3.75" style="217" customWidth="1"/>
    <col min="8468" max="8474" width="3" style="217" customWidth="1"/>
    <col min="8475" max="8475" width="5.375" style="217" customWidth="1"/>
    <col min="8476" max="8476" width="4.375" style="217" customWidth="1"/>
    <col min="8477" max="8707" width="3" style="217" customWidth="1"/>
    <col min="8708" max="8708" width="3.5" style="217" customWidth="1"/>
    <col min="8709" max="8722" width="3" style="217" customWidth="1"/>
    <col min="8723" max="8723" width="3.75" style="217" customWidth="1"/>
    <col min="8724" max="8730" width="3" style="217" customWidth="1"/>
    <col min="8731" max="8731" width="5.375" style="217" customWidth="1"/>
    <col min="8732" max="8732" width="4.375" style="217" customWidth="1"/>
    <col min="8733" max="8963" width="3" style="217" customWidth="1"/>
    <col min="8964" max="8964" width="3.5" style="217" customWidth="1"/>
    <col min="8965" max="8978" width="3" style="217" customWidth="1"/>
    <col min="8979" max="8979" width="3.75" style="217" customWidth="1"/>
    <col min="8980" max="8986" width="3" style="217" customWidth="1"/>
    <col min="8987" max="8987" width="5.375" style="217" customWidth="1"/>
    <col min="8988" max="8988" width="4.375" style="217" customWidth="1"/>
    <col min="8989" max="9219" width="3" style="217" customWidth="1"/>
    <col min="9220" max="9220" width="3.5" style="217" customWidth="1"/>
    <col min="9221" max="9234" width="3" style="217" customWidth="1"/>
    <col min="9235" max="9235" width="3.75" style="217" customWidth="1"/>
    <col min="9236" max="9242" width="3" style="217" customWidth="1"/>
    <col min="9243" max="9243" width="5.375" style="217" customWidth="1"/>
    <col min="9244" max="9244" width="4.375" style="217" customWidth="1"/>
    <col min="9245" max="9475" width="3" style="217" customWidth="1"/>
    <col min="9476" max="9476" width="3.5" style="217" customWidth="1"/>
    <col min="9477" max="9490" width="3" style="217" customWidth="1"/>
    <col min="9491" max="9491" width="3.75" style="217" customWidth="1"/>
    <col min="9492" max="9498" width="3" style="217" customWidth="1"/>
    <col min="9499" max="9499" width="5.375" style="217" customWidth="1"/>
    <col min="9500" max="9500" width="4.375" style="217" customWidth="1"/>
    <col min="9501" max="9731" width="3" style="217" customWidth="1"/>
    <col min="9732" max="9732" width="3.5" style="217" customWidth="1"/>
    <col min="9733" max="9746" width="3" style="217" customWidth="1"/>
    <col min="9747" max="9747" width="3.75" style="217" customWidth="1"/>
    <col min="9748" max="9754" width="3" style="217" customWidth="1"/>
    <col min="9755" max="9755" width="5.375" style="217" customWidth="1"/>
    <col min="9756" max="9756" width="4.375" style="217" customWidth="1"/>
    <col min="9757" max="9987" width="3" style="217" customWidth="1"/>
    <col min="9988" max="9988" width="3.5" style="217" customWidth="1"/>
    <col min="9989" max="10002" width="3" style="217" customWidth="1"/>
    <col min="10003" max="10003" width="3.75" style="217" customWidth="1"/>
    <col min="10004" max="10010" width="3" style="217" customWidth="1"/>
    <col min="10011" max="10011" width="5.375" style="217" customWidth="1"/>
    <col min="10012" max="10012" width="4.375" style="217" customWidth="1"/>
    <col min="10013" max="10243" width="3" style="217" customWidth="1"/>
    <col min="10244" max="10244" width="3.5" style="217" customWidth="1"/>
    <col min="10245" max="10258" width="3" style="217" customWidth="1"/>
    <col min="10259" max="10259" width="3.75" style="217" customWidth="1"/>
    <col min="10260" max="10266" width="3" style="217" customWidth="1"/>
    <col min="10267" max="10267" width="5.375" style="217" customWidth="1"/>
    <col min="10268" max="10268" width="4.375" style="217" customWidth="1"/>
    <col min="10269" max="10499" width="3" style="217" customWidth="1"/>
    <col min="10500" max="10500" width="3.5" style="217" customWidth="1"/>
    <col min="10501" max="10514" width="3" style="217" customWidth="1"/>
    <col min="10515" max="10515" width="3.75" style="217" customWidth="1"/>
    <col min="10516" max="10522" width="3" style="217" customWidth="1"/>
    <col min="10523" max="10523" width="5.375" style="217" customWidth="1"/>
    <col min="10524" max="10524" width="4.375" style="217" customWidth="1"/>
    <col min="10525" max="10755" width="3" style="217" customWidth="1"/>
    <col min="10756" max="10756" width="3.5" style="217" customWidth="1"/>
    <col min="10757" max="10770" width="3" style="217" customWidth="1"/>
    <col min="10771" max="10771" width="3.75" style="217" customWidth="1"/>
    <col min="10772" max="10778" width="3" style="217" customWidth="1"/>
    <col min="10779" max="10779" width="5.375" style="217" customWidth="1"/>
    <col min="10780" max="10780" width="4.375" style="217" customWidth="1"/>
    <col min="10781" max="11011" width="3" style="217" customWidth="1"/>
    <col min="11012" max="11012" width="3.5" style="217" customWidth="1"/>
    <col min="11013" max="11026" width="3" style="217" customWidth="1"/>
    <col min="11027" max="11027" width="3.75" style="217" customWidth="1"/>
    <col min="11028" max="11034" width="3" style="217" customWidth="1"/>
    <col min="11035" max="11035" width="5.375" style="217" customWidth="1"/>
    <col min="11036" max="11036" width="4.375" style="217" customWidth="1"/>
    <col min="11037" max="11267" width="3" style="217" customWidth="1"/>
    <col min="11268" max="11268" width="3.5" style="217" customWidth="1"/>
    <col min="11269" max="11282" width="3" style="217" customWidth="1"/>
    <col min="11283" max="11283" width="3.75" style="217" customWidth="1"/>
    <col min="11284" max="11290" width="3" style="217" customWidth="1"/>
    <col min="11291" max="11291" width="5.375" style="217" customWidth="1"/>
    <col min="11292" max="11292" width="4.375" style="217" customWidth="1"/>
    <col min="11293" max="11523" width="3" style="217" customWidth="1"/>
    <col min="11524" max="11524" width="3.5" style="217" customWidth="1"/>
    <col min="11525" max="11538" width="3" style="217" customWidth="1"/>
    <col min="11539" max="11539" width="3.75" style="217" customWidth="1"/>
    <col min="11540" max="11546" width="3" style="217" customWidth="1"/>
    <col min="11547" max="11547" width="5.375" style="217" customWidth="1"/>
    <col min="11548" max="11548" width="4.375" style="217" customWidth="1"/>
    <col min="11549" max="11779" width="3" style="217" customWidth="1"/>
    <col min="11780" max="11780" width="3.5" style="217" customWidth="1"/>
    <col min="11781" max="11794" width="3" style="217" customWidth="1"/>
    <col min="11795" max="11795" width="3.75" style="217" customWidth="1"/>
    <col min="11796" max="11802" width="3" style="217" customWidth="1"/>
    <col min="11803" max="11803" width="5.375" style="217" customWidth="1"/>
    <col min="11804" max="11804" width="4.375" style="217" customWidth="1"/>
    <col min="11805" max="12035" width="3" style="217" customWidth="1"/>
    <col min="12036" max="12036" width="3.5" style="217" customWidth="1"/>
    <col min="12037" max="12050" width="3" style="217" customWidth="1"/>
    <col min="12051" max="12051" width="3.75" style="217" customWidth="1"/>
    <col min="12052" max="12058" width="3" style="217" customWidth="1"/>
    <col min="12059" max="12059" width="5.375" style="217" customWidth="1"/>
    <col min="12060" max="12060" width="4.375" style="217" customWidth="1"/>
    <col min="12061" max="12291" width="3" style="217" customWidth="1"/>
    <col min="12292" max="12292" width="3.5" style="217" customWidth="1"/>
    <col min="12293" max="12306" width="3" style="217" customWidth="1"/>
    <col min="12307" max="12307" width="3.75" style="217" customWidth="1"/>
    <col min="12308" max="12314" width="3" style="217" customWidth="1"/>
    <col min="12315" max="12315" width="5.375" style="217" customWidth="1"/>
    <col min="12316" max="12316" width="4.375" style="217" customWidth="1"/>
    <col min="12317" max="12547" width="3" style="217" customWidth="1"/>
    <col min="12548" max="12548" width="3.5" style="217" customWidth="1"/>
    <col min="12549" max="12562" width="3" style="217" customWidth="1"/>
    <col min="12563" max="12563" width="3.75" style="217" customWidth="1"/>
    <col min="12564" max="12570" width="3" style="217" customWidth="1"/>
    <col min="12571" max="12571" width="5.375" style="217" customWidth="1"/>
    <col min="12572" max="12572" width="4.375" style="217" customWidth="1"/>
    <col min="12573" max="12803" width="3" style="217" customWidth="1"/>
    <col min="12804" max="12804" width="3.5" style="217" customWidth="1"/>
    <col min="12805" max="12818" width="3" style="217" customWidth="1"/>
    <col min="12819" max="12819" width="3.75" style="217" customWidth="1"/>
    <col min="12820" max="12826" width="3" style="217" customWidth="1"/>
    <col min="12827" max="12827" width="5.375" style="217" customWidth="1"/>
    <col min="12828" max="12828" width="4.375" style="217" customWidth="1"/>
    <col min="12829" max="13059" width="3" style="217" customWidth="1"/>
    <col min="13060" max="13060" width="3.5" style="217" customWidth="1"/>
    <col min="13061" max="13074" width="3" style="217" customWidth="1"/>
    <col min="13075" max="13075" width="3.75" style="217" customWidth="1"/>
    <col min="13076" max="13082" width="3" style="217" customWidth="1"/>
    <col min="13083" max="13083" width="5.375" style="217" customWidth="1"/>
    <col min="13084" max="13084" width="4.375" style="217" customWidth="1"/>
    <col min="13085" max="13315" width="3" style="217" customWidth="1"/>
    <col min="13316" max="13316" width="3.5" style="217" customWidth="1"/>
    <col min="13317" max="13330" width="3" style="217" customWidth="1"/>
    <col min="13331" max="13331" width="3.75" style="217" customWidth="1"/>
    <col min="13332" max="13338" width="3" style="217" customWidth="1"/>
    <col min="13339" max="13339" width="5.375" style="217" customWidth="1"/>
    <col min="13340" max="13340" width="4.375" style="217" customWidth="1"/>
    <col min="13341" max="13571" width="3" style="217" customWidth="1"/>
    <col min="13572" max="13572" width="3.5" style="217" customWidth="1"/>
    <col min="13573" max="13586" width="3" style="217" customWidth="1"/>
    <col min="13587" max="13587" width="3.75" style="217" customWidth="1"/>
    <col min="13588" max="13594" width="3" style="217" customWidth="1"/>
    <col min="13595" max="13595" width="5.375" style="217" customWidth="1"/>
    <col min="13596" max="13596" width="4.375" style="217" customWidth="1"/>
    <col min="13597" max="13827" width="3" style="217" customWidth="1"/>
    <col min="13828" max="13828" width="3.5" style="217" customWidth="1"/>
    <col min="13829" max="13842" width="3" style="217" customWidth="1"/>
    <col min="13843" max="13843" width="3.75" style="217" customWidth="1"/>
    <col min="13844" max="13850" width="3" style="217" customWidth="1"/>
    <col min="13851" max="13851" width="5.375" style="217" customWidth="1"/>
    <col min="13852" max="13852" width="4.375" style="217" customWidth="1"/>
    <col min="13853" max="14083" width="3" style="217" customWidth="1"/>
    <col min="14084" max="14084" width="3.5" style="217" customWidth="1"/>
    <col min="14085" max="14098" width="3" style="217" customWidth="1"/>
    <col min="14099" max="14099" width="3.75" style="217" customWidth="1"/>
    <col min="14100" max="14106" width="3" style="217" customWidth="1"/>
    <col min="14107" max="14107" width="5.375" style="217" customWidth="1"/>
    <col min="14108" max="14108" width="4.375" style="217" customWidth="1"/>
    <col min="14109" max="14339" width="3" style="217" customWidth="1"/>
    <col min="14340" max="14340" width="3.5" style="217" customWidth="1"/>
    <col min="14341" max="14354" width="3" style="217" customWidth="1"/>
    <col min="14355" max="14355" width="3.75" style="217" customWidth="1"/>
    <col min="14356" max="14362" width="3" style="217" customWidth="1"/>
    <col min="14363" max="14363" width="5.375" style="217" customWidth="1"/>
    <col min="14364" max="14364" width="4.375" style="217" customWidth="1"/>
    <col min="14365" max="14595" width="3" style="217" customWidth="1"/>
    <col min="14596" max="14596" width="3.5" style="217" customWidth="1"/>
    <col min="14597" max="14610" width="3" style="217" customWidth="1"/>
    <col min="14611" max="14611" width="3.75" style="217" customWidth="1"/>
    <col min="14612" max="14618" width="3" style="217" customWidth="1"/>
    <col min="14619" max="14619" width="5.375" style="217" customWidth="1"/>
    <col min="14620" max="14620" width="4.375" style="217" customWidth="1"/>
    <col min="14621" max="14851" width="3" style="217" customWidth="1"/>
    <col min="14852" max="14852" width="3.5" style="217" customWidth="1"/>
    <col min="14853" max="14866" width="3" style="217" customWidth="1"/>
    <col min="14867" max="14867" width="3.75" style="217" customWidth="1"/>
    <col min="14868" max="14874" width="3" style="217" customWidth="1"/>
    <col min="14875" max="14875" width="5.375" style="217" customWidth="1"/>
    <col min="14876" max="14876" width="4.375" style="217" customWidth="1"/>
    <col min="14877" max="15107" width="3" style="217" customWidth="1"/>
    <col min="15108" max="15108" width="3.5" style="217" customWidth="1"/>
    <col min="15109" max="15122" width="3" style="217" customWidth="1"/>
    <col min="15123" max="15123" width="3.75" style="217" customWidth="1"/>
    <col min="15124" max="15130" width="3" style="217" customWidth="1"/>
    <col min="15131" max="15131" width="5.375" style="217" customWidth="1"/>
    <col min="15132" max="15132" width="4.375" style="217" customWidth="1"/>
    <col min="15133" max="15363" width="3" style="217" customWidth="1"/>
    <col min="15364" max="15364" width="3.5" style="217" customWidth="1"/>
    <col min="15365" max="15378" width="3" style="217" customWidth="1"/>
    <col min="15379" max="15379" width="3.75" style="217" customWidth="1"/>
    <col min="15380" max="15386" width="3" style="217" customWidth="1"/>
    <col min="15387" max="15387" width="5.375" style="217" customWidth="1"/>
    <col min="15388" max="15388" width="4.375" style="217" customWidth="1"/>
    <col min="15389" max="15619" width="3" style="217" customWidth="1"/>
    <col min="15620" max="15620" width="3.5" style="217" customWidth="1"/>
    <col min="15621" max="15634" width="3" style="217" customWidth="1"/>
    <col min="15635" max="15635" width="3.75" style="217" customWidth="1"/>
    <col min="15636" max="15642" width="3" style="217" customWidth="1"/>
    <col min="15643" max="15643" width="5.375" style="217" customWidth="1"/>
    <col min="15644" max="15644" width="4.375" style="217" customWidth="1"/>
    <col min="15645" max="15875" width="3" style="217" customWidth="1"/>
    <col min="15876" max="15876" width="3.5" style="217" customWidth="1"/>
    <col min="15877" max="15890" width="3" style="217" customWidth="1"/>
    <col min="15891" max="15891" width="3.75" style="217" customWidth="1"/>
    <col min="15892" max="15898" width="3" style="217" customWidth="1"/>
    <col min="15899" max="15899" width="5.375" style="217" customWidth="1"/>
    <col min="15900" max="15900" width="4.375" style="217" customWidth="1"/>
    <col min="15901" max="16131" width="3" style="217" customWidth="1"/>
    <col min="16132" max="16132" width="3.5" style="217" customWidth="1"/>
    <col min="16133" max="16146" width="3" style="217" customWidth="1"/>
    <col min="16147" max="16147" width="3.75" style="217" customWidth="1"/>
    <col min="16148" max="16154" width="3" style="217" customWidth="1"/>
    <col min="16155" max="16155" width="5.375" style="217" customWidth="1"/>
    <col min="16156" max="16156" width="4.375" style="217" customWidth="1"/>
    <col min="16157" max="16384" width="3" style="217" customWidth="1"/>
  </cols>
  <sheetData>
    <row r="2" spans="2:28" ht="23.25" customHeight="1" x14ac:dyDescent="0.25">
      <c r="B2" s="367" t="str">
        <f>CONCATENATE(輸入!S18,輸入!T18,輸入!S19,輸入!T19,"線上立破通報單")</f>
        <v>臺北市政府警察局信義分局線上立破通報單</v>
      </c>
      <c r="C2" s="368"/>
      <c r="D2" s="368"/>
      <c r="E2" s="368"/>
      <c r="F2" s="368"/>
      <c r="G2" s="368"/>
      <c r="H2" s="368"/>
      <c r="I2" s="368"/>
      <c r="J2" s="368"/>
      <c r="K2" s="368"/>
      <c r="L2" s="368"/>
      <c r="M2" s="368"/>
      <c r="N2" s="368"/>
      <c r="O2" s="368"/>
      <c r="P2" s="368"/>
      <c r="Q2" s="368"/>
      <c r="R2" s="368"/>
      <c r="S2" s="368"/>
      <c r="T2" s="368"/>
      <c r="U2" s="612" t="s">
        <v>259</v>
      </c>
      <c r="V2" s="574"/>
      <c r="W2" s="575"/>
      <c r="X2" s="607" t="str">
        <f>UPPER(word用!$U$2)</f>
        <v>Z115099AWBN1NGL</v>
      </c>
      <c r="Y2" s="574"/>
      <c r="Z2" s="574"/>
      <c r="AA2" s="574"/>
      <c r="AB2" s="575"/>
    </row>
    <row r="3" spans="2:28" ht="18.75" customHeight="1" x14ac:dyDescent="0.25">
      <c r="B3" s="605" t="s">
        <v>260</v>
      </c>
      <c r="C3" s="574"/>
      <c r="D3" s="575"/>
      <c r="E3" s="605" t="s">
        <v>261</v>
      </c>
      <c r="F3" s="574"/>
      <c r="G3" s="574"/>
      <c r="H3" s="575"/>
      <c r="I3" s="605" t="s">
        <v>262</v>
      </c>
      <c r="J3" s="574"/>
      <c r="K3" s="575"/>
      <c r="L3" s="607" t="str">
        <f>呈報單!$G$15</f>
        <v>毀損</v>
      </c>
      <c r="M3" s="574"/>
      <c r="N3" s="574"/>
      <c r="O3" s="574"/>
      <c r="P3" s="574"/>
      <c r="Q3" s="574"/>
      <c r="R3" s="575"/>
      <c r="S3" s="605" t="s">
        <v>263</v>
      </c>
      <c r="T3" s="574"/>
      <c r="U3" s="575"/>
      <c r="V3" s="607" t="str">
        <f>CONCATENATE(輸入!$S$19&amp;輸入!$T$19,CHAR(10),輸入!$S$20&amp;輸入!$T$20)</f>
        <v>信義分局
吳興街派出所</v>
      </c>
      <c r="W3" s="574"/>
      <c r="X3" s="574"/>
      <c r="Y3" s="574"/>
      <c r="Z3" s="574"/>
      <c r="AA3" s="574"/>
      <c r="AB3" s="575"/>
    </row>
    <row r="4" spans="2:28" ht="30" customHeight="1" x14ac:dyDescent="0.25">
      <c r="B4" s="605" t="s">
        <v>264</v>
      </c>
      <c r="C4" s="574"/>
      <c r="D4" s="575"/>
      <c r="E4" s="607" t="str">
        <f>CONCATENATE(輸入!$K$2,"查獲")</f>
        <v>查獲</v>
      </c>
      <c r="F4" s="574"/>
      <c r="G4" s="574"/>
      <c r="H4" s="575"/>
      <c r="I4" s="605" t="s">
        <v>265</v>
      </c>
      <c r="J4" s="574"/>
      <c r="K4" s="575"/>
      <c r="L4" s="614" t="s">
        <v>266</v>
      </c>
      <c r="M4" s="574"/>
      <c r="N4" s="574"/>
      <c r="O4" s="574"/>
      <c r="P4" s="574"/>
      <c r="Q4" s="574"/>
      <c r="R4" s="574"/>
      <c r="S4" s="576" t="s">
        <v>267</v>
      </c>
      <c r="T4" s="574"/>
      <c r="U4" s="575"/>
      <c r="V4" s="576" t="str">
        <f>CONCATENATE(輸入!$S$19&amp;輸入!$T$19,CHAR(10),輸入!$S$20&amp;輸入!$T$20)</f>
        <v>信義分局
吳興街派出所</v>
      </c>
      <c r="W4" s="574"/>
      <c r="X4" s="574"/>
      <c r="Y4" s="574"/>
      <c r="Z4" s="574"/>
      <c r="AA4" s="574"/>
      <c r="AB4" s="575"/>
    </row>
    <row r="5" spans="2:28" ht="27" customHeight="1" x14ac:dyDescent="0.25">
      <c r="B5" s="605" t="s">
        <v>268</v>
      </c>
      <c r="C5" s="575"/>
      <c r="D5" s="456" t="s">
        <v>68</v>
      </c>
      <c r="E5" s="456" t="s">
        <v>269</v>
      </c>
      <c r="F5" s="456" t="s">
        <v>270</v>
      </c>
      <c r="G5" s="456" t="s">
        <v>271</v>
      </c>
      <c r="H5" s="456" t="s">
        <v>272</v>
      </c>
      <c r="I5" s="605" t="s">
        <v>273</v>
      </c>
      <c r="J5" s="574"/>
      <c r="K5" s="574"/>
      <c r="L5" s="574"/>
      <c r="M5" s="574"/>
      <c r="N5" s="574"/>
      <c r="O5" s="574"/>
      <c r="P5" s="574"/>
      <c r="Q5" s="574"/>
      <c r="R5" s="574"/>
      <c r="S5" s="574"/>
      <c r="T5" s="574"/>
      <c r="U5" s="574"/>
      <c r="V5" s="574"/>
      <c r="W5" s="574"/>
      <c r="X5" s="574"/>
      <c r="Y5" s="574"/>
      <c r="Z5" s="575"/>
      <c r="AA5" s="615" t="s">
        <v>274</v>
      </c>
      <c r="AB5" s="575"/>
    </row>
    <row r="6" spans="2:28" ht="15" customHeight="1" x14ac:dyDescent="0.25">
      <c r="B6" s="605" t="s">
        <v>275</v>
      </c>
      <c r="C6" s="575"/>
      <c r="D6" s="457" t="str">
        <f>LEFT(輸入!$C$8,3)</f>
        <v>115</v>
      </c>
      <c r="E6" s="457" t="str">
        <f>MID(輸入!$C$8,4,2)</f>
        <v>09</v>
      </c>
      <c r="F6" s="457" t="str">
        <f>MID(輸入!$C$8,6,2)</f>
        <v>12</v>
      </c>
      <c r="G6" s="457" t="str">
        <f>MID(輸入!$C$8,8,2)</f>
        <v>12</v>
      </c>
      <c r="H6" s="457" t="str">
        <f>MID(輸入!$C$8,10,2)</f>
        <v>18</v>
      </c>
      <c r="I6" s="607" t="str">
        <f>IF(ISBLANK(輸入!$C$8),"",輸入!$C$7)</f>
        <v>臺北市信義區吳興街206號</v>
      </c>
      <c r="J6" s="574"/>
      <c r="K6" s="574"/>
      <c r="L6" s="574"/>
      <c r="M6" s="574"/>
      <c r="N6" s="574"/>
      <c r="O6" s="574"/>
      <c r="P6" s="574"/>
      <c r="Q6" s="574"/>
      <c r="R6" s="574"/>
      <c r="S6" s="574"/>
      <c r="T6" s="574"/>
      <c r="U6" s="574"/>
      <c r="V6" s="574"/>
      <c r="W6" s="574"/>
      <c r="X6" s="574"/>
      <c r="Y6" s="574"/>
      <c r="Z6" s="575"/>
      <c r="AA6" s="607" t="str">
        <f>IF(ISBLANK(輸入!$C$8),"","街道馬路")</f>
        <v>街道馬路</v>
      </c>
      <c r="AB6" s="575"/>
    </row>
    <row r="7" spans="2:28" ht="15.75" customHeight="1" x14ac:dyDescent="0.25">
      <c r="B7" s="605" t="s">
        <v>276</v>
      </c>
      <c r="C7" s="575"/>
      <c r="D7" s="457" t="str">
        <f>LEFT(輸入!$C$9,3)</f>
        <v/>
      </c>
      <c r="E7" s="457" t="str">
        <f>MID(輸入!$C$9,4,2)</f>
        <v/>
      </c>
      <c r="F7" s="457" t="str">
        <f>MID(輸入!$C$9,6,2)</f>
        <v/>
      </c>
      <c r="G7" s="457" t="str">
        <f>MID(輸入!$C$9,8,2)</f>
        <v/>
      </c>
      <c r="H7" s="457" t="str">
        <f>MID(輸入!$C$9,10,2)</f>
        <v/>
      </c>
      <c r="I7" s="607" t="str">
        <f>IF(ISBLANK(輸入!$C$9),"",輸入!$C$7)</f>
        <v/>
      </c>
      <c r="J7" s="574"/>
      <c r="K7" s="574"/>
      <c r="L7" s="574"/>
      <c r="M7" s="574"/>
      <c r="N7" s="574"/>
      <c r="O7" s="574"/>
      <c r="P7" s="574"/>
      <c r="Q7" s="574"/>
      <c r="R7" s="574"/>
      <c r="S7" s="574"/>
      <c r="T7" s="574"/>
      <c r="U7" s="574"/>
      <c r="V7" s="574"/>
      <c r="W7" s="574"/>
      <c r="X7" s="574"/>
      <c r="Y7" s="574"/>
      <c r="Z7" s="575"/>
      <c r="AA7" s="607" t="str">
        <f>IF(ISBLANK(輸入!$C$9),"","街道馬路")</f>
        <v/>
      </c>
      <c r="AB7" s="575"/>
    </row>
    <row r="8" spans="2:28" ht="14.25" customHeight="1" x14ac:dyDescent="0.25">
      <c r="B8" s="605" t="s">
        <v>277</v>
      </c>
      <c r="C8" s="575"/>
      <c r="D8" s="457" t="str">
        <f>LEFT(輸入!$C$10,3)</f>
        <v>115</v>
      </c>
      <c r="E8" s="457" t="str">
        <f>MID(輸入!$C$10,4,2)</f>
        <v>09</v>
      </c>
      <c r="F8" s="457" t="str">
        <f>MID(輸入!$C$10,6,2)</f>
        <v>12</v>
      </c>
      <c r="G8" s="457" t="str">
        <f>MID(輸入!$C$10,8,2)</f>
        <v>13</v>
      </c>
      <c r="H8" s="457" t="str">
        <f>MID(輸入!$C$10,10,2)</f>
        <v>30</v>
      </c>
      <c r="I8" s="607" t="str">
        <f>IF(ISBLANK(輸入!$C$10),"",輸入!$C$7)</f>
        <v>臺北市信義區吳興街206號</v>
      </c>
      <c r="J8" s="574"/>
      <c r="K8" s="574"/>
      <c r="L8" s="574"/>
      <c r="M8" s="574"/>
      <c r="N8" s="574"/>
      <c r="O8" s="574"/>
      <c r="P8" s="574"/>
      <c r="Q8" s="574"/>
      <c r="R8" s="574"/>
      <c r="S8" s="574"/>
      <c r="T8" s="574"/>
      <c r="U8" s="574"/>
      <c r="V8" s="574"/>
      <c r="W8" s="574"/>
      <c r="X8" s="574"/>
      <c r="Y8" s="574"/>
      <c r="Z8" s="575"/>
      <c r="AA8" s="607" t="str">
        <f>IF(ISBLANK(輸入!$C$10),"","街道馬路")</f>
        <v>街道馬路</v>
      </c>
      <c r="AB8" s="575"/>
    </row>
    <row r="9" spans="2:28" ht="18.75" customHeight="1" x14ac:dyDescent="0.25">
      <c r="B9" s="605" t="s">
        <v>278</v>
      </c>
      <c r="C9" s="575"/>
      <c r="D9" s="457" t="str">
        <f>LEFT(輸入!$C$11,3)</f>
        <v/>
      </c>
      <c r="E9" s="457" t="str">
        <f>MID(輸入!$C$11,4,2)</f>
        <v/>
      </c>
      <c r="F9" s="457" t="str">
        <f>MID(輸入!$C$11,6,2)</f>
        <v/>
      </c>
      <c r="G9" s="457" t="str">
        <f>MID(輸入!$C$11,8,2)</f>
        <v/>
      </c>
      <c r="H9" s="457" t="str">
        <f>MID(輸入!$C$11,10,2)</f>
        <v/>
      </c>
      <c r="I9" s="607" t="str">
        <f>IF(ISBLANK(輸入!$C$11),"",輸入!$S$23)</f>
        <v/>
      </c>
      <c r="J9" s="574"/>
      <c r="K9" s="574"/>
      <c r="L9" s="574"/>
      <c r="M9" s="574"/>
      <c r="N9" s="574"/>
      <c r="O9" s="574"/>
      <c r="P9" s="574"/>
      <c r="Q9" s="574"/>
      <c r="R9" s="574"/>
      <c r="S9" s="574"/>
      <c r="T9" s="574"/>
      <c r="U9" s="574"/>
      <c r="V9" s="574"/>
      <c r="W9" s="574"/>
      <c r="X9" s="574"/>
      <c r="Y9" s="574"/>
      <c r="Z9" s="575"/>
      <c r="AA9" s="607" t="str">
        <f>IF(ISBLANK(輸入!$C$11),"","街道馬路")</f>
        <v/>
      </c>
      <c r="AB9" s="575"/>
    </row>
    <row r="10" spans="2:28" ht="18.75" customHeight="1" x14ac:dyDescent="0.25">
      <c r="B10" s="605" t="s">
        <v>279</v>
      </c>
      <c r="C10" s="580"/>
      <c r="D10" s="606" t="s">
        <v>280</v>
      </c>
      <c r="E10" s="579"/>
      <c r="F10" s="579"/>
      <c r="G10" s="580"/>
      <c r="H10" s="606" t="s">
        <v>183</v>
      </c>
      <c r="I10" s="605" t="s">
        <v>281</v>
      </c>
      <c r="J10" s="574"/>
      <c r="K10" s="575"/>
      <c r="L10" s="605" t="s">
        <v>282</v>
      </c>
      <c r="M10" s="579"/>
      <c r="N10" s="579"/>
      <c r="O10" s="580"/>
      <c r="P10" s="605" t="s">
        <v>283</v>
      </c>
      <c r="Q10" s="579"/>
      <c r="R10" s="579"/>
      <c r="S10" s="580"/>
      <c r="T10" s="605" t="s">
        <v>54</v>
      </c>
      <c r="U10" s="579"/>
      <c r="V10" s="579"/>
      <c r="W10" s="580"/>
      <c r="X10" s="605" t="s">
        <v>284</v>
      </c>
      <c r="Y10" s="579"/>
      <c r="Z10" s="580"/>
      <c r="AA10" s="605" t="s">
        <v>285</v>
      </c>
      <c r="AB10" s="580"/>
    </row>
    <row r="11" spans="2:28" ht="18.75" customHeight="1" x14ac:dyDescent="0.25">
      <c r="B11" s="581"/>
      <c r="C11" s="583"/>
      <c r="D11" s="581"/>
      <c r="E11" s="582"/>
      <c r="F11" s="582"/>
      <c r="G11" s="583"/>
      <c r="H11" s="577"/>
      <c r="I11" s="456" t="s">
        <v>68</v>
      </c>
      <c r="J11" s="456" t="s">
        <v>269</v>
      </c>
      <c r="K11" s="456" t="s">
        <v>270</v>
      </c>
      <c r="L11" s="581"/>
      <c r="M11" s="582"/>
      <c r="N11" s="582"/>
      <c r="O11" s="583"/>
      <c r="P11" s="581"/>
      <c r="Q11" s="582"/>
      <c r="R11" s="582"/>
      <c r="S11" s="583"/>
      <c r="T11" s="581"/>
      <c r="U11" s="582"/>
      <c r="V11" s="582"/>
      <c r="W11" s="583"/>
      <c r="X11" s="581"/>
      <c r="Y11" s="582"/>
      <c r="Z11" s="583"/>
      <c r="AA11" s="581"/>
      <c r="AB11" s="583"/>
    </row>
    <row r="12" spans="2:28" ht="16.5" customHeight="1" x14ac:dyDescent="0.25">
      <c r="B12" s="607" t="str">
        <f>IFERROR(IF($D$12="","",VLOOKUP($D$12,個資,12,FALSE)),"")</f>
        <v/>
      </c>
      <c r="C12" s="575"/>
      <c r="D12" s="604" t="s">
        <v>286</v>
      </c>
      <c r="E12" s="574"/>
      <c r="F12" s="574"/>
      <c r="G12" s="575"/>
      <c r="H12" s="460" t="str">
        <f>IFERROR(IF($D$12="","",VLOOKUP($D$12,個資,11,FALSE)),"")</f>
        <v/>
      </c>
      <c r="I12" s="604" t="str">
        <f>IFERROR(IF($D$12="","",VLOOKUP($D$12,個資,16,FALSE)),"")</f>
        <v/>
      </c>
      <c r="J12" s="574"/>
      <c r="K12" s="575"/>
      <c r="L12" s="604" t="str">
        <f>IFERROR(IF($D$12="","",VLOOKUP($D$12,個資,2,FALSE)),"")</f>
        <v/>
      </c>
      <c r="M12" s="574"/>
      <c r="N12" s="574"/>
      <c r="O12" s="575"/>
      <c r="P12" s="610" t="str">
        <f>IF($H$12="","",CONCATENATE("0",VLOOKUP($D$12,個資,4,FALSE)))</f>
        <v/>
      </c>
      <c r="Q12" s="574"/>
      <c r="R12" s="574"/>
      <c r="S12" s="575"/>
      <c r="T12" s="610" t="str">
        <f>IFERROR(IF($D$12="","",VLOOKUP($D$12,個資,8,FALSE)),"")</f>
        <v/>
      </c>
      <c r="U12" s="574"/>
      <c r="V12" s="574"/>
      <c r="W12" s="575"/>
      <c r="X12" s="610"/>
      <c r="Y12" s="574"/>
      <c r="Z12" s="575"/>
      <c r="AA12" s="604"/>
      <c r="AB12" s="575"/>
    </row>
    <row r="13" spans="2:28" ht="15.75" customHeight="1" x14ac:dyDescent="0.25">
      <c r="B13" s="605" t="s">
        <v>279</v>
      </c>
      <c r="C13" s="580"/>
      <c r="D13" s="605" t="s">
        <v>47</v>
      </c>
      <c r="E13" s="579"/>
      <c r="F13" s="579"/>
      <c r="G13" s="580"/>
      <c r="H13" s="606" t="s">
        <v>183</v>
      </c>
      <c r="I13" s="605" t="s">
        <v>281</v>
      </c>
      <c r="J13" s="574"/>
      <c r="K13" s="575"/>
      <c r="L13" s="605" t="s">
        <v>282</v>
      </c>
      <c r="M13" s="579"/>
      <c r="N13" s="579"/>
      <c r="O13" s="580"/>
      <c r="P13" s="606" t="s">
        <v>287</v>
      </c>
      <c r="Q13" s="579"/>
      <c r="R13" s="579"/>
      <c r="S13" s="579"/>
      <c r="T13" s="579"/>
      <c r="U13" s="579"/>
      <c r="V13" s="579"/>
      <c r="W13" s="580"/>
      <c r="X13" s="606" t="s">
        <v>54</v>
      </c>
      <c r="Y13" s="580"/>
      <c r="Z13" s="606" t="s">
        <v>209</v>
      </c>
      <c r="AA13" s="606" t="s">
        <v>288</v>
      </c>
      <c r="AB13" s="606" t="s">
        <v>289</v>
      </c>
    </row>
    <row r="14" spans="2:28" ht="15.75" customHeight="1" x14ac:dyDescent="0.25">
      <c r="B14" s="581"/>
      <c r="C14" s="583"/>
      <c r="D14" s="581"/>
      <c r="E14" s="582"/>
      <c r="F14" s="582"/>
      <c r="G14" s="583"/>
      <c r="H14" s="577"/>
      <c r="I14" s="456" t="s">
        <v>68</v>
      </c>
      <c r="J14" s="456" t="s">
        <v>269</v>
      </c>
      <c r="K14" s="456" t="s">
        <v>270</v>
      </c>
      <c r="L14" s="581"/>
      <c r="M14" s="582"/>
      <c r="N14" s="582"/>
      <c r="O14" s="583"/>
      <c r="P14" s="581"/>
      <c r="Q14" s="582"/>
      <c r="R14" s="582"/>
      <c r="S14" s="582"/>
      <c r="T14" s="582"/>
      <c r="U14" s="582"/>
      <c r="V14" s="582"/>
      <c r="W14" s="583"/>
      <c r="X14" s="581"/>
      <c r="Y14" s="583"/>
      <c r="Z14" s="577"/>
      <c r="AA14" s="577"/>
      <c r="AB14" s="577"/>
    </row>
    <row r="15" spans="2:28" ht="33.75" customHeight="1" x14ac:dyDescent="0.25">
      <c r="B15" s="610" t="str">
        <f>IFERROR(IF($D$15="","",VLOOKUP($D$15,個資,12,FALSE)),"")</f>
        <v/>
      </c>
      <c r="C15" s="575"/>
      <c r="D15" s="607" t="str">
        <f>呈報單!$B$7</f>
        <v/>
      </c>
      <c r="E15" s="574"/>
      <c r="F15" s="574"/>
      <c r="G15" s="575"/>
      <c r="H15" s="457" t="str">
        <f>IFERROR(IF($D$15="","",VLOOKUP($D$15,個資,11,FALSE)),"")</f>
        <v/>
      </c>
      <c r="I15" s="607" t="str">
        <f>IFERROR(IF($D$15="","",VLOOKUP($D$15,個資,16,FALSE)),"")</f>
        <v/>
      </c>
      <c r="J15" s="574"/>
      <c r="K15" s="575"/>
      <c r="L15" s="607" t="str">
        <f>IFERROR(IF($D$15="","",VLOOKUP($D$15,個資,2,FALSE)),"")</f>
        <v/>
      </c>
      <c r="M15" s="574"/>
      <c r="N15" s="574"/>
      <c r="O15" s="575"/>
      <c r="P15" s="610" t="str">
        <f>IFERROR(IF($D$15="","",VLOOKUP($D$15,個資,6,FALSE)),"")</f>
        <v/>
      </c>
      <c r="Q15" s="574"/>
      <c r="R15" s="574"/>
      <c r="S15" s="574"/>
      <c r="T15" s="574"/>
      <c r="U15" s="574"/>
      <c r="V15" s="574"/>
      <c r="W15" s="575"/>
      <c r="X15" s="619" t="str">
        <f>IFERROR(IF($D$15="","",VLOOKUP($D$15,個資,8,FALSE)),"")</f>
        <v/>
      </c>
      <c r="Y15" s="575"/>
      <c r="Z15" s="461"/>
      <c r="AA15" s="461"/>
      <c r="AB15" s="461"/>
    </row>
    <row r="16" spans="2:28" ht="21.75" customHeight="1" x14ac:dyDescent="0.25">
      <c r="B16" s="605" t="s">
        <v>290</v>
      </c>
      <c r="C16" s="579"/>
      <c r="D16" s="579"/>
      <c r="E16" s="580"/>
      <c r="F16" s="605" t="s">
        <v>291</v>
      </c>
      <c r="G16" s="575"/>
      <c r="H16" s="605" t="s">
        <v>183</v>
      </c>
      <c r="I16" s="575"/>
      <c r="J16" s="605" t="s">
        <v>56</v>
      </c>
      <c r="K16" s="575"/>
      <c r="L16" s="605" t="s">
        <v>292</v>
      </c>
      <c r="M16" s="575"/>
      <c r="N16" s="605" t="s">
        <v>293</v>
      </c>
      <c r="O16" s="575"/>
      <c r="P16" s="605" t="s">
        <v>294</v>
      </c>
      <c r="Q16" s="575"/>
      <c r="R16" s="605" t="s">
        <v>295</v>
      </c>
      <c r="S16" s="575"/>
      <c r="T16" s="605" t="s">
        <v>296</v>
      </c>
      <c r="U16" s="575"/>
      <c r="V16" s="605" t="s">
        <v>297</v>
      </c>
      <c r="W16" s="575"/>
      <c r="X16" s="605" t="s">
        <v>298</v>
      </c>
      <c r="Y16" s="575"/>
      <c r="Z16" s="605" t="s">
        <v>299</v>
      </c>
      <c r="AA16" s="574"/>
      <c r="AB16" s="575"/>
    </row>
    <row r="17" spans="2:28" ht="19.5" customHeight="1" x14ac:dyDescent="0.25">
      <c r="B17" s="581"/>
      <c r="C17" s="582"/>
      <c r="D17" s="582"/>
      <c r="E17" s="583"/>
      <c r="F17" s="607"/>
      <c r="G17" s="575"/>
      <c r="H17" s="607"/>
      <c r="I17" s="575"/>
      <c r="J17" s="607"/>
      <c r="K17" s="575"/>
      <c r="L17" s="607"/>
      <c r="M17" s="575"/>
      <c r="N17" s="607"/>
      <c r="O17" s="575"/>
      <c r="P17" s="607"/>
      <c r="Q17" s="575"/>
      <c r="R17" s="607"/>
      <c r="S17" s="575"/>
      <c r="T17" s="607"/>
      <c r="U17" s="575"/>
      <c r="V17" s="607"/>
      <c r="W17" s="575"/>
      <c r="X17" s="607"/>
      <c r="Y17" s="575"/>
      <c r="Z17" s="607"/>
      <c r="AA17" s="574"/>
      <c r="AB17" s="575"/>
    </row>
    <row r="18" spans="2:28" ht="24.75" customHeight="1" x14ac:dyDescent="0.25">
      <c r="B18" s="606" t="s">
        <v>300</v>
      </c>
      <c r="C18" s="579"/>
      <c r="D18" s="579"/>
      <c r="E18" s="580"/>
      <c r="F18" s="606" t="s">
        <v>301</v>
      </c>
      <c r="G18" s="580"/>
      <c r="H18" s="615" t="s">
        <v>302</v>
      </c>
      <c r="I18" s="580"/>
      <c r="J18" s="606" t="s">
        <v>303</v>
      </c>
      <c r="K18" s="580"/>
      <c r="L18" s="606" t="s">
        <v>304</v>
      </c>
      <c r="M18" s="579"/>
      <c r="N18" s="580"/>
      <c r="O18" s="606" t="s">
        <v>305</v>
      </c>
      <c r="P18" s="580"/>
      <c r="Q18" s="605" t="s">
        <v>306</v>
      </c>
      <c r="R18" s="574"/>
      <c r="S18" s="574"/>
      <c r="T18" s="574"/>
      <c r="U18" s="574"/>
      <c r="V18" s="574"/>
      <c r="W18" s="574"/>
      <c r="X18" s="574"/>
      <c r="Y18" s="574"/>
      <c r="Z18" s="574"/>
      <c r="AA18" s="574"/>
      <c r="AB18" s="575"/>
    </row>
    <row r="19" spans="2:28" ht="18.75" customHeight="1" x14ac:dyDescent="0.25">
      <c r="B19" s="601"/>
      <c r="C19" s="602"/>
      <c r="D19" s="602"/>
      <c r="E19" s="603"/>
      <c r="F19" s="581"/>
      <c r="G19" s="583"/>
      <c r="H19" s="581"/>
      <c r="I19" s="583"/>
      <c r="J19" s="581"/>
      <c r="K19" s="583"/>
      <c r="L19" s="581"/>
      <c r="M19" s="582"/>
      <c r="N19" s="583"/>
      <c r="O19" s="581"/>
      <c r="P19" s="583"/>
      <c r="Q19" s="605" t="s">
        <v>11</v>
      </c>
      <c r="R19" s="575"/>
      <c r="S19" s="605" t="s">
        <v>307</v>
      </c>
      <c r="T19" s="575"/>
      <c r="U19" s="605" t="s">
        <v>308</v>
      </c>
      <c r="V19" s="575"/>
      <c r="W19" s="605" t="s">
        <v>309</v>
      </c>
      <c r="X19" s="575"/>
      <c r="Y19" s="605" t="s">
        <v>310</v>
      </c>
      <c r="Z19" s="575"/>
      <c r="AA19" s="605" t="s">
        <v>311</v>
      </c>
      <c r="AB19" s="575"/>
    </row>
    <row r="20" spans="2:28" ht="18.75" customHeight="1" x14ac:dyDescent="0.25">
      <c r="B20" s="581"/>
      <c r="C20" s="582"/>
      <c r="D20" s="582"/>
      <c r="E20" s="583"/>
      <c r="F20" s="611"/>
      <c r="G20" s="575"/>
      <c r="H20" s="611"/>
      <c r="I20" s="575"/>
      <c r="J20" s="611"/>
      <c r="K20" s="575"/>
      <c r="L20" s="611"/>
      <c r="M20" s="574"/>
      <c r="N20" s="575"/>
      <c r="O20" s="611"/>
      <c r="P20" s="575"/>
      <c r="Q20" s="613"/>
      <c r="R20" s="575"/>
      <c r="S20" s="620"/>
      <c r="T20" s="575"/>
      <c r="U20" s="607"/>
      <c r="V20" s="575"/>
      <c r="W20" s="607"/>
      <c r="X20" s="575"/>
      <c r="Y20" s="607"/>
      <c r="Z20" s="575"/>
      <c r="AA20" s="607"/>
      <c r="AB20" s="575"/>
    </row>
    <row r="21" spans="2:28" ht="42.75" customHeight="1" x14ac:dyDescent="0.25">
      <c r="B21" s="606" t="s">
        <v>312</v>
      </c>
      <c r="C21" s="579"/>
      <c r="D21" s="579"/>
      <c r="E21" s="580"/>
      <c r="F21" s="616" t="str">
        <f>呈報單!$F$16</f>
        <v>一、吳興街所警員蘇詠棠受理民眾黃軾錦報案，於115年09月12日13時30分在臺北市信義區吳興街206號稱有毀損案件(證明單編號：Z115099AWBN1NGL)。警方依規定受理後，調閱店家及公家道路監視器影像，尋線找到嫌疑人並通知到案說明。
二、警方聯繫嫌疑人於114年06月06日18時00分至所說明，但嫌於通知日期仍未至所說明，全案提供相關附件為證。
三、依毀損罪嫌，函送  偵查隊  續辦。</v>
      </c>
      <c r="G21" s="579"/>
      <c r="H21" s="579"/>
      <c r="I21" s="579"/>
      <c r="J21" s="579"/>
      <c r="K21" s="579"/>
      <c r="L21" s="579"/>
      <c r="M21" s="579"/>
      <c r="N21" s="579"/>
      <c r="O21" s="579"/>
      <c r="P21" s="579"/>
      <c r="Q21" s="579"/>
      <c r="R21" s="579"/>
      <c r="S21" s="579"/>
      <c r="T21" s="579"/>
      <c r="U21" s="579"/>
      <c r="V21" s="579"/>
      <c r="W21" s="579"/>
      <c r="X21" s="579"/>
      <c r="Y21" s="579"/>
      <c r="Z21" s="579"/>
      <c r="AA21" s="579"/>
      <c r="AB21" s="580"/>
    </row>
    <row r="22" spans="2:28" ht="103.5" customHeight="1" x14ac:dyDescent="0.25">
      <c r="B22" s="581"/>
      <c r="C22" s="582"/>
      <c r="D22" s="582"/>
      <c r="E22" s="583"/>
      <c r="F22" s="581"/>
      <c r="G22" s="582"/>
      <c r="H22" s="582"/>
      <c r="I22" s="582"/>
      <c r="J22" s="582"/>
      <c r="K22" s="582"/>
      <c r="L22" s="582"/>
      <c r="M22" s="582"/>
      <c r="N22" s="582"/>
      <c r="O22" s="582"/>
      <c r="P22" s="582"/>
      <c r="Q22" s="582"/>
      <c r="R22" s="582"/>
      <c r="S22" s="582"/>
      <c r="T22" s="582"/>
      <c r="U22" s="582"/>
      <c r="V22" s="582"/>
      <c r="W22" s="582"/>
      <c r="X22" s="582"/>
      <c r="Y22" s="582"/>
      <c r="Z22" s="582"/>
      <c r="AA22" s="582"/>
      <c r="AB22" s="583"/>
    </row>
    <row r="23" spans="2:28" ht="18.75" customHeight="1" x14ac:dyDescent="0.25">
      <c r="B23" s="605" t="s">
        <v>313</v>
      </c>
      <c r="C23" s="574"/>
      <c r="D23" s="574"/>
      <c r="E23" s="574"/>
      <c r="F23" s="575"/>
      <c r="G23" s="605" t="s">
        <v>314</v>
      </c>
      <c r="H23" s="574"/>
      <c r="I23" s="575"/>
      <c r="J23" s="605" t="s">
        <v>315</v>
      </c>
      <c r="K23" s="574"/>
      <c r="L23" s="575"/>
      <c r="M23" s="618" t="s">
        <v>316</v>
      </c>
      <c r="N23" s="574"/>
      <c r="O23" s="575"/>
      <c r="P23" s="605"/>
      <c r="Q23" s="574"/>
      <c r="R23" s="575"/>
      <c r="S23" s="606" t="s">
        <v>317</v>
      </c>
      <c r="T23" s="574"/>
      <c r="U23" s="574"/>
      <c r="V23" s="575"/>
      <c r="W23" s="365"/>
      <c r="X23" s="365"/>
      <c r="Y23" s="365"/>
      <c r="Z23" s="365"/>
      <c r="AA23" s="365"/>
      <c r="AB23" s="366"/>
    </row>
    <row r="24" spans="2:28" ht="18.75" customHeight="1" x14ac:dyDescent="0.25">
      <c r="B24" s="605" t="s">
        <v>318</v>
      </c>
      <c r="C24" s="574"/>
      <c r="D24" s="574"/>
      <c r="E24" s="574"/>
      <c r="F24" s="575"/>
      <c r="G24" s="605"/>
      <c r="H24" s="574"/>
      <c r="I24" s="574"/>
      <c r="J24" s="574"/>
      <c r="K24" s="574"/>
      <c r="L24" s="574"/>
      <c r="M24" s="574"/>
      <c r="N24" s="574"/>
      <c r="O24" s="575"/>
      <c r="P24" s="609" t="s">
        <v>319</v>
      </c>
      <c r="Q24" s="582"/>
      <c r="R24" s="583"/>
      <c r="S24" s="621"/>
      <c r="T24" s="582"/>
      <c r="U24" s="582"/>
      <c r="V24" s="582"/>
      <c r="W24" s="582"/>
      <c r="X24" s="582"/>
      <c r="Y24" s="582"/>
      <c r="Z24" s="582"/>
      <c r="AA24" s="582"/>
      <c r="AB24" s="583"/>
    </row>
    <row r="25" spans="2:28" ht="18.75" customHeight="1" x14ac:dyDescent="0.25">
      <c r="B25" s="605" t="s">
        <v>320</v>
      </c>
      <c r="C25" s="574"/>
      <c r="D25" s="574"/>
      <c r="E25" s="574"/>
      <c r="F25" s="575"/>
      <c r="G25" s="608" t="str">
        <f>CONCATENATE(輸入!$S$18,輸入!$T$18,輸入!$S$19,輸入!$T$19,輸入!$S$20&amp;輸入!$T$20)</f>
        <v>臺北市政府警察局信義分局吳興街派出所</v>
      </c>
      <c r="H25" s="574"/>
      <c r="I25" s="574"/>
      <c r="J25" s="574"/>
      <c r="K25" s="574"/>
      <c r="L25" s="574"/>
      <c r="M25" s="574"/>
      <c r="N25" s="574"/>
      <c r="O25" s="574"/>
      <c r="P25" s="574"/>
      <c r="Q25" s="574"/>
      <c r="R25" s="574"/>
      <c r="S25" s="574"/>
      <c r="T25" s="574"/>
      <c r="U25" s="574"/>
      <c r="V25" s="574"/>
      <c r="W25" s="574"/>
      <c r="X25" s="574"/>
      <c r="Y25" s="574"/>
      <c r="Z25" s="574"/>
      <c r="AA25" s="574"/>
      <c r="AB25" s="575"/>
    </row>
    <row r="26" spans="2:28" ht="18.75" customHeight="1" x14ac:dyDescent="0.25">
      <c r="B26" s="605" t="s">
        <v>321</v>
      </c>
      <c r="C26" s="574"/>
      <c r="D26" s="574"/>
      <c r="E26" s="574"/>
      <c r="F26" s="575"/>
      <c r="G26" s="617"/>
      <c r="H26" s="574"/>
      <c r="I26" s="574"/>
      <c r="J26" s="574"/>
      <c r="K26" s="574"/>
      <c r="L26" s="574"/>
      <c r="M26" s="574"/>
      <c r="N26" s="574"/>
      <c r="O26" s="575"/>
      <c r="P26" s="605" t="s">
        <v>283</v>
      </c>
      <c r="Q26" s="574"/>
      <c r="R26" s="575"/>
      <c r="S26" s="607" t="str">
        <f>輸入!$T$21</f>
        <v>(02)27398997</v>
      </c>
      <c r="T26" s="574"/>
      <c r="U26" s="574"/>
      <c r="V26" s="574"/>
      <c r="W26" s="574"/>
      <c r="X26" s="574"/>
      <c r="Y26" s="574"/>
      <c r="Z26" s="574"/>
      <c r="AA26" s="574"/>
      <c r="AB26" s="575"/>
    </row>
    <row r="27" spans="2:28" ht="18.75" customHeight="1" x14ac:dyDescent="0.25">
      <c r="B27" s="605" t="s">
        <v>322</v>
      </c>
      <c r="C27" s="574"/>
      <c r="D27" s="574"/>
      <c r="E27" s="574"/>
      <c r="F27" s="574"/>
      <c r="G27" s="575"/>
      <c r="H27" s="605"/>
      <c r="I27" s="574"/>
      <c r="J27" s="574"/>
      <c r="K27" s="574"/>
      <c r="L27" s="574"/>
      <c r="M27" s="574"/>
      <c r="N27" s="574"/>
      <c r="O27" s="575"/>
      <c r="P27" s="605" t="s">
        <v>323</v>
      </c>
      <c r="Q27" s="574"/>
      <c r="R27" s="575"/>
      <c r="S27" s="607" t="str">
        <f>CONCATENATE(輸入!$T$17,"年  月  日  時  分")</f>
        <v>115年  月  日  時  分</v>
      </c>
      <c r="T27" s="574"/>
      <c r="U27" s="574"/>
      <c r="V27" s="574"/>
      <c r="W27" s="574"/>
      <c r="X27" s="574"/>
      <c r="Y27" s="574"/>
      <c r="Z27" s="574"/>
      <c r="AA27" s="574"/>
      <c r="AB27" s="575"/>
    </row>
    <row r="28" spans="2:28" ht="18.75" customHeight="1" x14ac:dyDescent="0.25">
      <c r="B28" s="605" t="s">
        <v>324</v>
      </c>
      <c r="C28" s="574"/>
      <c r="D28" s="574"/>
      <c r="E28" s="574"/>
      <c r="F28" s="574"/>
      <c r="G28" s="575"/>
      <c r="H28" s="605" t="s">
        <v>325</v>
      </c>
      <c r="I28" s="574"/>
      <c r="J28" s="574"/>
      <c r="K28" s="574"/>
      <c r="L28" s="574"/>
      <c r="M28" s="575"/>
      <c r="N28" s="605" t="s">
        <v>326</v>
      </c>
      <c r="O28" s="574"/>
      <c r="P28" s="574"/>
      <c r="Q28" s="574"/>
      <c r="R28" s="575"/>
      <c r="S28" s="605" t="s">
        <v>327</v>
      </c>
      <c r="T28" s="574"/>
      <c r="U28" s="574"/>
      <c r="V28" s="574"/>
      <c r="W28" s="575"/>
      <c r="X28" s="605" t="s">
        <v>328</v>
      </c>
      <c r="Y28" s="574"/>
      <c r="Z28" s="574"/>
      <c r="AA28" s="574"/>
      <c r="AB28" s="575"/>
    </row>
    <row r="29" spans="2:28" ht="21.75" customHeight="1" x14ac:dyDescent="0.25">
      <c r="B29" s="600" t="s">
        <v>329</v>
      </c>
      <c r="C29" s="579"/>
      <c r="D29" s="579"/>
      <c r="E29" s="579"/>
      <c r="F29" s="579"/>
      <c r="G29" s="580"/>
      <c r="H29" s="600" t="s">
        <v>330</v>
      </c>
      <c r="I29" s="579"/>
      <c r="J29" s="579"/>
      <c r="K29" s="579"/>
      <c r="L29" s="579"/>
      <c r="M29" s="580"/>
      <c r="N29" s="605"/>
      <c r="O29" s="579"/>
      <c r="P29" s="579"/>
      <c r="Q29" s="579"/>
      <c r="R29" s="580"/>
      <c r="S29" s="605"/>
      <c r="T29" s="579"/>
      <c r="U29" s="579"/>
      <c r="V29" s="579"/>
      <c r="W29" s="580"/>
      <c r="X29" s="605"/>
      <c r="Y29" s="579"/>
      <c r="Z29" s="579"/>
      <c r="AA29" s="579"/>
      <c r="AB29" s="580"/>
    </row>
    <row r="30" spans="2:28" ht="21.75" customHeight="1" x14ac:dyDescent="0.25">
      <c r="B30" s="601"/>
      <c r="C30" s="602"/>
      <c r="D30" s="602"/>
      <c r="E30" s="602"/>
      <c r="F30" s="602"/>
      <c r="G30" s="603"/>
      <c r="H30" s="601"/>
      <c r="I30" s="602"/>
      <c r="J30" s="602"/>
      <c r="K30" s="602"/>
      <c r="L30" s="602"/>
      <c r="M30" s="603"/>
      <c r="N30" s="601"/>
      <c r="O30" s="602"/>
      <c r="P30" s="602"/>
      <c r="Q30" s="602"/>
      <c r="R30" s="603"/>
      <c r="S30" s="601"/>
      <c r="T30" s="602"/>
      <c r="U30" s="602"/>
      <c r="V30" s="602"/>
      <c r="W30" s="603"/>
      <c r="X30" s="601"/>
      <c r="Y30" s="602"/>
      <c r="Z30" s="602"/>
      <c r="AA30" s="602"/>
      <c r="AB30" s="603"/>
    </row>
    <row r="31" spans="2:28" ht="21.75" customHeight="1" x14ac:dyDescent="0.25">
      <c r="B31" s="601"/>
      <c r="C31" s="602"/>
      <c r="D31" s="602"/>
      <c r="E31" s="602"/>
      <c r="F31" s="602"/>
      <c r="G31" s="603"/>
      <c r="H31" s="601"/>
      <c r="I31" s="602"/>
      <c r="J31" s="602"/>
      <c r="K31" s="602"/>
      <c r="L31" s="602"/>
      <c r="M31" s="603"/>
      <c r="N31" s="601"/>
      <c r="O31" s="602"/>
      <c r="P31" s="602"/>
      <c r="Q31" s="602"/>
      <c r="R31" s="603"/>
      <c r="S31" s="601"/>
      <c r="T31" s="602"/>
      <c r="U31" s="602"/>
      <c r="V31" s="602"/>
      <c r="W31" s="603"/>
      <c r="X31" s="601"/>
      <c r="Y31" s="602"/>
      <c r="Z31" s="602"/>
      <c r="AA31" s="602"/>
      <c r="AB31" s="603"/>
    </row>
    <row r="32" spans="2:28" ht="45.75" customHeight="1" x14ac:dyDescent="0.25">
      <c r="B32" s="581"/>
      <c r="C32" s="582"/>
      <c r="D32" s="582"/>
      <c r="E32" s="582"/>
      <c r="F32" s="582"/>
      <c r="G32" s="583"/>
      <c r="H32" s="581"/>
      <c r="I32" s="582"/>
      <c r="J32" s="582"/>
      <c r="K32" s="582"/>
      <c r="L32" s="582"/>
      <c r="M32" s="583"/>
      <c r="N32" s="581"/>
      <c r="O32" s="582"/>
      <c r="P32" s="582"/>
      <c r="Q32" s="582"/>
      <c r="R32" s="583"/>
      <c r="S32" s="581"/>
      <c r="T32" s="582"/>
      <c r="U32" s="582"/>
      <c r="V32" s="582"/>
      <c r="W32" s="583"/>
      <c r="X32" s="581"/>
      <c r="Y32" s="582"/>
      <c r="Z32" s="582"/>
      <c r="AA32" s="582"/>
      <c r="AB32" s="583"/>
    </row>
  </sheetData>
  <mergeCells count="141">
    <mergeCell ref="B4:D4"/>
    <mergeCell ref="L12:O12"/>
    <mergeCell ref="AA10:AB11"/>
    <mergeCell ref="N28:R28"/>
    <mergeCell ref="X12:Z12"/>
    <mergeCell ref="H27:O27"/>
    <mergeCell ref="X13:Y14"/>
    <mergeCell ref="I6:Z6"/>
    <mergeCell ref="S20:T20"/>
    <mergeCell ref="T12:W12"/>
    <mergeCell ref="U20:V20"/>
    <mergeCell ref="AA6:AB6"/>
    <mergeCell ref="J20:K20"/>
    <mergeCell ref="L18:N19"/>
    <mergeCell ref="E4:H4"/>
    <mergeCell ref="Z13:Z14"/>
    <mergeCell ref="AB13:AB14"/>
    <mergeCell ref="L17:M17"/>
    <mergeCell ref="S24:AB24"/>
    <mergeCell ref="V17:W17"/>
    <mergeCell ref="P27:R27"/>
    <mergeCell ref="F16:G16"/>
    <mergeCell ref="B25:F25"/>
    <mergeCell ref="E3:H3"/>
    <mergeCell ref="H29:M32"/>
    <mergeCell ref="S26:AB26"/>
    <mergeCell ref="F20:G20"/>
    <mergeCell ref="I4:K4"/>
    <mergeCell ref="G26:O26"/>
    <mergeCell ref="S28:W28"/>
    <mergeCell ref="L10:O11"/>
    <mergeCell ref="F17:G17"/>
    <mergeCell ref="H17:I17"/>
    <mergeCell ref="M23:O23"/>
    <mergeCell ref="S29:W32"/>
    <mergeCell ref="I10:K10"/>
    <mergeCell ref="H13:H14"/>
    <mergeCell ref="S27:AB27"/>
    <mergeCell ref="AA7:AB7"/>
    <mergeCell ref="X15:Y15"/>
    <mergeCell ref="S19:T19"/>
    <mergeCell ref="Z17:AB17"/>
    <mergeCell ref="AA9:AB9"/>
    <mergeCell ref="X16:Y16"/>
    <mergeCell ref="W20:X20"/>
    <mergeCell ref="B12:C12"/>
    <mergeCell ref="V3:AB3"/>
    <mergeCell ref="Q20:R20"/>
    <mergeCell ref="S4:U4"/>
    <mergeCell ref="V4:AB4"/>
    <mergeCell ref="L4:R4"/>
    <mergeCell ref="P12:S12"/>
    <mergeCell ref="L20:N20"/>
    <mergeCell ref="L3:R3"/>
    <mergeCell ref="I9:Z9"/>
    <mergeCell ref="Q18:AB18"/>
    <mergeCell ref="U19:V19"/>
    <mergeCell ref="AA8:AB8"/>
    <mergeCell ref="W19:X19"/>
    <mergeCell ref="S3:U3"/>
    <mergeCell ref="I7:Z7"/>
    <mergeCell ref="L16:M16"/>
    <mergeCell ref="N16:O16"/>
    <mergeCell ref="I12:K12"/>
    <mergeCell ref="X17:Y17"/>
    <mergeCell ref="I5:Z5"/>
    <mergeCell ref="Y19:Z19"/>
    <mergeCell ref="AA5:AB5"/>
    <mergeCell ref="H18:I19"/>
    <mergeCell ref="B5:C5"/>
    <mergeCell ref="X10:Z11"/>
    <mergeCell ref="G23:I23"/>
    <mergeCell ref="P15:W15"/>
    <mergeCell ref="T10:W11"/>
    <mergeCell ref="B13:C14"/>
    <mergeCell ref="H20:I20"/>
    <mergeCell ref="D12:G12"/>
    <mergeCell ref="U2:W2"/>
    <mergeCell ref="B7:C7"/>
    <mergeCell ref="L13:O14"/>
    <mergeCell ref="B10:C11"/>
    <mergeCell ref="D15:G15"/>
    <mergeCell ref="P23:R23"/>
    <mergeCell ref="I3:K3"/>
    <mergeCell ref="X2:AB2"/>
    <mergeCell ref="B3:D3"/>
    <mergeCell ref="S23:V23"/>
    <mergeCell ref="B6:C6"/>
    <mergeCell ref="B15:C15"/>
    <mergeCell ref="F18:G19"/>
    <mergeCell ref="B21:E22"/>
    <mergeCell ref="H10:H11"/>
    <mergeCell ref="P13:W14"/>
    <mergeCell ref="X28:AB28"/>
    <mergeCell ref="Q19:R19"/>
    <mergeCell ref="B8:C8"/>
    <mergeCell ref="AA20:AB20"/>
    <mergeCell ref="P24:R24"/>
    <mergeCell ref="P16:Q16"/>
    <mergeCell ref="J23:L23"/>
    <mergeCell ref="O18:P19"/>
    <mergeCell ref="L15:O15"/>
    <mergeCell ref="P26:R26"/>
    <mergeCell ref="T16:U16"/>
    <mergeCell ref="H28:M28"/>
    <mergeCell ref="B23:F23"/>
    <mergeCell ref="I8:Z8"/>
    <mergeCell ref="N17:O17"/>
    <mergeCell ref="P17:Q17"/>
    <mergeCell ref="I13:K13"/>
    <mergeCell ref="H16:I16"/>
    <mergeCell ref="J16:K16"/>
    <mergeCell ref="R17:S17"/>
    <mergeCell ref="B9:C9"/>
    <mergeCell ref="O20:P20"/>
    <mergeCell ref="Y20:Z20"/>
    <mergeCell ref="F21:AB22"/>
    <mergeCell ref="B29:G32"/>
    <mergeCell ref="AA12:AB12"/>
    <mergeCell ref="V16:W16"/>
    <mergeCell ref="B24:F24"/>
    <mergeCell ref="AA13:AA14"/>
    <mergeCell ref="B16:E17"/>
    <mergeCell ref="Z16:AB16"/>
    <mergeCell ref="B26:F26"/>
    <mergeCell ref="P10:S11"/>
    <mergeCell ref="J17:K17"/>
    <mergeCell ref="B28:G28"/>
    <mergeCell ref="D13:G14"/>
    <mergeCell ref="X29:AB32"/>
    <mergeCell ref="T17:U17"/>
    <mergeCell ref="I15:K15"/>
    <mergeCell ref="B18:E20"/>
    <mergeCell ref="D10:G11"/>
    <mergeCell ref="AA19:AB19"/>
    <mergeCell ref="B27:G27"/>
    <mergeCell ref="G25:AB25"/>
    <mergeCell ref="N29:R32"/>
    <mergeCell ref="J18:K19"/>
    <mergeCell ref="R16:S16"/>
    <mergeCell ref="G24:O24"/>
  </mergeCells>
  <phoneticPr fontId="1" type="noConversion"/>
  <dataValidations disablePrompts="1" count="1">
    <dataValidation type="list" allowBlank="1" showInputMessage="1" showErrorMessage="1" sqref="D12:G12" xr:uid="{00000000-0002-0000-0500-000000000000}">
      <formula1>姓名</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5">
    <tabColor rgb="FFFF0000"/>
  </sheetPr>
  <dimension ref="B1:AA21"/>
  <sheetViews>
    <sheetView showGridLines="0" showZeros="0" view="pageBreakPreview" zoomScaleNormal="75" zoomScaleSheetLayoutView="100" workbookViewId="0">
      <selection activeCell="V3" sqref="V3:AA3"/>
    </sheetView>
  </sheetViews>
  <sheetFormatPr defaultColWidth="3.125" defaultRowHeight="18.75" customHeight="1" x14ac:dyDescent="0.25"/>
  <cols>
    <col min="1" max="1" width="1.625" style="25" customWidth="1"/>
    <col min="2" max="6" width="3.375" style="25" customWidth="1"/>
    <col min="7" max="7" width="3.75" style="25" customWidth="1"/>
    <col min="8" max="8" width="3.375" style="25" customWidth="1"/>
    <col min="9" max="9" width="3.875" style="25" customWidth="1"/>
    <col min="10" max="13" width="3.375" style="25" customWidth="1"/>
    <col min="14" max="15" width="4.625" style="25" customWidth="1"/>
    <col min="16" max="26" width="3.375" style="25" customWidth="1"/>
    <col min="27" max="27" width="1.375" style="25" customWidth="1"/>
    <col min="28" max="28" width="3.125" style="25" customWidth="1"/>
    <col min="29" max="16384" width="3.125" style="25"/>
  </cols>
  <sheetData>
    <row r="1" spans="2:27" ht="22.5" customHeight="1" x14ac:dyDescent="0.25">
      <c r="B1" s="26"/>
      <c r="C1" s="26"/>
      <c r="D1" s="26"/>
      <c r="E1" s="26"/>
      <c r="F1" s="26"/>
      <c r="G1" s="26"/>
      <c r="H1" s="26"/>
      <c r="I1" s="26"/>
      <c r="J1" s="26"/>
      <c r="K1" s="26"/>
      <c r="L1" s="26"/>
      <c r="M1" s="26"/>
      <c r="N1" s="26"/>
      <c r="O1" s="26"/>
      <c r="P1" s="26"/>
      <c r="Q1" s="26"/>
      <c r="R1" s="26"/>
      <c r="S1" s="26"/>
      <c r="T1" s="26"/>
      <c r="U1" s="26"/>
      <c r="V1" s="26"/>
      <c r="W1" s="26"/>
      <c r="X1" s="26"/>
      <c r="Y1" s="26"/>
      <c r="Z1" s="26"/>
      <c r="AA1" s="26"/>
    </row>
    <row r="2" spans="2:27" ht="34.5" customHeight="1" x14ac:dyDescent="0.25">
      <c r="B2" s="641" t="str">
        <f>CONCATENATE(,輸入!$S$18,輸入!$T$18,輸入!$S$19,輸入!$T$19,"刑案陳報單")</f>
        <v>臺北市政府警察局信義分局刑案陳報單</v>
      </c>
      <c r="C2" s="623"/>
      <c r="D2" s="623"/>
      <c r="E2" s="623"/>
      <c r="F2" s="623"/>
      <c r="G2" s="623"/>
      <c r="H2" s="623"/>
      <c r="I2" s="623"/>
      <c r="J2" s="623"/>
      <c r="K2" s="623"/>
      <c r="L2" s="623"/>
      <c r="M2" s="623"/>
      <c r="N2" s="623"/>
      <c r="O2" s="623"/>
      <c r="P2" s="623"/>
      <c r="Q2" s="623"/>
      <c r="R2" s="623"/>
      <c r="S2" s="623"/>
      <c r="T2" s="623"/>
      <c r="U2" s="623"/>
      <c r="V2" s="623"/>
      <c r="W2" s="623"/>
      <c r="X2" s="623"/>
      <c r="Y2" s="623"/>
      <c r="Z2" s="623"/>
      <c r="AA2" s="623"/>
    </row>
    <row r="3" spans="2:27" ht="18.75" customHeight="1" x14ac:dyDescent="0.25">
      <c r="B3" s="29"/>
      <c r="C3" s="29" t="str">
        <f>IF(ISBLANK(輸入!$C$11),下拉用!$J$11,下拉用!$J$10)</f>
        <v>日期：中華民國 114年06月06日</v>
      </c>
      <c r="E3" s="40"/>
      <c r="F3" s="40"/>
      <c r="G3" s="40"/>
      <c r="H3" s="40"/>
      <c r="I3" s="41"/>
      <c r="J3" s="464"/>
      <c r="K3" s="464"/>
      <c r="L3" s="32"/>
      <c r="N3" s="31" t="s">
        <v>331</v>
      </c>
      <c r="O3" s="30"/>
      <c r="P3" s="26"/>
      <c r="Q3" s="26"/>
      <c r="S3" s="29" t="s">
        <v>332</v>
      </c>
      <c r="U3" s="28"/>
      <c r="V3" s="644" t="str">
        <f>IF(ISBLANK(word用!$U$2),"",word用!$U$2)</f>
        <v>Z115099AWBN1NGL</v>
      </c>
      <c r="W3" s="634"/>
      <c r="X3" s="634"/>
      <c r="Y3" s="634"/>
      <c r="Z3" s="634"/>
      <c r="AA3" s="634"/>
    </row>
    <row r="4" spans="2:27" ht="18.75" customHeight="1" x14ac:dyDescent="0.25">
      <c r="B4" s="624" t="s">
        <v>333</v>
      </c>
      <c r="C4" s="625"/>
      <c r="D4" s="625"/>
      <c r="E4" s="626"/>
      <c r="F4" s="624" t="str">
        <f>IF(輸入!$C$2="違反社會秩序維護法","□刑事案件■違反社會秩序維護法□違反行政法令案件","■刑事案件□違反社會秩序維護法□違反行政法令案件")</f>
        <v>■刑事案件□違反社會秩序維護法□違反行政法令案件</v>
      </c>
      <c r="G4" s="625"/>
      <c r="H4" s="625"/>
      <c r="I4" s="625"/>
      <c r="J4" s="625"/>
      <c r="K4" s="625"/>
      <c r="L4" s="625"/>
      <c r="M4" s="625"/>
      <c r="N4" s="625"/>
      <c r="O4" s="625"/>
      <c r="P4" s="625"/>
      <c r="Q4" s="625"/>
      <c r="R4" s="625"/>
      <c r="S4" s="625"/>
      <c r="T4" s="625"/>
      <c r="U4" s="625"/>
      <c r="V4" s="625"/>
      <c r="W4" s="625"/>
      <c r="X4" s="625"/>
      <c r="Y4" s="625"/>
      <c r="Z4" s="625"/>
      <c r="AA4" s="626"/>
    </row>
    <row r="5" spans="2:27" ht="18.75" customHeight="1" x14ac:dyDescent="0.25">
      <c r="B5" s="624" t="s">
        <v>334</v>
      </c>
      <c r="C5" s="628"/>
      <c r="D5" s="628"/>
      <c r="E5" s="629"/>
      <c r="F5" s="624" t="s">
        <v>183</v>
      </c>
      <c r="G5" s="629"/>
      <c r="H5" s="624" t="s">
        <v>56</v>
      </c>
      <c r="I5" s="629"/>
      <c r="J5" s="624" t="s">
        <v>281</v>
      </c>
      <c r="K5" s="628"/>
      <c r="L5" s="628"/>
      <c r="M5" s="629"/>
      <c r="N5" s="624" t="s">
        <v>54</v>
      </c>
      <c r="O5" s="629"/>
      <c r="P5" s="624" t="s">
        <v>49</v>
      </c>
      <c r="Q5" s="628"/>
      <c r="R5" s="629"/>
      <c r="S5" s="627" t="s">
        <v>335</v>
      </c>
      <c r="T5" s="628"/>
      <c r="U5" s="628"/>
      <c r="V5" s="628"/>
      <c r="W5" s="629"/>
      <c r="X5" s="624" t="s">
        <v>288</v>
      </c>
      <c r="Y5" s="628"/>
      <c r="Z5" s="628"/>
      <c r="AA5" s="629"/>
    </row>
    <row r="6" spans="2:27" ht="18.75" customHeight="1" x14ac:dyDescent="0.25">
      <c r="B6" s="630"/>
      <c r="C6" s="634"/>
      <c r="D6" s="634"/>
      <c r="E6" s="631"/>
      <c r="F6" s="630"/>
      <c r="G6" s="631"/>
      <c r="H6" s="630"/>
      <c r="I6" s="631"/>
      <c r="J6" s="630"/>
      <c r="K6" s="634"/>
      <c r="L6" s="634"/>
      <c r="M6" s="631"/>
      <c r="N6" s="630"/>
      <c r="O6" s="631"/>
      <c r="P6" s="630"/>
      <c r="Q6" s="634"/>
      <c r="R6" s="631"/>
      <c r="S6" s="637" t="s">
        <v>336</v>
      </c>
      <c r="T6" s="634"/>
      <c r="U6" s="634"/>
      <c r="V6" s="634"/>
      <c r="W6" s="631"/>
      <c r="X6" s="630"/>
      <c r="Y6" s="634"/>
      <c r="Z6" s="634"/>
      <c r="AA6" s="631"/>
    </row>
    <row r="7" spans="2:27" ht="37.5" customHeight="1" x14ac:dyDescent="0.25">
      <c r="B7" s="633" t="str">
        <f>下拉用!$C$10</f>
        <v/>
      </c>
      <c r="C7" s="628"/>
      <c r="D7" s="628"/>
      <c r="E7" s="629"/>
      <c r="F7" s="633" t="e">
        <f>VLOOKUP($B$7,個資,11,FALSE)</f>
        <v>#N/A</v>
      </c>
      <c r="G7" s="626"/>
      <c r="H7" s="633" t="e">
        <f>VLOOKUP($B$7,個資,10,FALSE)</f>
        <v>#N/A</v>
      </c>
      <c r="I7" s="626"/>
      <c r="J7" s="632" t="e">
        <f>VLOOKUP($B$7,個資,16,FALSE)</f>
        <v>#N/A</v>
      </c>
      <c r="K7" s="625"/>
      <c r="L7" s="625"/>
      <c r="M7" s="626"/>
      <c r="N7" s="633" t="e">
        <f>VLOOKUP($B$7,個資,8,FALSE)</f>
        <v>#N/A</v>
      </c>
      <c r="O7" s="626"/>
      <c r="P7" s="633" t="e">
        <f>VLOOKUP($B$7,個資,3,FALSE)</f>
        <v>#N/A</v>
      </c>
      <c r="Q7" s="625"/>
      <c r="R7" s="626"/>
      <c r="S7" s="633" t="e">
        <f>UPPER(VLOOKUP($B$7,個資,2,FALSE))</f>
        <v>#N/A</v>
      </c>
      <c r="T7" s="625"/>
      <c r="U7" s="625"/>
      <c r="V7" s="625"/>
      <c r="W7" s="626"/>
      <c r="X7" s="633" t="s">
        <v>337</v>
      </c>
      <c r="Y7" s="625"/>
      <c r="Z7" s="625"/>
      <c r="AA7" s="626"/>
    </row>
    <row r="8" spans="2:27" ht="37.5" customHeight="1" x14ac:dyDescent="0.25">
      <c r="B8" s="630"/>
      <c r="C8" s="634"/>
      <c r="D8" s="634"/>
      <c r="E8" s="631"/>
      <c r="F8" s="624" t="s">
        <v>338</v>
      </c>
      <c r="G8" s="625"/>
      <c r="H8" s="625"/>
      <c r="I8" s="626"/>
      <c r="J8" s="643" t="e">
        <f>VLOOKUP($B$7,個資,6,FALSE)</f>
        <v>#N/A</v>
      </c>
      <c r="K8" s="625"/>
      <c r="L8" s="625"/>
      <c r="M8" s="625"/>
      <c r="N8" s="625"/>
      <c r="O8" s="625"/>
      <c r="P8" s="625"/>
      <c r="Q8" s="625"/>
      <c r="R8" s="625"/>
      <c r="S8" s="625"/>
      <c r="T8" s="625"/>
      <c r="U8" s="625"/>
      <c r="V8" s="625"/>
      <c r="W8" s="625"/>
      <c r="X8" s="625"/>
      <c r="Y8" s="625"/>
      <c r="Z8" s="625"/>
      <c r="AA8" s="626"/>
    </row>
    <row r="9" spans="2:27" ht="18.75" customHeight="1" x14ac:dyDescent="0.25">
      <c r="B9" s="624" t="s">
        <v>58</v>
      </c>
      <c r="C9" s="628"/>
      <c r="D9" s="628"/>
      <c r="E9" s="629"/>
      <c r="F9" s="624" t="s">
        <v>183</v>
      </c>
      <c r="G9" s="629"/>
      <c r="H9" s="624" t="s">
        <v>56</v>
      </c>
      <c r="I9" s="629"/>
      <c r="J9" s="624" t="s">
        <v>281</v>
      </c>
      <c r="K9" s="628"/>
      <c r="L9" s="628"/>
      <c r="M9" s="629"/>
      <c r="N9" s="624" t="s">
        <v>54</v>
      </c>
      <c r="O9" s="629"/>
      <c r="P9" s="624" t="s">
        <v>49</v>
      </c>
      <c r="Q9" s="628"/>
      <c r="R9" s="629"/>
      <c r="S9" s="653" t="str">
        <f>CONCATENATE("身分證",CHAR(10),"統一編號")</f>
        <v>身分證
統一編號</v>
      </c>
      <c r="T9" s="628"/>
      <c r="U9" s="628"/>
      <c r="V9" s="628"/>
      <c r="W9" s="629"/>
      <c r="X9" s="645" t="s">
        <v>339</v>
      </c>
      <c r="Y9" s="628"/>
      <c r="Z9" s="628"/>
      <c r="AA9" s="629"/>
    </row>
    <row r="10" spans="2:27" ht="18.75" customHeight="1" x14ac:dyDescent="0.25">
      <c r="B10" s="630"/>
      <c r="C10" s="634"/>
      <c r="D10" s="634"/>
      <c r="E10" s="631"/>
      <c r="F10" s="630"/>
      <c r="G10" s="631"/>
      <c r="H10" s="630"/>
      <c r="I10" s="631"/>
      <c r="J10" s="630"/>
      <c r="K10" s="634"/>
      <c r="L10" s="634"/>
      <c r="M10" s="631"/>
      <c r="N10" s="630"/>
      <c r="O10" s="631"/>
      <c r="P10" s="630"/>
      <c r="Q10" s="634"/>
      <c r="R10" s="631"/>
      <c r="S10" s="630"/>
      <c r="T10" s="634"/>
      <c r="U10" s="634"/>
      <c r="V10" s="634"/>
      <c r="W10" s="631"/>
      <c r="X10" s="630"/>
      <c r="Y10" s="634"/>
      <c r="Z10" s="634"/>
      <c r="AA10" s="631"/>
    </row>
    <row r="11" spans="2:27" ht="37.5" customHeight="1" x14ac:dyDescent="0.25">
      <c r="B11" s="633" t="str">
        <f>下拉用!$C$11</f>
        <v>黃軾錦</v>
      </c>
      <c r="C11" s="628"/>
      <c r="D11" s="628"/>
      <c r="E11" s="629"/>
      <c r="F11" s="633" t="str">
        <f>IFERROR(IF($B$11="","",VLOOKUP($B$11,個資,11,FALSE)),"")</f>
        <v>男</v>
      </c>
      <c r="G11" s="626"/>
      <c r="H11" s="633">
        <f>IFERROR(IF($B$11="","",VLOOKUP($B$11,個資,10,FALSE)),"")</f>
        <v>41</v>
      </c>
      <c r="I11" s="626"/>
      <c r="J11" s="632" t="str">
        <f>IF($B$11="","",VLOOKUP($B$11,個資,16,FALSE))</f>
        <v>74.09.11</v>
      </c>
      <c r="K11" s="625"/>
      <c r="L11" s="625"/>
      <c r="M11" s="626"/>
      <c r="N11" s="633" t="str">
        <f>IF($B$11="","",VLOOKUP($B$11,個資,8,FALSE))</f>
        <v>司機</v>
      </c>
      <c r="O11" s="626"/>
      <c r="P11" s="633" t="str">
        <f>IF($B$11="","",VLOOKUP($B$11,個資,3,FALSE))</f>
        <v>基隆市</v>
      </c>
      <c r="Q11" s="625"/>
      <c r="R11" s="626"/>
      <c r="S11" s="633" t="str">
        <f>UPPER(IF($B$11="","",VLOOKUP($B$11,個資,2,FALSE)))</f>
        <v>C121205026</v>
      </c>
      <c r="T11" s="625"/>
      <c r="U11" s="625"/>
      <c r="V11" s="625"/>
      <c r="W11" s="626"/>
      <c r="X11" s="633" t="str">
        <f>IF($B$11="","",VLOOKUP($B$11,個資,12,FALSE))</f>
        <v>被害人</v>
      </c>
      <c r="Y11" s="625"/>
      <c r="Z11" s="625"/>
      <c r="AA11" s="626"/>
    </row>
    <row r="12" spans="2:27" ht="37.5" customHeight="1" x14ac:dyDescent="0.25">
      <c r="B12" s="630"/>
      <c r="C12" s="634"/>
      <c r="D12" s="634"/>
      <c r="E12" s="631"/>
      <c r="F12" s="624" t="s">
        <v>338</v>
      </c>
      <c r="G12" s="625"/>
      <c r="H12" s="625"/>
      <c r="I12" s="626"/>
      <c r="J12" s="643" t="str">
        <f>IF($B$11="","",VLOOKUP($B$11,個資,6,FALSE))</f>
        <v>基隆市七堵區百一街149號</v>
      </c>
      <c r="K12" s="625"/>
      <c r="L12" s="625"/>
      <c r="M12" s="625"/>
      <c r="N12" s="625"/>
      <c r="O12" s="625"/>
      <c r="P12" s="625"/>
      <c r="Q12" s="625"/>
      <c r="R12" s="625"/>
      <c r="S12" s="625"/>
      <c r="T12" s="625"/>
      <c r="U12" s="625"/>
      <c r="V12" s="625"/>
      <c r="W12" s="625"/>
      <c r="X12" s="625"/>
      <c r="Y12" s="625"/>
      <c r="Z12" s="625"/>
      <c r="AA12" s="626"/>
    </row>
    <row r="13" spans="2:27" ht="37.5" customHeight="1" x14ac:dyDescent="0.25">
      <c r="B13" s="624" t="s">
        <v>340</v>
      </c>
      <c r="C13" s="625"/>
      <c r="D13" s="625"/>
      <c r="E13" s="626"/>
      <c r="F13" s="463"/>
      <c r="G13" s="650" t="str">
        <f>IF(ISBLANK(輸入!$C$11),下拉用!$J$13,下拉用!$J$12)</f>
        <v>114年06月06日18時00分</v>
      </c>
      <c r="H13" s="625"/>
      <c r="I13" s="625"/>
      <c r="J13" s="625"/>
      <c r="K13" s="625"/>
      <c r="L13" s="625"/>
      <c r="M13" s="625"/>
      <c r="N13" s="625"/>
      <c r="O13" s="625"/>
      <c r="P13" s="625"/>
      <c r="Q13" s="625"/>
      <c r="R13" s="625"/>
      <c r="S13" s="625"/>
      <c r="T13" s="625"/>
      <c r="U13" s="625"/>
      <c r="V13" s="511"/>
      <c r="W13" s="511"/>
      <c r="X13" s="511"/>
      <c r="Y13" s="511"/>
      <c r="Z13" s="511"/>
      <c r="AA13" s="510"/>
    </row>
    <row r="14" spans="2:27" ht="37.5" customHeight="1" x14ac:dyDescent="0.25">
      <c r="B14" s="624" t="s">
        <v>341</v>
      </c>
      <c r="C14" s="625"/>
      <c r="D14" s="625"/>
      <c r="E14" s="626"/>
      <c r="F14" s="27"/>
      <c r="G14" s="642" t="str">
        <f>IF(ISBLANK(輸入!$C$13),輸入!$S$23,輸入!$C$13)</f>
        <v>台北市信義區吳興街262號</v>
      </c>
      <c r="H14" s="625"/>
      <c r="I14" s="625"/>
      <c r="J14" s="625"/>
      <c r="K14" s="625"/>
      <c r="L14" s="625"/>
      <c r="M14" s="625"/>
      <c r="N14" s="625"/>
      <c r="O14" s="625"/>
      <c r="P14" s="625"/>
      <c r="Q14" s="625"/>
      <c r="R14" s="625"/>
      <c r="S14" s="625"/>
      <c r="T14" s="625"/>
      <c r="U14" s="625"/>
      <c r="V14" s="625"/>
      <c r="W14" s="625"/>
      <c r="X14" s="625"/>
      <c r="Y14" s="625"/>
      <c r="Z14" s="625"/>
      <c r="AA14" s="626"/>
    </row>
    <row r="15" spans="2:27" ht="37.5" customHeight="1" x14ac:dyDescent="0.25">
      <c r="B15" s="624" t="s">
        <v>342</v>
      </c>
      <c r="C15" s="625"/>
      <c r="D15" s="625"/>
      <c r="E15" s="626"/>
      <c r="F15" s="27"/>
      <c r="G15" s="646" t="str">
        <f>IF(輸入!$C$2="通緝",輸入!$H$2&amp;輸入!$C$2,IF(輸入!$C$2="公共危險",輸入!$C$2&amp;" (酒後駕車)",輸入!$C$2))</f>
        <v>毀損</v>
      </c>
      <c r="H15" s="625"/>
      <c r="I15" s="625"/>
      <c r="J15" s="625"/>
      <c r="K15" s="625"/>
      <c r="L15" s="625"/>
      <c r="M15" s="625"/>
      <c r="N15" s="625"/>
      <c r="O15" s="625"/>
      <c r="P15" s="625"/>
      <c r="Q15" s="625"/>
      <c r="R15" s="625"/>
      <c r="S15" s="625"/>
      <c r="T15" s="625"/>
      <c r="U15" s="625"/>
      <c r="V15" s="625"/>
      <c r="W15" s="625"/>
      <c r="X15" s="625"/>
      <c r="Y15" s="625"/>
      <c r="Z15" s="625"/>
      <c r="AA15" s="626"/>
    </row>
    <row r="16" spans="2:27" ht="166.5" customHeight="1" x14ac:dyDescent="0.25">
      <c r="B16" s="624" t="s">
        <v>8</v>
      </c>
      <c r="C16" s="625"/>
      <c r="D16" s="625"/>
      <c r="E16" s="626"/>
      <c r="F16" s="647" t="str">
        <f>IF(OR(輸入!$C$2="通緝",輸入!$C$2="公共危險",輸入!$C$2="毒品危害防制條例"), 輸入!$S$8,CONCATENATE(輸入!$T$2,CHAR(10),輸入!$T$4,CHAR(10),輸入!$T$6))</f>
        <v>一、吳興街所警員蘇詠棠受理民眾黃軾錦報案，於115年09月12日13時30分在臺北市信義區吳興街206號稱有毀損案件(證明單編號：Z115099AWBN1NGL)。警方依規定受理後，調閱店家及公家道路監視器影像，尋線找到嫌疑人並通知到案說明。
二、警方聯繫嫌疑人於114年06月06日18時00分至所說明，但嫌於通知日期仍未至所說明，全案提供相關附件為證。
三、依毀損罪嫌，函送  偵查隊  續辦。</v>
      </c>
      <c r="G16" s="648"/>
      <c r="H16" s="648"/>
      <c r="I16" s="648"/>
      <c r="J16" s="648"/>
      <c r="K16" s="648"/>
      <c r="L16" s="648"/>
      <c r="M16" s="648"/>
      <c r="N16" s="648"/>
      <c r="O16" s="648"/>
      <c r="P16" s="648"/>
      <c r="Q16" s="648"/>
      <c r="R16" s="648"/>
      <c r="S16" s="648"/>
      <c r="T16" s="648"/>
      <c r="U16" s="648"/>
      <c r="V16" s="648"/>
      <c r="W16" s="648"/>
      <c r="X16" s="648"/>
      <c r="Y16" s="648"/>
      <c r="Z16" s="648"/>
      <c r="AA16" s="649"/>
    </row>
    <row r="17" spans="2:27" ht="45" customHeight="1" x14ac:dyDescent="0.25">
      <c r="B17" s="652" t="s">
        <v>343</v>
      </c>
      <c r="C17" s="628"/>
      <c r="D17" s="628"/>
      <c r="E17" s="629"/>
      <c r="F17" s="654" t="s">
        <v>344</v>
      </c>
      <c r="G17" s="628"/>
      <c r="H17" s="628"/>
      <c r="I17" s="628"/>
      <c r="J17" s="628"/>
      <c r="K17" s="628"/>
      <c r="L17" s="628"/>
      <c r="M17" s="628"/>
      <c r="N17" s="629"/>
      <c r="O17" s="639" t="s">
        <v>345</v>
      </c>
      <c r="P17" s="628"/>
      <c r="Q17" s="628"/>
      <c r="R17" s="629"/>
      <c r="S17" s="636" t="str">
        <f>CONCATENATE(輸入!$T$24," ",輸入!$O$8)</f>
        <v>警員 蘇詠棠</v>
      </c>
      <c r="T17" s="628"/>
      <c r="U17" s="628"/>
      <c r="V17" s="628"/>
      <c r="W17" s="628"/>
      <c r="X17" s="628"/>
      <c r="Y17" s="628"/>
      <c r="Z17" s="628"/>
      <c r="AA17" s="629"/>
    </row>
    <row r="18" spans="2:27" ht="45" customHeight="1" x14ac:dyDescent="0.25">
      <c r="B18" s="637" t="s">
        <v>346</v>
      </c>
      <c r="C18" s="634"/>
      <c r="D18" s="634"/>
      <c r="E18" s="631"/>
      <c r="F18" s="630"/>
      <c r="G18" s="634"/>
      <c r="H18" s="634"/>
      <c r="I18" s="634"/>
      <c r="J18" s="634"/>
      <c r="K18" s="634"/>
      <c r="L18" s="634"/>
      <c r="M18" s="634"/>
      <c r="N18" s="631"/>
      <c r="O18" s="630"/>
      <c r="P18" s="634"/>
      <c r="Q18" s="634"/>
      <c r="R18" s="631"/>
      <c r="S18" s="630"/>
      <c r="T18" s="634"/>
      <c r="U18" s="634"/>
      <c r="V18" s="634"/>
      <c r="W18" s="634"/>
      <c r="X18" s="634"/>
      <c r="Y18" s="634"/>
      <c r="Z18" s="634"/>
      <c r="AA18" s="631"/>
    </row>
    <row r="19" spans="2:27" ht="15.75" customHeight="1" x14ac:dyDescent="0.25">
      <c r="B19" s="638"/>
      <c r="C19" s="628"/>
      <c r="D19" s="628"/>
      <c r="E19" s="628"/>
      <c r="F19" s="628"/>
      <c r="G19" s="651"/>
      <c r="H19" s="628"/>
      <c r="I19" s="628"/>
      <c r="J19" s="628"/>
      <c r="K19" s="628"/>
      <c r="L19" s="628"/>
      <c r="M19" s="628"/>
      <c r="N19" s="628"/>
      <c r="O19" s="628"/>
      <c r="P19" s="628"/>
      <c r="Q19" s="628"/>
      <c r="R19" s="628"/>
      <c r="S19" s="628"/>
      <c r="T19" s="628"/>
      <c r="U19" s="628"/>
      <c r="V19" s="628"/>
      <c r="W19" s="628"/>
      <c r="X19" s="628"/>
      <c r="Y19" s="628"/>
      <c r="Z19" s="628"/>
      <c r="AA19" s="628"/>
    </row>
    <row r="20" spans="2:27" ht="19.5" customHeight="1" x14ac:dyDescent="0.25">
      <c r="B20" s="462"/>
      <c r="C20" s="640" t="s">
        <v>347</v>
      </c>
      <c r="D20" s="623"/>
      <c r="E20" s="623"/>
      <c r="F20" s="623"/>
      <c r="G20" s="623"/>
      <c r="H20" s="623"/>
      <c r="I20" s="623"/>
      <c r="J20" s="26"/>
      <c r="K20" s="26"/>
      <c r="L20" s="26"/>
      <c r="M20" s="26"/>
      <c r="N20" s="26"/>
      <c r="O20" s="26"/>
      <c r="P20" s="26"/>
      <c r="Q20" s="26"/>
      <c r="R20" s="26"/>
      <c r="S20" s="26"/>
      <c r="T20" s="26"/>
      <c r="U20" s="26"/>
      <c r="V20" s="26"/>
      <c r="W20" s="26"/>
      <c r="X20" s="26"/>
      <c r="Y20" s="26"/>
      <c r="Z20" s="26"/>
      <c r="AA20" s="26"/>
    </row>
    <row r="21" spans="2:27" ht="30" customHeight="1" x14ac:dyDescent="0.25">
      <c r="B21" s="635"/>
      <c r="C21" s="623"/>
      <c r="D21" s="623"/>
      <c r="E21" s="623"/>
      <c r="F21" s="623"/>
      <c r="G21" s="622"/>
      <c r="H21" s="623"/>
      <c r="I21" s="623"/>
      <c r="J21" s="623"/>
      <c r="K21" s="623"/>
      <c r="L21" s="623"/>
      <c r="M21" s="623"/>
      <c r="N21" s="623"/>
      <c r="O21" s="623"/>
      <c r="P21" s="623"/>
      <c r="Q21" s="623"/>
      <c r="R21" s="623"/>
      <c r="S21" s="623"/>
      <c r="T21" s="623"/>
      <c r="U21" s="623"/>
      <c r="V21" s="623"/>
      <c r="W21" s="623"/>
      <c r="X21" s="623"/>
      <c r="Y21" s="623"/>
      <c r="Z21" s="623"/>
      <c r="AA21" s="623"/>
    </row>
  </sheetData>
  <mergeCells count="59">
    <mergeCell ref="G19:AA19"/>
    <mergeCell ref="B11:E12"/>
    <mergeCell ref="F7:G7"/>
    <mergeCell ref="F9:G10"/>
    <mergeCell ref="P7:R7"/>
    <mergeCell ref="H9:I10"/>
    <mergeCell ref="J8:AA8"/>
    <mergeCell ref="B17:E17"/>
    <mergeCell ref="F11:G11"/>
    <mergeCell ref="P11:R11"/>
    <mergeCell ref="S9:W10"/>
    <mergeCell ref="N11:O11"/>
    <mergeCell ref="N7:O7"/>
    <mergeCell ref="F17:N18"/>
    <mergeCell ref="B14:E14"/>
    <mergeCell ref="B4:E4"/>
    <mergeCell ref="S11:W11"/>
    <mergeCell ref="S7:W7"/>
    <mergeCell ref="G15:AA15"/>
    <mergeCell ref="B16:E16"/>
    <mergeCell ref="P9:R10"/>
    <mergeCell ref="F16:AA16"/>
    <mergeCell ref="P5:R6"/>
    <mergeCell ref="J9:M10"/>
    <mergeCell ref="B15:E15"/>
    <mergeCell ref="G13:U13"/>
    <mergeCell ref="J5:M6"/>
    <mergeCell ref="B2:AA2"/>
    <mergeCell ref="F4:AA4"/>
    <mergeCell ref="H5:I6"/>
    <mergeCell ref="X11:AA11"/>
    <mergeCell ref="G14:AA14"/>
    <mergeCell ref="X5:AA6"/>
    <mergeCell ref="H11:I11"/>
    <mergeCell ref="J12:AA12"/>
    <mergeCell ref="B9:E10"/>
    <mergeCell ref="H7:I7"/>
    <mergeCell ref="F12:I12"/>
    <mergeCell ref="V3:AA3"/>
    <mergeCell ref="S6:W6"/>
    <mergeCell ref="X7:AA7"/>
    <mergeCell ref="X9:AA10"/>
    <mergeCell ref="B5:E6"/>
    <mergeCell ref="G21:AA21"/>
    <mergeCell ref="F8:I8"/>
    <mergeCell ref="B13:E13"/>
    <mergeCell ref="S5:W5"/>
    <mergeCell ref="F5:G6"/>
    <mergeCell ref="J11:M11"/>
    <mergeCell ref="B7:E8"/>
    <mergeCell ref="J7:M7"/>
    <mergeCell ref="N5:O6"/>
    <mergeCell ref="B21:F21"/>
    <mergeCell ref="N9:O10"/>
    <mergeCell ref="S17:AA18"/>
    <mergeCell ref="B18:E18"/>
    <mergeCell ref="B19:F19"/>
    <mergeCell ref="O17:R18"/>
    <mergeCell ref="C20:I20"/>
  </mergeCells>
  <phoneticPr fontId="1" type="noConversion"/>
  <pageMargins left="0.5625" right="0.35433070866141742" top="0.39370078740157483" bottom="0.39370078740157483"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45"/>
  <dimension ref="A1:P21"/>
  <sheetViews>
    <sheetView view="pageLayout" topLeftCell="A7" zoomScaleNormal="100" workbookViewId="0">
      <selection activeCell="A3" sqref="A3:O3"/>
    </sheetView>
  </sheetViews>
  <sheetFormatPr defaultRowHeight="20.25" customHeight="1" x14ac:dyDescent="0.25"/>
  <cols>
    <col min="1" max="1" width="4.375" style="33" customWidth="1"/>
    <col min="2" max="2" width="5.5" style="33" customWidth="1"/>
    <col min="3" max="3" width="7" style="33" customWidth="1"/>
    <col min="4" max="4" width="4.875" style="33" customWidth="1"/>
    <col min="5" max="5" width="9" style="33" customWidth="1"/>
    <col min="6" max="6" width="5.875" style="33" customWidth="1"/>
    <col min="7" max="7" width="3" style="33" customWidth="1"/>
    <col min="8" max="8" width="4.625" style="33" customWidth="1"/>
    <col min="9" max="9" width="9" style="33" customWidth="1"/>
    <col min="10" max="10" width="5.5" style="33" customWidth="1"/>
    <col min="11" max="11" width="4" style="33" customWidth="1"/>
    <col min="12" max="12" width="5.75" style="33" customWidth="1"/>
    <col min="13" max="13" width="5.125" style="33" customWidth="1"/>
    <col min="14" max="14" width="7.75" style="33" customWidth="1"/>
    <col min="15" max="15" width="8.625" style="33" customWidth="1"/>
    <col min="16" max="16" width="14.125" style="33" customWidth="1"/>
    <col min="17" max="17" width="12.375" style="33" customWidth="1"/>
    <col min="18" max="18" width="9" style="33" customWidth="1"/>
    <col min="19" max="16384" width="9" style="33"/>
  </cols>
  <sheetData>
    <row r="1" spans="1:16" ht="37.5" customHeight="1" x14ac:dyDescent="0.25">
      <c r="A1" s="655" t="str">
        <f>CONCATENATE(輸入!$S$18,輸入!$T$18,輸入!$S$19,輸入!$T$19,"-刑事案件調閱監視錄影畫面檢核表")</f>
        <v>臺北市政府警察局信義分局-刑事案件調閱監視錄影畫面檢核表</v>
      </c>
      <c r="B1" s="579"/>
      <c r="C1" s="579"/>
      <c r="D1" s="579"/>
      <c r="E1" s="579"/>
      <c r="F1" s="579"/>
      <c r="G1" s="579"/>
      <c r="H1" s="579"/>
      <c r="I1" s="579"/>
      <c r="J1" s="579"/>
      <c r="K1" s="579"/>
      <c r="L1" s="579"/>
      <c r="M1" s="579"/>
      <c r="N1" s="579"/>
      <c r="O1" s="580"/>
      <c r="P1" s="339"/>
    </row>
    <row r="2" spans="1:16" ht="35.25" customHeight="1" x14ac:dyDescent="0.25">
      <c r="A2" s="658" t="str">
        <f>CONCATENATE("案類: ",呈報單!$G$15,"案")</f>
        <v>案類: 毀損案</v>
      </c>
      <c r="B2" s="574"/>
      <c r="C2" s="574"/>
      <c r="D2" s="574"/>
      <c r="E2" s="574"/>
      <c r="F2" s="575"/>
      <c r="G2" s="658" t="str">
        <f>CONCATENATE("受理報案時間: ",下拉用!$J$9,"")</f>
        <v>受理報案時間: 115年09月12日13時30分</v>
      </c>
      <c r="H2" s="574"/>
      <c r="I2" s="574"/>
      <c r="J2" s="574"/>
      <c r="K2" s="574"/>
      <c r="L2" s="574"/>
      <c r="M2" s="574"/>
      <c r="N2" s="574"/>
      <c r="O2" s="575"/>
      <c r="P2" s="483"/>
    </row>
    <row r="3" spans="1:16" ht="36.75" customHeight="1" x14ac:dyDescent="0.25">
      <c r="A3" s="657" t="s">
        <v>348</v>
      </c>
      <c r="B3" s="574"/>
      <c r="C3" s="574"/>
      <c r="D3" s="574"/>
      <c r="E3" s="574"/>
      <c r="F3" s="574"/>
      <c r="G3" s="574"/>
      <c r="H3" s="574"/>
      <c r="I3" s="574"/>
      <c r="J3" s="574"/>
      <c r="K3" s="574"/>
      <c r="L3" s="574"/>
      <c r="M3" s="574"/>
      <c r="N3" s="574"/>
      <c r="O3" s="575"/>
      <c r="P3" s="483"/>
    </row>
    <row r="4" spans="1:16" ht="24.75" customHeight="1" x14ac:dyDescent="0.25">
      <c r="A4" s="660" t="s">
        <v>349</v>
      </c>
      <c r="B4" s="579"/>
      <c r="C4" s="579"/>
      <c r="D4" s="580"/>
      <c r="E4" s="661" t="str">
        <f>CONCATENATE("犯案地點: ",輸入!$C$7,"")</f>
        <v>犯案地點: 臺北市信義區吳興街206號</v>
      </c>
      <c r="F4" s="574"/>
      <c r="G4" s="574"/>
      <c r="H4" s="574"/>
      <c r="I4" s="574"/>
      <c r="J4" s="574"/>
      <c r="K4" s="574"/>
      <c r="L4" s="574"/>
      <c r="M4" s="574"/>
      <c r="N4" s="574"/>
      <c r="O4" s="575"/>
      <c r="P4" s="340"/>
    </row>
    <row r="5" spans="1:16" ht="28.5" customHeight="1" x14ac:dyDescent="0.25">
      <c r="A5" s="581"/>
      <c r="B5" s="582"/>
      <c r="C5" s="582"/>
      <c r="D5" s="583"/>
      <c r="E5" s="662" t="str">
        <f>CONCATENATE("犯案時間: ",LEFT(下拉用!$J$6,13),"00分至",LEFT(下拉用!$J$6,10),MID(下拉用!$J$6,11,2),"時00分")</f>
        <v>犯案時間: 114年05月05日05時00分至114年05月05日05時00分</v>
      </c>
      <c r="F5" s="574"/>
      <c r="G5" s="574"/>
      <c r="H5" s="574"/>
      <c r="I5" s="574"/>
      <c r="J5" s="574"/>
      <c r="K5" s="574"/>
      <c r="L5" s="574"/>
      <c r="M5" s="574"/>
      <c r="N5" s="574"/>
      <c r="O5" s="575"/>
      <c r="P5" s="536"/>
    </row>
    <row r="6" spans="1:16" ht="36.75" customHeight="1" x14ac:dyDescent="0.25">
      <c r="A6" s="656" t="s">
        <v>350</v>
      </c>
      <c r="B6" s="574"/>
      <c r="C6" s="574"/>
      <c r="D6" s="574"/>
      <c r="E6" s="574"/>
      <c r="F6" s="574"/>
      <c r="G6" s="574"/>
      <c r="H6" s="574"/>
      <c r="I6" s="574"/>
      <c r="J6" s="574"/>
      <c r="K6" s="574"/>
      <c r="L6" s="574"/>
      <c r="M6" s="574"/>
      <c r="N6" s="574"/>
      <c r="O6" s="575"/>
      <c r="P6" s="483"/>
    </row>
    <row r="7" spans="1:16" ht="18.75" customHeight="1" x14ac:dyDescent="0.25">
      <c r="A7" s="341"/>
      <c r="B7" s="584" t="s">
        <v>351</v>
      </c>
      <c r="C7" s="574"/>
      <c r="D7" s="574"/>
      <c r="E7" s="574"/>
      <c r="F7" s="574"/>
      <c r="G7" s="575"/>
      <c r="H7" s="584" t="s">
        <v>352</v>
      </c>
      <c r="I7" s="574"/>
      <c r="J7" s="574"/>
      <c r="K7" s="574"/>
      <c r="L7" s="575"/>
      <c r="M7" s="584" t="s">
        <v>353</v>
      </c>
      <c r="N7" s="574"/>
      <c r="O7" s="575"/>
    </row>
    <row r="8" spans="1:16" ht="28.35" customHeight="1" x14ac:dyDescent="0.25">
      <c r="A8" s="454">
        <v>1</v>
      </c>
      <c r="B8" s="584" t="s">
        <v>354</v>
      </c>
      <c r="C8" s="574"/>
      <c r="D8" s="574"/>
      <c r="E8" s="574"/>
      <c r="F8" s="574"/>
      <c r="G8" s="575"/>
      <c r="H8" s="584" t="str">
        <f>CONCATENATE(,MID(輸入!$C$8,4,4),"/",MID(下拉用!$J$6,11,2),"00-",MID(輸入!$C$8,4,4),"/",MID(下拉用!$J$6,11,2),"00")</f>
        <v>0912/0500-0912/0500</v>
      </c>
      <c r="I8" s="574"/>
      <c r="J8" s="574"/>
      <c r="K8" s="574"/>
      <c r="L8" s="575"/>
      <c r="M8" s="584" t="s">
        <v>355</v>
      </c>
      <c r="N8" s="574"/>
      <c r="O8" s="575"/>
    </row>
    <row r="9" spans="1:16" ht="28.5" customHeight="1" x14ac:dyDescent="0.25">
      <c r="A9" s="454">
        <v>2</v>
      </c>
      <c r="B9" s="611"/>
      <c r="C9" s="574"/>
      <c r="D9" s="574"/>
      <c r="E9" s="574"/>
      <c r="F9" s="574"/>
      <c r="G9" s="575"/>
      <c r="H9" s="584" t="str">
        <f>CONCATENATE(,MID(輸入!$C$8,4,4),"/",MID(下拉用!$J$6,11,2),"00-",MID(輸入!$C$8,4,4),"/",MID(下拉用!$J$6,11,2),"00")</f>
        <v>0912/0500-0912/0500</v>
      </c>
      <c r="I9" s="574"/>
      <c r="J9" s="574"/>
      <c r="K9" s="574"/>
      <c r="L9" s="575"/>
      <c r="M9" s="584" t="s">
        <v>355</v>
      </c>
      <c r="N9" s="574"/>
      <c r="O9" s="575"/>
    </row>
    <row r="10" spans="1:16" ht="28.5" customHeight="1" x14ac:dyDescent="0.25">
      <c r="A10" s="454">
        <v>3</v>
      </c>
      <c r="B10" s="611"/>
      <c r="C10" s="574"/>
      <c r="D10" s="574"/>
      <c r="E10" s="574"/>
      <c r="F10" s="574"/>
      <c r="G10" s="575"/>
      <c r="H10" s="584" t="str">
        <f>CONCATENATE(,MID(輸入!$C$8,4,4),"/",MID(下拉用!$J$6,11,2),"00-",MID(輸入!$C$8,4,4),"/",MID(下拉用!$J$6,11,2),"00")</f>
        <v>0912/0500-0912/0500</v>
      </c>
      <c r="I10" s="574"/>
      <c r="J10" s="574"/>
      <c r="K10" s="574"/>
      <c r="L10" s="575"/>
      <c r="M10" s="584" t="s">
        <v>355</v>
      </c>
      <c r="N10" s="574"/>
      <c r="O10" s="575"/>
    </row>
    <row r="11" spans="1:16" ht="29.25" customHeight="1" x14ac:dyDescent="0.25">
      <c r="A11" s="454">
        <v>4</v>
      </c>
      <c r="B11" s="611"/>
      <c r="C11" s="574"/>
      <c r="D11" s="574"/>
      <c r="E11" s="574"/>
      <c r="F11" s="574"/>
      <c r="G11" s="575"/>
      <c r="H11" s="584" t="str">
        <f>CONCATENATE(,MID(輸入!$C$8,4,4),"/",MID(下拉用!$J$6,11,2),"00-",MID(輸入!$C$8,4,4),"/",MID(下拉用!$J$6,11,2),"00")</f>
        <v>0912/0500-0912/0500</v>
      </c>
      <c r="I11" s="574"/>
      <c r="J11" s="574"/>
      <c r="K11" s="574"/>
      <c r="L11" s="575"/>
      <c r="M11" s="584" t="s">
        <v>355</v>
      </c>
      <c r="N11" s="574"/>
      <c r="O11" s="575"/>
    </row>
    <row r="12" spans="1:16" ht="28.5" customHeight="1" x14ac:dyDescent="0.25">
      <c r="A12" s="454">
        <v>5</v>
      </c>
      <c r="B12" s="611"/>
      <c r="C12" s="574"/>
      <c r="D12" s="574"/>
      <c r="E12" s="574"/>
      <c r="F12" s="574"/>
      <c r="G12" s="575"/>
      <c r="H12" s="584" t="str">
        <f>CONCATENATE(,MID(輸入!$C$8,4,4),"/",MID(下拉用!$J$6,11,2),"00-",MID(輸入!$C$8,4,4),"/",MID(下拉用!$J$6,11,2),"00")</f>
        <v>0912/0500-0912/0500</v>
      </c>
      <c r="I12" s="574"/>
      <c r="J12" s="574"/>
      <c r="K12" s="574"/>
      <c r="L12" s="575"/>
      <c r="M12" s="584" t="s">
        <v>355</v>
      </c>
      <c r="N12" s="574"/>
      <c r="O12" s="575"/>
    </row>
    <row r="13" spans="1:16" ht="29.25" customHeight="1" x14ac:dyDescent="0.25">
      <c r="A13" s="454">
        <v>6</v>
      </c>
      <c r="B13" s="611"/>
      <c r="C13" s="574"/>
      <c r="D13" s="574"/>
      <c r="E13" s="574"/>
      <c r="F13" s="574"/>
      <c r="G13" s="575"/>
      <c r="H13" s="584" t="str">
        <f>CONCATENATE(,MID(輸入!$C$8,4,4),"/",MID(下拉用!$J$6,11,2),"00-",MID(輸入!$C$8,4,4),"/",MID(下拉用!$J$6,11,2),"00")</f>
        <v>0912/0500-0912/0500</v>
      </c>
      <c r="I13" s="574"/>
      <c r="J13" s="574"/>
      <c r="K13" s="574"/>
      <c r="L13" s="575"/>
      <c r="M13" s="584" t="s">
        <v>355</v>
      </c>
      <c r="N13" s="574"/>
      <c r="O13" s="575"/>
    </row>
    <row r="14" spans="1:16" ht="29.25" customHeight="1" x14ac:dyDescent="0.25">
      <c r="A14" s="454">
        <v>7</v>
      </c>
      <c r="B14" s="611"/>
      <c r="C14" s="574"/>
      <c r="D14" s="574"/>
      <c r="E14" s="574"/>
      <c r="F14" s="574"/>
      <c r="G14" s="575"/>
      <c r="H14" s="584" t="str">
        <f>CONCATENATE(,MID(輸入!$C$8,4,4),"/",MID(下拉用!$J$6,11,2),"00-",MID(輸入!$C$8,4,4),"/",MID(下拉用!$J$6,11,2),"00")</f>
        <v>0912/0500-0912/0500</v>
      </c>
      <c r="I14" s="574"/>
      <c r="J14" s="574"/>
      <c r="K14" s="574"/>
      <c r="L14" s="575"/>
      <c r="M14" s="584" t="s">
        <v>355</v>
      </c>
      <c r="N14" s="574"/>
      <c r="O14" s="575"/>
    </row>
    <row r="15" spans="1:16" ht="28.5" customHeight="1" x14ac:dyDescent="0.25">
      <c r="A15" s="454">
        <v>8</v>
      </c>
      <c r="B15" s="611"/>
      <c r="C15" s="574"/>
      <c r="D15" s="574"/>
      <c r="E15" s="574"/>
      <c r="F15" s="574"/>
      <c r="G15" s="575"/>
      <c r="H15" s="584" t="str">
        <f>CONCATENATE(,MID(輸入!$C$8,4,4),"/",MID(下拉用!$J$6,11,2),"00-",MID(輸入!$C$8,4,4),"/",MID(下拉用!$J$6,11,2),"00")</f>
        <v>0912/0500-0912/0500</v>
      </c>
      <c r="I15" s="574"/>
      <c r="J15" s="574"/>
      <c r="K15" s="574"/>
      <c r="L15" s="575"/>
      <c r="M15" s="584" t="s">
        <v>355</v>
      </c>
      <c r="N15" s="574"/>
      <c r="O15" s="575"/>
    </row>
    <row r="16" spans="1:16" ht="27" customHeight="1" x14ac:dyDescent="0.25">
      <c r="A16" s="660" t="s">
        <v>356</v>
      </c>
      <c r="B16" s="574"/>
      <c r="C16" s="574"/>
      <c r="D16" s="574"/>
      <c r="E16" s="574"/>
      <c r="F16" s="574"/>
      <c r="G16" s="574"/>
      <c r="H16" s="574"/>
      <c r="I16" s="574"/>
      <c r="J16" s="574"/>
      <c r="K16" s="574"/>
      <c r="L16" s="574"/>
      <c r="M16" s="574"/>
      <c r="N16" s="574"/>
      <c r="O16" s="575"/>
    </row>
    <row r="17" spans="1:15" ht="26.25" customHeight="1" x14ac:dyDescent="0.25">
      <c r="A17" s="660" t="s">
        <v>357</v>
      </c>
      <c r="B17" s="574"/>
      <c r="C17" s="574"/>
      <c r="D17" s="574"/>
      <c r="E17" s="574"/>
      <c r="F17" s="574"/>
      <c r="G17" s="574"/>
      <c r="H17" s="574"/>
      <c r="I17" s="574"/>
      <c r="J17" s="574"/>
      <c r="K17" s="574"/>
      <c r="L17" s="574"/>
      <c r="M17" s="574"/>
      <c r="N17" s="574"/>
      <c r="O17" s="575"/>
    </row>
    <row r="18" spans="1:15" ht="21.75" customHeight="1" x14ac:dyDescent="0.25">
      <c r="A18" s="660" t="s">
        <v>358</v>
      </c>
      <c r="B18" s="574"/>
      <c r="C18" s="574"/>
      <c r="D18" s="574"/>
      <c r="E18" s="574"/>
      <c r="F18" s="574"/>
      <c r="G18" s="574"/>
      <c r="H18" s="574"/>
      <c r="I18" s="574"/>
      <c r="J18" s="574"/>
      <c r="K18" s="574"/>
      <c r="L18" s="574"/>
      <c r="M18" s="574"/>
      <c r="N18" s="574"/>
      <c r="O18" s="575"/>
    </row>
    <row r="19" spans="1:15" ht="27.75" customHeight="1" x14ac:dyDescent="0.25">
      <c r="A19" s="660" t="e">
        <f>CONCATENATE("本案於案發後 ",MID(下拉用!$J$10,8,2)-MID(下拉用!$J$6,8,2)," 日調閱完畢後，由所長                   (簽名）確認後，彙送偵查隊。")</f>
        <v>#VALUE!</v>
      </c>
      <c r="B19" s="574"/>
      <c r="C19" s="574"/>
      <c r="D19" s="574"/>
      <c r="E19" s="574"/>
      <c r="F19" s="574"/>
      <c r="G19" s="574"/>
      <c r="H19" s="574"/>
      <c r="I19" s="574"/>
      <c r="J19" s="574"/>
      <c r="K19" s="574"/>
      <c r="L19" s="574"/>
      <c r="M19" s="574"/>
      <c r="N19" s="574"/>
      <c r="O19" s="575"/>
    </row>
    <row r="20" spans="1:15" ht="144" customHeight="1" x14ac:dyDescent="0.25">
      <c r="A20" s="659" t="s">
        <v>359</v>
      </c>
      <c r="B20" s="574"/>
      <c r="C20" s="574"/>
      <c r="D20" s="574"/>
      <c r="E20" s="574"/>
      <c r="F20" s="574"/>
      <c r="G20" s="574"/>
      <c r="H20" s="574"/>
      <c r="I20" s="574"/>
      <c r="J20" s="574"/>
      <c r="K20" s="574"/>
      <c r="L20" s="574"/>
      <c r="M20" s="574"/>
      <c r="N20" s="574"/>
      <c r="O20" s="575"/>
    </row>
    <row r="21" spans="1:15" ht="45.75" customHeight="1" x14ac:dyDescent="0.25"/>
  </sheetData>
  <mergeCells count="40">
    <mergeCell ref="A17:O17"/>
    <mergeCell ref="B15:G15"/>
    <mergeCell ref="M14:O14"/>
    <mergeCell ref="G2:O2"/>
    <mergeCell ref="B8:G8"/>
    <mergeCell ref="M13:O13"/>
    <mergeCell ref="M7:O7"/>
    <mergeCell ref="E5:O5"/>
    <mergeCell ref="B13:G13"/>
    <mergeCell ref="M12:O12"/>
    <mergeCell ref="M11:O11"/>
    <mergeCell ref="A16:O16"/>
    <mergeCell ref="M10:O10"/>
    <mergeCell ref="B14:G14"/>
    <mergeCell ref="H10:L10"/>
    <mergeCell ref="A20:O20"/>
    <mergeCell ref="H11:L11"/>
    <mergeCell ref="H7:L7"/>
    <mergeCell ref="A19:O19"/>
    <mergeCell ref="A4:D5"/>
    <mergeCell ref="H13:L13"/>
    <mergeCell ref="B7:G7"/>
    <mergeCell ref="H12:L12"/>
    <mergeCell ref="H15:L15"/>
    <mergeCell ref="M9:O9"/>
    <mergeCell ref="A18:O18"/>
    <mergeCell ref="M15:O15"/>
    <mergeCell ref="H9:L9"/>
    <mergeCell ref="B10:G10"/>
    <mergeCell ref="E4:O4"/>
    <mergeCell ref="B9:G9"/>
    <mergeCell ref="A1:O1"/>
    <mergeCell ref="H14:L14"/>
    <mergeCell ref="B12:G12"/>
    <mergeCell ref="A6:O6"/>
    <mergeCell ref="H8:L8"/>
    <mergeCell ref="B11:G11"/>
    <mergeCell ref="A3:O3"/>
    <mergeCell ref="A2:F2"/>
    <mergeCell ref="M8:O8"/>
  </mergeCells>
  <phoneticPr fontId="1" type="noConversion"/>
  <pageMargins left="0.39370078740157483" right="0.78740157480314965" top="0.47244094488188981" bottom="0.35433070866141742" header="0.31496062992125978" footer="0.31496062992125978"/>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9">
    <tabColor rgb="FFFF0000"/>
  </sheetPr>
  <dimension ref="A1:V46"/>
  <sheetViews>
    <sheetView view="pageLayout" topLeftCell="A16" zoomScaleNormal="100" workbookViewId="0">
      <selection activeCell="F21" sqref="F21:U32"/>
    </sheetView>
  </sheetViews>
  <sheetFormatPr defaultColWidth="9" defaultRowHeight="16.5" x14ac:dyDescent="0.25"/>
  <cols>
    <col min="1" max="1" width="5.375" style="505" customWidth="1"/>
    <col min="2" max="2" width="1.625" style="505" customWidth="1"/>
    <col min="3" max="3" width="3.25" style="505" customWidth="1"/>
    <col min="4" max="4" width="3.5" style="505" customWidth="1"/>
    <col min="5" max="5" width="3.375" style="505" customWidth="1"/>
    <col min="6" max="6" width="4.625" style="505" customWidth="1"/>
    <col min="7" max="7" width="6.5" style="505" customWidth="1"/>
    <col min="8" max="8" width="5.75" style="505" customWidth="1"/>
    <col min="9" max="9" width="4.625" style="505" customWidth="1"/>
    <col min="10" max="10" width="6.125" style="505" customWidth="1"/>
    <col min="11" max="11" width="4" style="505" customWidth="1"/>
    <col min="12" max="12" width="2.375" style="505" customWidth="1"/>
    <col min="13" max="13" width="3.25" style="505" customWidth="1"/>
    <col min="14" max="14" width="2.625" style="505" customWidth="1"/>
    <col min="15" max="16" width="3" style="505" customWidth="1"/>
    <col min="17" max="17" width="2" style="505" customWidth="1"/>
    <col min="18" max="18" width="4.875" style="505" customWidth="1"/>
    <col min="19" max="19" width="4.25" style="505" customWidth="1"/>
    <col min="20" max="20" width="5" style="505" customWidth="1"/>
    <col min="21" max="21" width="2.75" style="505" customWidth="1"/>
    <col min="22" max="22" width="3.625" style="505" customWidth="1"/>
    <col min="23" max="23" width="9" style="505" customWidth="1"/>
    <col min="24" max="16384" width="9" style="505"/>
  </cols>
  <sheetData>
    <row r="1" spans="1:22" ht="14.1" customHeight="1" x14ac:dyDescent="0.25">
      <c r="A1" s="505" t="s">
        <v>360</v>
      </c>
    </row>
    <row r="2" spans="1:22" ht="5.85" customHeight="1" x14ac:dyDescent="0.25"/>
    <row r="3" spans="1:22" ht="14.1" customHeight="1" x14ac:dyDescent="0.25">
      <c r="A3" s="505" t="s">
        <v>361</v>
      </c>
      <c r="N3" s="505" t="str">
        <f>CONCATENATE("e化案號：",word用!$U$2)</f>
        <v>e化案號：Z115099AWBN1NGL</v>
      </c>
    </row>
    <row r="4" spans="1:22" ht="5.85" customHeight="1" thickBot="1" x14ac:dyDescent="0.3"/>
    <row r="5" spans="1:22" ht="33.950000000000003" customHeight="1" thickTop="1" thickBot="1" x14ac:dyDescent="0.3">
      <c r="A5" s="77"/>
      <c r="B5" s="78"/>
      <c r="C5" s="78"/>
      <c r="D5" s="426" t="str">
        <f>CONCATENATE(輸入!$S$18,輸入!$T$18,輸入!$S$19,輸入!$T$19,輸入!$S$20,輸入!$T$20)</f>
        <v>臺北市政府警察局信義分局吳興街派出所</v>
      </c>
      <c r="E5" s="426"/>
      <c r="F5" s="426"/>
      <c r="G5" s="426"/>
      <c r="H5" s="426"/>
      <c r="I5" s="426"/>
      <c r="J5" s="426"/>
      <c r="K5" s="426"/>
      <c r="L5" s="426"/>
      <c r="M5" s="426"/>
      <c r="N5" s="426"/>
      <c r="O5" s="426"/>
      <c r="P5" s="426"/>
      <c r="Q5" s="426"/>
      <c r="R5" s="426"/>
      <c r="S5" s="666" t="s">
        <v>362</v>
      </c>
      <c r="T5" s="667"/>
      <c r="U5" s="667"/>
      <c r="V5" s="79"/>
    </row>
    <row r="6" spans="1:22" ht="25.5" customHeight="1" x14ac:dyDescent="0.25">
      <c r="A6" s="83"/>
      <c r="B6" s="672" t="s">
        <v>363</v>
      </c>
      <c r="C6" s="673"/>
      <c r="D6" s="673"/>
      <c r="E6" s="673"/>
      <c r="F6" s="673"/>
      <c r="G6" s="673"/>
      <c r="H6" s="673"/>
      <c r="I6" s="673"/>
      <c r="J6" s="82"/>
      <c r="K6" s="85"/>
      <c r="L6" s="425"/>
      <c r="M6" s="672" t="s">
        <v>364</v>
      </c>
      <c r="N6" s="673"/>
      <c r="O6" s="673"/>
      <c r="P6" s="673"/>
      <c r="Q6" s="673"/>
      <c r="R6" s="673"/>
      <c r="S6" s="673"/>
      <c r="T6" s="673"/>
      <c r="U6" s="425"/>
      <c r="V6" s="86"/>
    </row>
    <row r="7" spans="1:22" ht="18.75" customHeight="1" x14ac:dyDescent="0.25">
      <c r="A7" s="72"/>
      <c r="B7" s="674" t="s">
        <v>365</v>
      </c>
      <c r="C7" s="579"/>
      <c r="D7" s="579"/>
      <c r="E7" s="579"/>
      <c r="F7" s="579"/>
      <c r="G7" s="579"/>
      <c r="H7" s="579"/>
      <c r="I7" s="579"/>
      <c r="J7" s="80"/>
      <c r="K7" s="668">
        <f ca="1">TODAY()</f>
        <v>46278</v>
      </c>
      <c r="L7" s="596"/>
      <c r="M7" s="596"/>
      <c r="N7" s="596"/>
      <c r="O7" s="596"/>
      <c r="P7" s="596"/>
      <c r="Q7" s="596"/>
      <c r="R7" s="596"/>
      <c r="S7" s="596"/>
      <c r="T7" s="596"/>
      <c r="U7" s="596"/>
      <c r="V7" s="669"/>
    </row>
    <row r="8" spans="1:22" ht="24" customHeight="1" thickBot="1" x14ac:dyDescent="0.3">
      <c r="A8" s="84"/>
      <c r="B8" s="670"/>
      <c r="C8" s="670"/>
      <c r="D8" s="670"/>
      <c r="E8" s="670"/>
      <c r="F8" s="670"/>
      <c r="G8" s="670"/>
      <c r="H8" s="670"/>
      <c r="I8" s="670"/>
      <c r="J8" s="81"/>
      <c r="K8" s="670"/>
      <c r="L8" s="670"/>
      <c r="M8" s="670"/>
      <c r="N8" s="670"/>
      <c r="O8" s="670"/>
      <c r="P8" s="670"/>
      <c r="Q8" s="670"/>
      <c r="R8" s="670"/>
      <c r="S8" s="670"/>
      <c r="T8" s="670"/>
      <c r="U8" s="670"/>
      <c r="V8" s="671"/>
    </row>
    <row r="9" spans="1:22" ht="5.85" customHeight="1" x14ac:dyDescent="0.25">
      <c r="A9" s="89"/>
      <c r="B9" s="90"/>
      <c r="V9" s="70"/>
    </row>
    <row r="10" spans="1:22" ht="5.85" customHeight="1" x14ac:dyDescent="0.25">
      <c r="A10" s="664" t="s">
        <v>366</v>
      </c>
      <c r="B10" s="603"/>
      <c r="V10" s="70"/>
    </row>
    <row r="11" spans="1:22" ht="20.25" customHeight="1" x14ac:dyDescent="0.25">
      <c r="A11" s="665"/>
      <c r="B11" s="603"/>
      <c r="D11" s="505" t="s">
        <v>367</v>
      </c>
      <c r="F11" s="598" t="str">
        <f>CONCATENATE(,LEFT(下拉用!$J$9,10),"  ",下拉用!$D$11,"所報，",呈報單!$G$15,"案。")</f>
        <v>115年09月12日  黃軾錦所報，毀損案。</v>
      </c>
      <c r="G11" s="596"/>
      <c r="H11" s="596"/>
      <c r="I11" s="596"/>
      <c r="J11" s="596"/>
      <c r="K11" s="596"/>
      <c r="L11" s="596"/>
      <c r="M11" s="596"/>
      <c r="N11" s="596"/>
      <c r="O11" s="596"/>
      <c r="P11" s="596"/>
      <c r="Q11" s="596"/>
      <c r="R11" s="51"/>
      <c r="S11" s="51"/>
      <c r="T11" s="51"/>
      <c r="U11" s="51"/>
      <c r="V11" s="427"/>
    </row>
    <row r="12" spans="1:22" ht="14.1" customHeight="1" x14ac:dyDescent="0.25">
      <c r="A12" s="665"/>
      <c r="B12" s="603"/>
      <c r="F12" s="51"/>
      <c r="G12" s="51"/>
      <c r="H12" s="51"/>
      <c r="I12" s="51"/>
      <c r="J12" s="51"/>
      <c r="K12" s="51"/>
      <c r="L12" s="51"/>
      <c r="M12" s="51"/>
      <c r="N12" s="51"/>
      <c r="O12" s="51"/>
      <c r="P12" s="51"/>
      <c r="Q12" s="51"/>
      <c r="R12" s="51"/>
      <c r="S12" s="51"/>
      <c r="T12" s="51"/>
      <c r="U12" s="51"/>
      <c r="V12" s="427"/>
    </row>
    <row r="13" spans="1:22" x14ac:dyDescent="0.25">
      <c r="A13" s="665"/>
      <c r="B13" s="603"/>
      <c r="D13" s="505" t="s">
        <v>368</v>
      </c>
      <c r="V13" s="70"/>
    </row>
    <row r="14" spans="1:22" ht="25.5" customHeight="1" x14ac:dyDescent="0.25">
      <c r="A14" s="665"/>
      <c r="B14" s="603"/>
      <c r="V14" s="70"/>
    </row>
    <row r="15" spans="1:22" ht="18.75" customHeight="1" x14ac:dyDescent="0.25">
      <c r="A15" s="665"/>
      <c r="B15" s="603"/>
      <c r="D15" s="505" t="str">
        <f>CONCATENATE("1.  發生(現)時間：",下拉用!$J$2,"")</f>
        <v>1.  發生(現)時間：115年09月12日12時18分</v>
      </c>
      <c r="V15" s="70"/>
    </row>
    <row r="16" spans="1:22" ht="14.25" customHeight="1" x14ac:dyDescent="0.25">
      <c r="A16" s="665"/>
      <c r="B16" s="603"/>
      <c r="V16" s="70"/>
    </row>
    <row r="17" spans="1:22" x14ac:dyDescent="0.25">
      <c r="A17" s="665"/>
      <c r="B17" s="603"/>
      <c r="D17" s="505" t="str">
        <f>CONCATENATE("2.  發生(現)地點：",輸入!$C$7,"")</f>
        <v>2.  發生(現)地點：臺北市信義區吳興街206號</v>
      </c>
      <c r="V17" s="70"/>
    </row>
    <row r="18" spans="1:22" ht="14.25" customHeight="1" x14ac:dyDescent="0.25">
      <c r="A18" s="665"/>
      <c r="B18" s="603"/>
      <c r="V18" s="70"/>
    </row>
    <row r="19" spans="1:22" ht="18.75" customHeight="1" x14ac:dyDescent="0.25">
      <c r="A19" s="665"/>
      <c r="B19" s="603"/>
      <c r="D19" s="505" t="s">
        <v>369</v>
      </c>
      <c r="V19" s="70"/>
    </row>
    <row r="20" spans="1:22" ht="13.5" customHeight="1" x14ac:dyDescent="0.25">
      <c r="A20" s="665"/>
      <c r="B20" s="603"/>
      <c r="V20" s="70"/>
    </row>
    <row r="21" spans="1:22" ht="19.7" customHeight="1" x14ac:dyDescent="0.25">
      <c r="A21" s="665"/>
      <c r="B21" s="603"/>
      <c r="E21" s="51"/>
      <c r="F21" s="598" t="str">
        <f>CONCATENATE("報案人稱",輸入!$C$5,)</f>
        <v>報案人稱報案人稱於115年09月12日12時18分載乘客至臺北市信義區吳興街206號，遭不知名民眾敲擊自小營(TDW-2575)右後側板金，並造成凹陷，故至所報案。</v>
      </c>
      <c r="G21" s="596"/>
      <c r="H21" s="596"/>
      <c r="I21" s="596"/>
      <c r="J21" s="596"/>
      <c r="K21" s="596"/>
      <c r="L21" s="596"/>
      <c r="M21" s="596"/>
      <c r="N21" s="596"/>
      <c r="O21" s="596"/>
      <c r="P21" s="596"/>
      <c r="Q21" s="596"/>
      <c r="R21" s="596"/>
      <c r="S21" s="596"/>
      <c r="T21" s="596"/>
      <c r="U21" s="596"/>
      <c r="V21" s="70"/>
    </row>
    <row r="22" spans="1:22" x14ac:dyDescent="0.25">
      <c r="A22" s="665"/>
      <c r="B22" s="603"/>
      <c r="E22" s="51"/>
      <c r="F22" s="596"/>
      <c r="G22" s="596"/>
      <c r="H22" s="596"/>
      <c r="I22" s="596"/>
      <c r="J22" s="596"/>
      <c r="K22" s="596"/>
      <c r="L22" s="596"/>
      <c r="M22" s="596"/>
      <c r="N22" s="596"/>
      <c r="O22" s="596"/>
      <c r="P22" s="596"/>
      <c r="Q22" s="596"/>
      <c r="R22" s="596"/>
      <c r="S22" s="596"/>
      <c r="T22" s="596"/>
      <c r="U22" s="596"/>
      <c r="V22" s="70"/>
    </row>
    <row r="23" spans="1:22" x14ac:dyDescent="0.25">
      <c r="A23" s="665"/>
      <c r="B23" s="603"/>
      <c r="E23" s="51"/>
      <c r="F23" s="596"/>
      <c r="G23" s="596"/>
      <c r="H23" s="596"/>
      <c r="I23" s="596"/>
      <c r="J23" s="596"/>
      <c r="K23" s="596"/>
      <c r="L23" s="596"/>
      <c r="M23" s="596"/>
      <c r="N23" s="596"/>
      <c r="O23" s="596"/>
      <c r="P23" s="596"/>
      <c r="Q23" s="596"/>
      <c r="R23" s="596"/>
      <c r="S23" s="596"/>
      <c r="T23" s="596"/>
      <c r="U23" s="596"/>
      <c r="V23" s="70"/>
    </row>
    <row r="24" spans="1:22" x14ac:dyDescent="0.25">
      <c r="A24" s="665"/>
      <c r="B24" s="603"/>
      <c r="E24" s="51"/>
      <c r="F24" s="596"/>
      <c r="G24" s="596"/>
      <c r="H24" s="596"/>
      <c r="I24" s="596"/>
      <c r="J24" s="596"/>
      <c r="K24" s="596"/>
      <c r="L24" s="596"/>
      <c r="M24" s="596"/>
      <c r="N24" s="596"/>
      <c r="O24" s="596"/>
      <c r="P24" s="596"/>
      <c r="Q24" s="596"/>
      <c r="R24" s="596"/>
      <c r="S24" s="596"/>
      <c r="T24" s="596"/>
      <c r="U24" s="596"/>
      <c r="V24" s="70"/>
    </row>
    <row r="25" spans="1:22" x14ac:dyDescent="0.25">
      <c r="A25" s="665"/>
      <c r="B25" s="603"/>
      <c r="E25" s="51"/>
      <c r="F25" s="596"/>
      <c r="G25" s="596"/>
      <c r="H25" s="596"/>
      <c r="I25" s="596"/>
      <c r="J25" s="596"/>
      <c r="K25" s="596"/>
      <c r="L25" s="596"/>
      <c r="M25" s="596"/>
      <c r="N25" s="596"/>
      <c r="O25" s="596"/>
      <c r="P25" s="596"/>
      <c r="Q25" s="596"/>
      <c r="R25" s="596"/>
      <c r="S25" s="596"/>
      <c r="T25" s="596"/>
      <c r="U25" s="596"/>
      <c r="V25" s="70"/>
    </row>
    <row r="26" spans="1:22" x14ac:dyDescent="0.25">
      <c r="A26" s="665"/>
      <c r="B26" s="603"/>
      <c r="E26" s="51"/>
      <c r="F26" s="596"/>
      <c r="G26" s="596"/>
      <c r="H26" s="596"/>
      <c r="I26" s="596"/>
      <c r="J26" s="596"/>
      <c r="K26" s="596"/>
      <c r="L26" s="596"/>
      <c r="M26" s="596"/>
      <c r="N26" s="596"/>
      <c r="O26" s="596"/>
      <c r="P26" s="596"/>
      <c r="Q26" s="596"/>
      <c r="R26" s="596"/>
      <c r="S26" s="596"/>
      <c r="T26" s="596"/>
      <c r="U26" s="596"/>
      <c r="V26" s="70"/>
    </row>
    <row r="27" spans="1:22" x14ac:dyDescent="0.25">
      <c r="A27" s="665"/>
      <c r="B27" s="603"/>
      <c r="F27" s="596"/>
      <c r="G27" s="596"/>
      <c r="H27" s="596"/>
      <c r="I27" s="596"/>
      <c r="J27" s="596"/>
      <c r="K27" s="596"/>
      <c r="L27" s="596"/>
      <c r="M27" s="596"/>
      <c r="N27" s="596"/>
      <c r="O27" s="596"/>
      <c r="P27" s="596"/>
      <c r="Q27" s="596"/>
      <c r="R27" s="596"/>
      <c r="S27" s="596"/>
      <c r="T27" s="596"/>
      <c r="U27" s="596"/>
      <c r="V27" s="70"/>
    </row>
    <row r="28" spans="1:22" x14ac:dyDescent="0.25">
      <c r="A28" s="665"/>
      <c r="B28" s="603"/>
      <c r="F28" s="596"/>
      <c r="G28" s="596"/>
      <c r="H28" s="596"/>
      <c r="I28" s="596"/>
      <c r="J28" s="596"/>
      <c r="K28" s="596"/>
      <c r="L28" s="596"/>
      <c r="M28" s="596"/>
      <c r="N28" s="596"/>
      <c r="O28" s="596"/>
      <c r="P28" s="596"/>
      <c r="Q28" s="596"/>
      <c r="R28" s="596"/>
      <c r="S28" s="596"/>
      <c r="T28" s="596"/>
      <c r="U28" s="596"/>
      <c r="V28" s="70"/>
    </row>
    <row r="29" spans="1:22" x14ac:dyDescent="0.25">
      <c r="A29" s="665"/>
      <c r="B29" s="603"/>
      <c r="F29" s="596"/>
      <c r="G29" s="596"/>
      <c r="H29" s="596"/>
      <c r="I29" s="596"/>
      <c r="J29" s="596"/>
      <c r="K29" s="596"/>
      <c r="L29" s="596"/>
      <c r="M29" s="596"/>
      <c r="N29" s="596"/>
      <c r="O29" s="596"/>
      <c r="P29" s="596"/>
      <c r="Q29" s="596"/>
      <c r="R29" s="596"/>
      <c r="S29" s="596"/>
      <c r="T29" s="596"/>
      <c r="U29" s="596"/>
      <c r="V29" s="70"/>
    </row>
    <row r="30" spans="1:22" x14ac:dyDescent="0.25">
      <c r="A30" s="665"/>
      <c r="B30" s="603"/>
      <c r="F30" s="596"/>
      <c r="G30" s="596"/>
      <c r="H30" s="596"/>
      <c r="I30" s="596"/>
      <c r="J30" s="596"/>
      <c r="K30" s="596"/>
      <c r="L30" s="596"/>
      <c r="M30" s="596"/>
      <c r="N30" s="596"/>
      <c r="O30" s="596"/>
      <c r="P30" s="596"/>
      <c r="Q30" s="596"/>
      <c r="R30" s="596"/>
      <c r="S30" s="596"/>
      <c r="T30" s="596"/>
      <c r="U30" s="596"/>
      <c r="V30" s="70"/>
    </row>
    <row r="31" spans="1:22" ht="36" customHeight="1" x14ac:dyDescent="0.25">
      <c r="A31" s="665"/>
      <c r="B31" s="603"/>
      <c r="F31" s="596"/>
      <c r="G31" s="596"/>
      <c r="H31" s="596"/>
      <c r="I31" s="596"/>
      <c r="J31" s="596"/>
      <c r="K31" s="596"/>
      <c r="L31" s="596"/>
      <c r="M31" s="596"/>
      <c r="N31" s="596"/>
      <c r="O31" s="596"/>
      <c r="P31" s="596"/>
      <c r="Q31" s="596"/>
      <c r="R31" s="596"/>
      <c r="S31" s="596"/>
      <c r="T31" s="596"/>
      <c r="U31" s="596"/>
      <c r="V31" s="70"/>
    </row>
    <row r="32" spans="1:22" ht="45.75" customHeight="1" x14ac:dyDescent="0.25">
      <c r="A32" s="665"/>
      <c r="B32" s="603"/>
      <c r="F32" s="596"/>
      <c r="G32" s="596"/>
      <c r="H32" s="596"/>
      <c r="I32" s="596"/>
      <c r="J32" s="596"/>
      <c r="K32" s="596"/>
      <c r="L32" s="596"/>
      <c r="M32" s="596"/>
      <c r="N32" s="596"/>
      <c r="O32" s="596"/>
      <c r="P32" s="596"/>
      <c r="Q32" s="596"/>
      <c r="R32" s="596"/>
      <c r="S32" s="596"/>
      <c r="T32" s="596"/>
      <c r="U32" s="596"/>
      <c r="V32" s="70"/>
    </row>
    <row r="33" spans="1:22" ht="9.75" hidden="1" customHeight="1" x14ac:dyDescent="0.25">
      <c r="A33" s="665"/>
      <c r="B33" s="603"/>
      <c r="V33" s="70"/>
    </row>
    <row r="34" spans="1:22" ht="3.75" customHeight="1" x14ac:dyDescent="0.25">
      <c r="A34" s="665"/>
      <c r="B34" s="603"/>
      <c r="V34" s="70"/>
    </row>
    <row r="35" spans="1:22" x14ac:dyDescent="0.25">
      <c r="A35" s="71"/>
      <c r="B35" s="91"/>
      <c r="D35" s="505" t="s">
        <v>370</v>
      </c>
      <c r="V35" s="70"/>
    </row>
    <row r="36" spans="1:22" ht="16.5" customHeight="1" x14ac:dyDescent="0.25">
      <c r="A36" s="71"/>
      <c r="B36" s="91"/>
      <c r="D36" s="76" t="s">
        <v>371</v>
      </c>
      <c r="V36" s="70"/>
    </row>
    <row r="37" spans="1:22" x14ac:dyDescent="0.25">
      <c r="A37" s="71"/>
      <c r="B37" s="91"/>
      <c r="D37" s="76" t="s">
        <v>372</v>
      </c>
      <c r="V37" s="70"/>
    </row>
    <row r="38" spans="1:22" ht="27" customHeight="1" x14ac:dyDescent="0.25">
      <c r="A38" s="92"/>
      <c r="B38" s="93"/>
      <c r="N38" s="49"/>
      <c r="O38" s="49"/>
      <c r="P38" s="49"/>
      <c r="Q38" s="49"/>
      <c r="R38" s="49"/>
      <c r="S38" s="49"/>
      <c r="T38" s="49"/>
      <c r="U38" s="49"/>
      <c r="V38" s="68"/>
    </row>
    <row r="39" spans="1:22" ht="8.4499999999999993" customHeight="1" x14ac:dyDescent="0.25">
      <c r="A39" s="69"/>
      <c r="B39" s="50"/>
      <c r="C39" s="50"/>
      <c r="D39" s="50"/>
      <c r="E39" s="50"/>
      <c r="F39" s="50"/>
      <c r="G39" s="50"/>
      <c r="H39" s="50"/>
      <c r="I39" s="50"/>
      <c r="J39" s="50"/>
      <c r="K39" s="50"/>
      <c r="L39" s="50"/>
      <c r="M39" s="50"/>
      <c r="V39" s="70"/>
    </row>
    <row r="40" spans="1:22" ht="14.1" customHeight="1" x14ac:dyDescent="0.25">
      <c r="A40" s="71"/>
      <c r="O40" s="505" t="s">
        <v>373</v>
      </c>
      <c r="V40" s="70"/>
    </row>
    <row r="41" spans="1:22" ht="4.5" customHeight="1" x14ac:dyDescent="0.25">
      <c r="A41" s="71"/>
      <c r="V41" s="70"/>
    </row>
    <row r="42" spans="1:22" x14ac:dyDescent="0.25">
      <c r="A42" s="71" t="s">
        <v>374</v>
      </c>
      <c r="H42" s="663" t="s">
        <v>375</v>
      </c>
      <c r="I42" s="596"/>
      <c r="O42" s="505" t="s">
        <v>376</v>
      </c>
      <c r="V42" s="70"/>
    </row>
    <row r="43" spans="1:22" x14ac:dyDescent="0.25">
      <c r="A43" s="71"/>
      <c r="V43" s="70"/>
    </row>
    <row r="44" spans="1:22" x14ac:dyDescent="0.25">
      <c r="A44" s="71"/>
      <c r="V44" s="70"/>
    </row>
    <row r="45" spans="1:22" s="74" customFormat="1" ht="18.75" customHeight="1" thickBot="1" x14ac:dyDescent="0.3">
      <c r="A45" s="73"/>
      <c r="V45" s="75"/>
    </row>
    <row r="46" spans="1:22" ht="17.25" customHeight="1" thickTop="1" x14ac:dyDescent="0.25"/>
  </sheetData>
  <mergeCells count="9">
    <mergeCell ref="H42:I42"/>
    <mergeCell ref="A10:B34"/>
    <mergeCell ref="F21:U32"/>
    <mergeCell ref="F11:Q11"/>
    <mergeCell ref="S5:U5"/>
    <mergeCell ref="K7:V8"/>
    <mergeCell ref="M6:T6"/>
    <mergeCell ref="B6:I6"/>
    <mergeCell ref="B7:I8"/>
  </mergeCells>
  <phoneticPr fontId="1" type="noConversion"/>
  <pageMargins left="0.78740157480314965" right="0.70866141732283472" top="0.86614173228346458" bottom="0.74803149606299213" header="0" footer="0"/>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46">
    <tabColor theme="9" tint="-0.499984740745262"/>
  </sheetPr>
  <dimension ref="A1:J13"/>
  <sheetViews>
    <sheetView view="pageBreakPreview" topLeftCell="A7" zoomScale="90" zoomScaleNormal="100" zoomScaleSheetLayoutView="90" workbookViewId="0">
      <selection activeCell="D7" sqref="D7:J7"/>
    </sheetView>
  </sheetViews>
  <sheetFormatPr defaultRowHeight="16.5" x14ac:dyDescent="0.25"/>
  <cols>
    <col min="2" max="2" width="10.75" style="545" customWidth="1"/>
    <col min="3" max="3" width="6.75" style="545" customWidth="1"/>
    <col min="4" max="4" width="8.5" style="545" customWidth="1"/>
    <col min="5" max="5" width="12.875" style="545" customWidth="1"/>
    <col min="6" max="6" width="3.875" style="545" customWidth="1"/>
    <col min="7" max="7" width="5.5" style="545" customWidth="1"/>
    <col min="8" max="8" width="9.625" style="545" customWidth="1"/>
    <col min="9" max="9" width="13.75" style="545" customWidth="1"/>
    <col min="10" max="10" width="9.625" style="545" customWidth="1"/>
  </cols>
  <sheetData>
    <row r="1" spans="1:10" ht="43.5" customHeight="1" x14ac:dyDescent="0.25">
      <c r="A1" s="680" t="str">
        <f>CONCATENATE(輸入!S18,輸入!T18,輸入!S19,輸入!T19,輸入!S20,"所呈報單")</f>
        <v>臺北市政府警察局信義分局吳興街所呈報單</v>
      </c>
      <c r="B1" s="681"/>
      <c r="C1" s="681"/>
      <c r="D1" s="681"/>
      <c r="E1" s="681"/>
      <c r="F1" s="681"/>
      <c r="G1" s="681"/>
      <c r="H1" s="681"/>
      <c r="I1" s="681"/>
      <c r="J1" s="681"/>
    </row>
    <row r="2" spans="1:10" ht="39" customHeight="1" x14ac:dyDescent="0.25">
      <c r="A2" s="683" t="s">
        <v>377</v>
      </c>
      <c r="B2" s="574"/>
      <c r="C2" s="574"/>
      <c r="D2" s="574"/>
      <c r="E2" s="575"/>
      <c r="F2" s="682" t="s">
        <v>378</v>
      </c>
      <c r="G2" s="574"/>
      <c r="H2" s="698">
        <f ca="1">TODAY()</f>
        <v>46278</v>
      </c>
      <c r="I2" s="574"/>
      <c r="J2" s="575"/>
    </row>
    <row r="3" spans="1:10" ht="39.75" customHeight="1" x14ac:dyDescent="0.25">
      <c r="A3" s="679" t="s">
        <v>379</v>
      </c>
      <c r="B3" s="582"/>
      <c r="C3" s="582"/>
      <c r="D3" s="582"/>
      <c r="E3" s="583"/>
      <c r="F3" s="700" t="s">
        <v>380</v>
      </c>
      <c r="G3" s="582"/>
      <c r="H3" s="696" t="s">
        <v>381</v>
      </c>
      <c r="I3" s="582"/>
      <c r="J3" s="583"/>
    </row>
    <row r="4" spans="1:10" ht="37.5" customHeight="1" x14ac:dyDescent="0.25">
      <c r="A4" s="689" t="s">
        <v>382</v>
      </c>
      <c r="B4" s="580"/>
      <c r="C4" s="701" t="str">
        <f>CONCATENATE("偵辦",下拉用!$D$11,"所報",輸入!$C$2,"案，報請協助調閱相關文件乙案。")</f>
        <v>偵辦黃軾錦所報毀損案，報請協助調閱相關文件乙案。</v>
      </c>
      <c r="D4" s="574"/>
      <c r="E4" s="574"/>
      <c r="F4" s="574"/>
      <c r="G4" s="574"/>
      <c r="H4" s="574"/>
      <c r="I4" s="574"/>
      <c r="J4" s="575"/>
    </row>
    <row r="5" spans="1:10" ht="49.5" customHeight="1" x14ac:dyDescent="0.25">
      <c r="A5" s="686" t="s">
        <v>383</v>
      </c>
      <c r="B5" s="580"/>
      <c r="C5" s="469" t="s">
        <v>384</v>
      </c>
      <c r="D5" s="699" t="str">
        <f>CONCATENATE("本所於",下拉用!$J$9,"受理",下拉用!$D$11,"所報",呈報單!$G$15,"案(",輸入!$C$12,")。")</f>
        <v>本所於115年09月12日13時30分受理黃軾錦所報毀損案(Z115099AWBN1NGL)。</v>
      </c>
      <c r="E5" s="579"/>
      <c r="F5" s="579"/>
      <c r="G5" s="579"/>
      <c r="H5" s="579"/>
      <c r="I5" s="579"/>
      <c r="J5" s="580"/>
    </row>
    <row r="6" spans="1:10" ht="129" customHeight="1" x14ac:dyDescent="0.25">
      <c r="A6" s="601"/>
      <c r="B6" s="603"/>
      <c r="C6" s="352" t="s">
        <v>385</v>
      </c>
      <c r="D6" s="685" t="str">
        <f>HLOOKUP(輸入!$H$14,調閱用!$1:$1048576,11,FALSE)</f>
        <v>因偵辦案件之需要，惠請貴單位協助調閱及備份貴單位之監視器資料，為使偵查順遂，惠予協助提供，以利案件之偵辦，擬報  請協助調閱。</v>
      </c>
      <c r="E6" s="681"/>
      <c r="F6" s="681"/>
      <c r="G6" s="681"/>
      <c r="H6" s="681"/>
      <c r="I6" s="681"/>
      <c r="J6" s="603"/>
    </row>
    <row r="7" spans="1:10" ht="89.25" customHeight="1" x14ac:dyDescent="0.25">
      <c r="A7" s="601"/>
      <c r="B7" s="603"/>
      <c r="C7" s="352" t="s">
        <v>386</v>
      </c>
      <c r="D7" s="685" t="str">
        <f>HLOOKUP(輸入!$H$14,調閱用!$1:$1048576,12,FALSE)</f>
        <v>調閱時段：115年09月12日12時18分至115年09月12日13時30分
調閱地址：0.67
調閱位置：400</v>
      </c>
      <c r="E7" s="681"/>
      <c r="F7" s="681"/>
      <c r="G7" s="681"/>
      <c r="H7" s="681"/>
      <c r="I7" s="681"/>
      <c r="J7" s="603"/>
    </row>
    <row r="8" spans="1:10" ht="24" customHeight="1" x14ac:dyDescent="0.25">
      <c r="A8" s="601"/>
      <c r="B8" s="603"/>
      <c r="C8" s="352" t="s">
        <v>387</v>
      </c>
      <c r="D8" s="697" t="s">
        <v>388</v>
      </c>
      <c r="E8" s="681"/>
      <c r="F8" s="681"/>
      <c r="G8" s="681"/>
      <c r="H8" s="681"/>
      <c r="I8" s="681"/>
      <c r="J8" s="603"/>
    </row>
    <row r="9" spans="1:10" ht="67.5" customHeight="1" thickBot="1" x14ac:dyDescent="0.3">
      <c r="A9" s="687"/>
      <c r="B9" s="688"/>
      <c r="C9" s="470" t="s">
        <v>389</v>
      </c>
      <c r="D9" s="692" t="str">
        <f>CONCATENATE("承 辦 人：",輸入!$T$24,輸入!$O$8,
,CHAR(10),"公務信箱：",輸入!$S$25,
,CHAR(10),"公務電話：",輸入!$T$21)</f>
        <v>承 辦 人：警員蘇詠棠
公務信箱：um1520@gov.taipei
公務電話：(02)27398997</v>
      </c>
      <c r="E9" s="693"/>
      <c r="F9" s="693"/>
      <c r="G9" s="693"/>
      <c r="H9" s="693"/>
      <c r="I9" s="693"/>
      <c r="J9" s="688"/>
    </row>
    <row r="10" spans="1:10" ht="63" customHeight="1" thickTop="1" x14ac:dyDescent="0.25">
      <c r="A10" s="690" t="s">
        <v>390</v>
      </c>
      <c r="B10" s="691"/>
      <c r="C10" s="694" t="str">
        <f>CONCATENATE(輸入!$S$18,輸入!$T$18,輸入!$S$19,輸入!$T$19,輸入!$S$20,輸入!$T$20)</f>
        <v>臺北市政府警察局信義分局吳興街派出所</v>
      </c>
      <c r="D10" s="695"/>
      <c r="E10" s="695"/>
      <c r="F10" s="695"/>
      <c r="G10" s="695"/>
      <c r="H10" s="695"/>
      <c r="I10" s="695"/>
      <c r="J10" s="691"/>
    </row>
    <row r="11" spans="1:10" ht="68.25" customHeight="1" x14ac:dyDescent="0.25">
      <c r="A11" s="675" t="s">
        <v>391</v>
      </c>
      <c r="B11" s="676"/>
      <c r="C11" s="684" t="str">
        <f>CONCATENATE(輸入!$S$18,輸入!$T$18,輸入!$S$19,輸入!$T$19,"偵查隊")</f>
        <v>臺北市政府警察局信義分局偵查隊</v>
      </c>
      <c r="D11" s="678"/>
      <c r="E11" s="678"/>
      <c r="F11" s="678"/>
      <c r="G11" s="678"/>
      <c r="H11" s="678"/>
      <c r="I11" s="678"/>
      <c r="J11" s="676"/>
    </row>
    <row r="12" spans="1:10" ht="63" customHeight="1" x14ac:dyDescent="0.25">
      <c r="A12" s="675" t="s">
        <v>392</v>
      </c>
      <c r="B12" s="676"/>
      <c r="C12" s="677"/>
      <c r="D12" s="678"/>
      <c r="E12" s="678"/>
      <c r="F12" s="678"/>
      <c r="G12" s="678"/>
      <c r="H12" s="678"/>
      <c r="I12" s="678"/>
      <c r="J12" s="676"/>
    </row>
    <row r="13" spans="1:10" ht="67.5" customHeight="1" x14ac:dyDescent="0.25">
      <c r="A13" s="675" t="s">
        <v>393</v>
      </c>
      <c r="B13" s="676"/>
      <c r="C13" s="677"/>
      <c r="D13" s="678"/>
      <c r="E13" s="678"/>
      <c r="F13" s="678"/>
      <c r="G13" s="678"/>
      <c r="H13" s="678"/>
      <c r="I13" s="678"/>
      <c r="J13" s="676"/>
    </row>
  </sheetData>
  <mergeCells count="23">
    <mergeCell ref="C10:J10"/>
    <mergeCell ref="H3:J3"/>
    <mergeCell ref="D8:J8"/>
    <mergeCell ref="H2:J2"/>
    <mergeCell ref="D5:J5"/>
    <mergeCell ref="F3:G3"/>
    <mergeCell ref="C4:J4"/>
    <mergeCell ref="A13:B13"/>
    <mergeCell ref="C13:J13"/>
    <mergeCell ref="A12:B12"/>
    <mergeCell ref="A3:E3"/>
    <mergeCell ref="A1:J1"/>
    <mergeCell ref="F2:G2"/>
    <mergeCell ref="C12:J12"/>
    <mergeCell ref="A2:E2"/>
    <mergeCell ref="C11:J11"/>
    <mergeCell ref="D6:J6"/>
    <mergeCell ref="A5:B9"/>
    <mergeCell ref="A4:B4"/>
    <mergeCell ref="D7:J7"/>
    <mergeCell ref="A10:B10"/>
    <mergeCell ref="D9:J9"/>
    <mergeCell ref="A11:B11"/>
  </mergeCells>
  <phoneticPr fontId="1" type="noConversion"/>
  <printOptions horizontalCentered="1" verticalCentered="1"/>
  <pageMargins left="0.59055118110236227" right="0.59055118110236227" top="0.78740157480314965" bottom="0.59055118110236227" header="0.59055118110236227" footer="0.6889763779527559"/>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26">
    <tabColor rgb="FFFF0000"/>
  </sheetPr>
  <dimension ref="A1:AC37"/>
  <sheetViews>
    <sheetView showGridLines="0" showZeros="0" view="pageBreakPreview" topLeftCell="A16" zoomScale="80" zoomScaleNormal="100" zoomScaleSheetLayoutView="80" workbookViewId="0">
      <selection activeCell="Q7" sqref="Q7"/>
    </sheetView>
  </sheetViews>
  <sheetFormatPr defaultRowHeight="16.5" x14ac:dyDescent="0.25"/>
  <cols>
    <col min="1" max="1" width="2.25" style="505" customWidth="1"/>
    <col min="2" max="3" width="1.5" style="505" customWidth="1"/>
    <col min="4" max="4" width="2.5" style="505" customWidth="1"/>
    <col min="5" max="6" width="2.875" style="505" customWidth="1"/>
    <col min="7" max="7" width="2.125" style="505" customWidth="1"/>
    <col min="8" max="38" width="3.125" style="505" customWidth="1"/>
    <col min="39" max="39" width="9" style="505" customWidth="1"/>
    <col min="40" max="16384" width="9" style="505"/>
  </cols>
  <sheetData>
    <row r="1" spans="1:29" ht="8.25" customHeight="1" x14ac:dyDescent="0.25"/>
    <row r="2" spans="1:29" ht="15" customHeight="1" x14ac:dyDescent="0.25">
      <c r="T2" s="505" t="s">
        <v>361</v>
      </c>
    </row>
    <row r="3" spans="1:29" ht="19.5" customHeight="1" x14ac:dyDescent="0.25">
      <c r="A3" s="324"/>
      <c r="B3" s="325"/>
      <c r="R3" s="5"/>
      <c r="T3" s="505" t="s">
        <v>360</v>
      </c>
      <c r="W3" s="542"/>
      <c r="X3" s="542"/>
      <c r="Y3" s="542"/>
      <c r="Z3" s="542"/>
      <c r="AA3" s="542"/>
      <c r="AB3" s="542"/>
    </row>
    <row r="4" spans="1:29" ht="27.75" customHeight="1" x14ac:dyDescent="0.25">
      <c r="A4" s="324"/>
      <c r="B4" s="704" t="str">
        <f>CONCATENATE(輸入!$S$18,輸入!$T$18,輸入!$S$19,輸入!$T$19,輸入!$S$20,輸入!$T$20)</f>
        <v>臺北市政府警察局信義分局吳興街派出所</v>
      </c>
      <c r="C4" s="596"/>
      <c r="D4" s="596"/>
      <c r="E4" s="596"/>
      <c r="F4" s="596"/>
      <c r="G4" s="596"/>
      <c r="H4" s="596"/>
      <c r="I4" s="596"/>
      <c r="J4" s="596"/>
      <c r="K4" s="596"/>
      <c r="L4" s="596"/>
      <c r="M4" s="596"/>
      <c r="N4" s="596"/>
      <c r="O4" s="596"/>
      <c r="P4" s="596"/>
      <c r="Q4" s="596"/>
      <c r="R4" s="596"/>
      <c r="S4" s="596"/>
      <c r="T4" s="596"/>
      <c r="U4" s="596"/>
      <c r="V4" s="596"/>
      <c r="W4" s="596"/>
      <c r="X4" s="596"/>
      <c r="Y4" s="596"/>
      <c r="Z4" s="596"/>
      <c r="AA4" s="596"/>
      <c r="AB4" s="596"/>
      <c r="AC4" s="596"/>
    </row>
    <row r="5" spans="1:29" ht="12" customHeight="1" x14ac:dyDescent="0.25">
      <c r="A5" s="324"/>
      <c r="B5" s="325"/>
      <c r="F5" s="326"/>
    </row>
    <row r="6" spans="1:29" ht="21" customHeight="1" x14ac:dyDescent="0.25">
      <c r="A6" s="324"/>
      <c r="B6" s="325"/>
      <c r="D6" s="542"/>
      <c r="E6" s="542"/>
      <c r="F6" s="542"/>
      <c r="G6" s="542"/>
      <c r="H6" s="542"/>
      <c r="I6" s="542"/>
      <c r="J6" s="542"/>
      <c r="K6" s="542"/>
      <c r="L6" s="542"/>
      <c r="M6" s="542"/>
      <c r="N6" s="542"/>
      <c r="O6" s="542"/>
      <c r="Q6" s="327" t="str">
        <f>CONCATENATE("機關地址：",輸入!$S$23,"")</f>
        <v>機關地址：台北市信義區吳興街262號</v>
      </c>
      <c r="R6" s="327"/>
      <c r="S6" s="327"/>
      <c r="T6" s="327"/>
      <c r="U6" s="327"/>
      <c r="V6" s="328"/>
      <c r="W6" s="328"/>
      <c r="X6" s="328"/>
      <c r="Y6" s="328"/>
      <c r="Z6" s="328"/>
      <c r="AA6" s="328"/>
      <c r="AB6" s="328"/>
      <c r="AC6" s="327"/>
    </row>
    <row r="7" spans="1:29" ht="18.75" customHeight="1" x14ac:dyDescent="0.25">
      <c r="A7" s="324"/>
      <c r="B7" s="325"/>
      <c r="D7" s="542"/>
      <c r="E7" s="542"/>
      <c r="F7" s="542"/>
      <c r="G7" s="542"/>
      <c r="H7" s="542"/>
      <c r="I7" s="542"/>
      <c r="J7" s="542"/>
      <c r="K7" s="542"/>
      <c r="L7" s="542"/>
      <c r="M7" s="542"/>
      <c r="N7" s="542"/>
      <c r="O7" s="542"/>
      <c r="Q7" s="328" t="str">
        <f>CONCATENATE("聯絡人：  ",輸入!$T$24&amp;輸入!$O$8,"")</f>
        <v>聯絡人：  警員蘇詠棠</v>
      </c>
      <c r="R7" s="328"/>
      <c r="S7" s="328"/>
      <c r="T7" s="327"/>
      <c r="U7" s="328"/>
      <c r="V7" s="328"/>
      <c r="W7" s="328"/>
      <c r="X7" s="328"/>
      <c r="Y7" s="328"/>
      <c r="Z7" s="328"/>
      <c r="AA7" s="328"/>
      <c r="AB7" s="328"/>
      <c r="AC7" s="327"/>
    </row>
    <row r="8" spans="1:29" ht="18.75" customHeight="1" x14ac:dyDescent="0.25">
      <c r="A8" s="324"/>
      <c r="B8" s="325"/>
      <c r="D8" s="542"/>
      <c r="E8" s="542"/>
      <c r="F8" s="542"/>
      <c r="G8" s="542"/>
      <c r="H8" s="542"/>
      <c r="I8" s="542"/>
      <c r="J8" s="542"/>
      <c r="K8" s="542"/>
      <c r="L8" s="542"/>
      <c r="M8" s="542"/>
      <c r="N8" s="542"/>
      <c r="O8" s="542"/>
      <c r="Q8" s="328" t="str">
        <f>CONCATENATE("聯絡電話：",輸入!$T$21,"")</f>
        <v>聯絡電話：(02)27398997</v>
      </c>
      <c r="R8" s="328"/>
      <c r="S8" s="328"/>
      <c r="T8" s="328"/>
      <c r="U8" s="327"/>
      <c r="V8" s="328"/>
      <c r="W8" s="328"/>
      <c r="X8" s="328"/>
      <c r="Y8" s="328"/>
      <c r="Z8" s="328"/>
      <c r="AA8" s="328"/>
      <c r="AB8" s="328"/>
      <c r="AC8" s="327"/>
    </row>
    <row r="9" spans="1:29" ht="18.75" customHeight="1" x14ac:dyDescent="0.25">
      <c r="A9" s="324"/>
      <c r="B9" s="325"/>
      <c r="D9" s="542"/>
      <c r="E9" s="542"/>
      <c r="F9" s="542"/>
      <c r="G9" s="542"/>
      <c r="H9" s="542"/>
      <c r="I9" s="542"/>
      <c r="J9" s="542"/>
      <c r="K9" s="542"/>
      <c r="L9" s="542"/>
      <c r="M9" s="542"/>
      <c r="N9" s="542"/>
      <c r="O9" s="542"/>
      <c r="Q9" s="328" t="s">
        <v>394</v>
      </c>
      <c r="R9" s="328"/>
      <c r="S9" s="328"/>
      <c r="T9" s="328" t="str">
        <f>輸入!$S$25</f>
        <v>um1520@gov.taipei</v>
      </c>
      <c r="U9" s="327"/>
      <c r="V9" s="328"/>
      <c r="W9" s="328"/>
      <c r="X9" s="328"/>
      <c r="Y9" s="328"/>
      <c r="Z9" s="328"/>
      <c r="AA9" s="328"/>
      <c r="AB9" s="328"/>
      <c r="AC9" s="327"/>
    </row>
    <row r="10" spans="1:29" ht="20.25" customHeight="1" x14ac:dyDescent="0.25">
      <c r="A10" s="324"/>
      <c r="B10" s="325"/>
      <c r="D10" s="542"/>
      <c r="E10" s="542"/>
      <c r="F10" s="542"/>
      <c r="G10" s="542"/>
      <c r="H10" s="542"/>
      <c r="I10" s="542"/>
      <c r="J10" s="542"/>
      <c r="K10" s="542"/>
      <c r="L10" s="542"/>
      <c r="M10" s="542"/>
      <c r="N10" s="542"/>
      <c r="O10" s="542"/>
      <c r="P10" s="542"/>
      <c r="AA10" s="328"/>
      <c r="AB10" s="542"/>
    </row>
    <row r="11" spans="1:29" ht="20.25" customHeight="1" x14ac:dyDescent="0.25">
      <c r="A11" s="324"/>
      <c r="B11" s="325"/>
      <c r="D11" s="217" t="str">
        <f>輸入!$C$7</f>
        <v>臺北市信義區吳興街206號</v>
      </c>
      <c r="E11" s="542"/>
      <c r="F11" s="542"/>
      <c r="G11" s="542"/>
      <c r="H11" s="542"/>
      <c r="I11" s="542"/>
      <c r="J11" s="542"/>
      <c r="K11" s="542"/>
      <c r="L11" s="542"/>
      <c r="M11" s="542"/>
      <c r="N11" s="542"/>
      <c r="O11" s="542"/>
      <c r="P11" s="542"/>
      <c r="AA11" s="328"/>
      <c r="AB11" s="542"/>
    </row>
    <row r="12" spans="1:29" ht="26.25" customHeight="1" x14ac:dyDescent="0.25">
      <c r="A12" s="324"/>
      <c r="B12" s="325"/>
      <c r="D12" s="509" t="s">
        <v>395</v>
      </c>
      <c r="E12" s="88"/>
      <c r="F12" s="88"/>
      <c r="G12" s="88"/>
      <c r="H12" s="88" t="s">
        <v>396</v>
      </c>
      <c r="I12" s="88"/>
      <c r="J12" s="88"/>
      <c r="K12" s="88"/>
      <c r="L12" s="88"/>
      <c r="AA12" s="328"/>
    </row>
    <row r="13" spans="1:29" ht="18.75" customHeight="1" x14ac:dyDescent="0.25">
      <c r="A13" s="324"/>
      <c r="B13" s="325"/>
      <c r="D13" s="505" t="s">
        <v>397</v>
      </c>
      <c r="H13" s="702">
        <f ca="1">TODAY()</f>
        <v>46278</v>
      </c>
      <c r="I13" s="596"/>
      <c r="J13" s="596"/>
      <c r="K13" s="596"/>
      <c r="L13" s="596"/>
      <c r="M13" s="596"/>
      <c r="N13" s="596"/>
      <c r="O13" s="596"/>
      <c r="P13" s="596"/>
      <c r="Q13" s="570"/>
      <c r="AA13" s="328"/>
    </row>
    <row r="14" spans="1:29" ht="18" customHeight="1" x14ac:dyDescent="0.25">
      <c r="A14" s="324"/>
      <c r="B14" s="325"/>
      <c r="D14" s="505" t="s">
        <v>331</v>
      </c>
      <c r="H14" s="505" t="str">
        <f>CONCATENATE(,輸入!$S$19,LEFT(輸入!$S$20,1),"字第",輸入!$C$10,"號")</f>
        <v>信義吳字第11509121330號</v>
      </c>
    </row>
    <row r="15" spans="1:29" ht="18.75" customHeight="1" x14ac:dyDescent="0.25">
      <c r="A15" s="706" t="s">
        <v>398</v>
      </c>
      <c r="B15" s="707"/>
      <c r="D15" s="505" t="s">
        <v>399</v>
      </c>
      <c r="H15" s="505" t="s">
        <v>400</v>
      </c>
    </row>
    <row r="16" spans="1:29" ht="16.5" customHeight="1" x14ac:dyDescent="0.25">
      <c r="A16" s="324"/>
      <c r="B16" s="325"/>
      <c r="D16" s="709" t="s">
        <v>401</v>
      </c>
      <c r="E16" s="596"/>
      <c r="F16" s="596"/>
      <c r="G16" s="596"/>
      <c r="H16" s="596"/>
      <c r="I16" s="596"/>
      <c r="J16" s="596"/>
      <c r="K16" s="596"/>
      <c r="L16" s="596"/>
      <c r="M16" s="596"/>
      <c r="N16" s="596"/>
      <c r="O16" s="596"/>
    </row>
    <row r="17" spans="1:29" ht="17.25" customHeight="1" x14ac:dyDescent="0.25">
      <c r="A17" s="324"/>
      <c r="B17" s="325"/>
      <c r="D17" s="505" t="s">
        <v>402</v>
      </c>
      <c r="Q17" s="542"/>
      <c r="R17" s="542"/>
      <c r="S17" s="542"/>
      <c r="T17" s="542"/>
      <c r="U17" s="542"/>
      <c r="V17" s="542"/>
      <c r="W17" s="542"/>
      <c r="X17" s="542"/>
      <c r="Y17" s="542"/>
      <c r="Z17" s="542"/>
      <c r="AA17" s="542"/>
    </row>
    <row r="18" spans="1:29" ht="24" customHeight="1" x14ac:dyDescent="0.25">
      <c r="A18" s="324"/>
      <c r="B18" s="325"/>
    </row>
    <row r="19" spans="1:29" ht="46.5" customHeight="1" x14ac:dyDescent="0.25">
      <c r="A19" s="324"/>
      <c r="B19" s="325"/>
      <c r="D19" s="710" t="s">
        <v>367</v>
      </c>
      <c r="E19" s="596"/>
      <c r="F19" s="596"/>
      <c r="G19" s="703" t="str">
        <f>CONCATENATE("為偵辦刑事案件，需調閱貴公司相關資料，惠請予協助提供，詳如說明事項，請查照。")</f>
        <v>為偵辦刑事案件，需調閱貴公司相關資料，惠請予協助提供，詳如說明事項，請查照。</v>
      </c>
      <c r="H19" s="596"/>
      <c r="I19" s="596"/>
      <c r="J19" s="596"/>
      <c r="K19" s="596"/>
      <c r="L19" s="596"/>
      <c r="M19" s="596"/>
      <c r="N19" s="596"/>
      <c r="O19" s="596"/>
      <c r="P19" s="596"/>
      <c r="Q19" s="596"/>
      <c r="R19" s="596"/>
      <c r="S19" s="596"/>
      <c r="T19" s="596"/>
      <c r="U19" s="596"/>
      <c r="V19" s="596"/>
      <c r="W19" s="596"/>
      <c r="X19" s="596"/>
      <c r="Y19" s="596"/>
      <c r="Z19" s="596"/>
      <c r="AA19" s="596"/>
      <c r="AB19" s="596"/>
      <c r="AC19" s="596"/>
    </row>
    <row r="20" spans="1:29" ht="24" customHeight="1" x14ac:dyDescent="0.25">
      <c r="A20" s="324"/>
      <c r="B20" s="325"/>
      <c r="D20" s="705" t="s">
        <v>368</v>
      </c>
      <c r="E20" s="596"/>
      <c r="F20" s="596"/>
    </row>
    <row r="21" spans="1:29" ht="46.5" customHeight="1" x14ac:dyDescent="0.25">
      <c r="A21" s="324"/>
      <c r="B21" s="325"/>
      <c r="D21" s="329"/>
      <c r="E21" s="708" t="s">
        <v>384</v>
      </c>
      <c r="F21" s="596"/>
      <c r="G21" s="703" t="s">
        <v>403</v>
      </c>
      <c r="H21" s="596"/>
      <c r="I21" s="596"/>
      <c r="J21" s="596"/>
      <c r="K21" s="596"/>
      <c r="L21" s="596"/>
      <c r="M21" s="596"/>
      <c r="N21" s="596"/>
      <c r="O21" s="596"/>
      <c r="P21" s="596"/>
      <c r="Q21" s="596"/>
      <c r="R21" s="596"/>
      <c r="S21" s="596"/>
      <c r="T21" s="596"/>
      <c r="U21" s="596"/>
      <c r="V21" s="596"/>
      <c r="W21" s="596"/>
      <c r="X21" s="596"/>
      <c r="Y21" s="596"/>
      <c r="Z21" s="596"/>
      <c r="AA21" s="596"/>
      <c r="AB21" s="596"/>
      <c r="AC21" s="596"/>
    </row>
    <row r="22" spans="1:29" ht="82.5" customHeight="1" x14ac:dyDescent="0.25">
      <c r="A22" s="706" t="s">
        <v>404</v>
      </c>
      <c r="B22" s="707"/>
      <c r="D22" s="509"/>
      <c r="E22" s="352" t="s">
        <v>385</v>
      </c>
      <c r="F22" s="88"/>
      <c r="G22" s="703" t="str">
        <f>CONCATENATE("請惠予協助調閱  貴單位所有之監視錄影檔案或相關紀錄，調閱時間：",下拉用!$J$6,"至",下拉用!$J$7,"之",輸入!H8,"監視錄影畫面記錄等相關紀錄，俾利刑案偵辦，請  查照。")</f>
        <v>請惠予協助調閱  貴單位所有之監視錄影檔案或相關紀錄，調閱時間：114年05月05日05時05分至年月日時分之400監視錄影畫面記錄等相關紀錄，俾利刑案偵辦，請  查照。</v>
      </c>
      <c r="H22" s="596"/>
      <c r="I22" s="596"/>
      <c r="J22" s="596"/>
      <c r="K22" s="596"/>
      <c r="L22" s="596"/>
      <c r="M22" s="596"/>
      <c r="N22" s="596"/>
      <c r="O22" s="596"/>
      <c r="P22" s="596"/>
      <c r="Q22" s="596"/>
      <c r="R22" s="596"/>
      <c r="S22" s="596"/>
      <c r="T22" s="596"/>
      <c r="U22" s="596"/>
      <c r="V22" s="596"/>
      <c r="W22" s="596"/>
      <c r="X22" s="596"/>
      <c r="Y22" s="596"/>
      <c r="Z22" s="596"/>
      <c r="AA22" s="596"/>
      <c r="AB22" s="596"/>
      <c r="AC22" s="509"/>
    </row>
    <row r="23" spans="1:29" ht="23.25" customHeight="1" x14ac:dyDescent="0.25">
      <c r="A23" s="324"/>
      <c r="B23" s="325"/>
      <c r="D23" s="509" t="str">
        <f>CONCATENATE("  三、本案承辦人：警員 ",word用!$AQ$2,"，聯絡電話：",輸入!$T$21,"")</f>
        <v xml:space="preserve">  三、本案承辦人：警員 蘇詠棠，聯絡電話：(02)27398997</v>
      </c>
      <c r="E23" s="509"/>
      <c r="F23" s="509"/>
      <c r="G23" s="509"/>
      <c r="H23" s="509"/>
      <c r="I23" s="509"/>
      <c r="J23" s="509"/>
      <c r="K23" s="509"/>
      <c r="L23" s="509"/>
      <c r="M23" s="509"/>
      <c r="N23" s="509"/>
      <c r="O23" s="509"/>
      <c r="P23" s="509"/>
      <c r="AB23" s="509"/>
      <c r="AC23" s="509"/>
    </row>
    <row r="24" spans="1:29" ht="21.75" customHeight="1" x14ac:dyDescent="0.25">
      <c r="A24" s="324"/>
      <c r="B24" s="325"/>
      <c r="D24" s="330"/>
      <c r="E24" s="530"/>
      <c r="F24" s="530"/>
      <c r="G24" s="530"/>
      <c r="H24" s="530"/>
      <c r="I24" s="530"/>
      <c r="J24" s="530"/>
      <c r="K24" s="530"/>
      <c r="L24" s="530"/>
      <c r="M24" s="530"/>
      <c r="N24" s="530"/>
      <c r="O24" s="530"/>
      <c r="P24" s="530"/>
      <c r="Q24" s="471"/>
      <c r="R24" s="471"/>
      <c r="S24" s="471"/>
      <c r="T24" s="471"/>
      <c r="U24" s="471"/>
      <c r="V24" s="471"/>
      <c r="W24" s="471"/>
      <c r="X24" s="471"/>
      <c r="Y24" s="471"/>
      <c r="Z24" s="471"/>
      <c r="AA24" s="471"/>
      <c r="AB24" s="530"/>
      <c r="AC24" s="530"/>
    </row>
    <row r="25" spans="1:29" ht="17.25" customHeight="1" x14ac:dyDescent="0.25">
      <c r="A25" s="324"/>
      <c r="B25" s="325"/>
      <c r="D25" s="480" t="s">
        <v>405</v>
      </c>
      <c r="E25" s="480"/>
      <c r="F25" s="480"/>
      <c r="G25" s="480"/>
      <c r="H25" s="480"/>
      <c r="I25" s="480"/>
      <c r="J25" s="480"/>
      <c r="K25" s="480"/>
      <c r="L25" s="480"/>
      <c r="M25" s="480"/>
      <c r="N25" s="480"/>
      <c r="O25" s="480"/>
      <c r="P25" s="480"/>
      <c r="Q25" s="51"/>
      <c r="R25" s="51"/>
      <c r="S25" s="51"/>
      <c r="T25" s="51"/>
      <c r="U25" s="51"/>
      <c r="V25" s="51"/>
      <c r="W25" s="51"/>
      <c r="X25" s="51"/>
      <c r="Y25" s="51"/>
      <c r="Z25" s="51"/>
      <c r="AA25" s="51"/>
      <c r="AB25" s="480"/>
      <c r="AC25" s="480"/>
    </row>
    <row r="26" spans="1:29" ht="12.75" customHeight="1" x14ac:dyDescent="0.25">
      <c r="A26" s="324"/>
      <c r="B26" s="325"/>
      <c r="D26" s="480" t="str">
        <f>CONCATENATE("副本：",輸入!$S$18,輸入!$T$18,輸入!$S$19,輸入!$T$19,輸入!$S$20,輸入!$T$20)</f>
        <v>副本：臺北市政府警察局信義分局吳興街派出所</v>
      </c>
      <c r="E26" s="480"/>
      <c r="F26" s="480"/>
      <c r="G26" s="480"/>
      <c r="H26" s="480"/>
      <c r="I26" s="480"/>
      <c r="J26" s="480"/>
      <c r="K26" s="480"/>
      <c r="L26" s="480"/>
      <c r="M26" s="480"/>
      <c r="N26" s="480"/>
      <c r="O26" s="480"/>
      <c r="P26" s="480"/>
      <c r="AB26" s="480"/>
      <c r="AC26" s="480"/>
    </row>
    <row r="27" spans="1:29" ht="28.5" customHeight="1" x14ac:dyDescent="0.25">
      <c r="A27" s="324"/>
      <c r="B27" s="325"/>
      <c r="Q27" s="471"/>
      <c r="R27" s="471"/>
      <c r="S27" s="471"/>
      <c r="T27" s="471"/>
      <c r="U27" s="471"/>
      <c r="V27" s="471"/>
      <c r="W27" s="471"/>
      <c r="X27" s="471"/>
      <c r="Y27" s="471"/>
      <c r="Z27" s="471"/>
      <c r="AA27" s="471"/>
    </row>
    <row r="28" spans="1:29" ht="21" customHeight="1" x14ac:dyDescent="0.25">
      <c r="B28" s="325"/>
      <c r="Q28" s="509"/>
      <c r="R28" s="509"/>
      <c r="S28" s="509"/>
      <c r="T28" s="509"/>
      <c r="U28" s="509"/>
      <c r="V28" s="509"/>
      <c r="W28" s="509"/>
      <c r="X28" s="509"/>
      <c r="Y28" s="509"/>
      <c r="Z28" s="509"/>
      <c r="AA28" s="509"/>
    </row>
    <row r="29" spans="1:29" ht="21" customHeight="1" x14ac:dyDescent="0.25">
      <c r="A29" s="663" t="s">
        <v>406</v>
      </c>
      <c r="B29" s="596"/>
      <c r="C29" s="596"/>
      <c r="Q29" s="509"/>
      <c r="R29" s="509"/>
      <c r="S29" s="509"/>
      <c r="T29" s="509"/>
      <c r="U29" s="509"/>
      <c r="V29" s="509"/>
      <c r="W29" s="509"/>
      <c r="X29" s="509"/>
      <c r="Y29" s="509"/>
      <c r="Z29" s="509"/>
      <c r="AA29" s="509"/>
    </row>
    <row r="30" spans="1:29" x14ac:dyDescent="0.25">
      <c r="B30" s="325"/>
      <c r="Q30" s="530"/>
      <c r="R30" s="530"/>
      <c r="S30" s="530"/>
      <c r="T30" s="530"/>
      <c r="U30" s="530"/>
      <c r="V30" s="530"/>
      <c r="W30" s="530"/>
      <c r="X30" s="530"/>
      <c r="Y30" s="530"/>
      <c r="Z30" s="530"/>
      <c r="AA30" s="530"/>
    </row>
    <row r="31" spans="1:29" x14ac:dyDescent="0.25">
      <c r="B31" s="325"/>
      <c r="Q31" s="480"/>
      <c r="R31" s="480"/>
      <c r="S31" s="480"/>
      <c r="T31" s="480"/>
      <c r="U31" s="480"/>
      <c r="V31" s="480"/>
      <c r="W31" s="480"/>
      <c r="X31" s="480"/>
      <c r="Y31" s="480"/>
      <c r="Z31" s="480"/>
      <c r="AA31" s="480"/>
    </row>
    <row r="32" spans="1:29" x14ac:dyDescent="0.25">
      <c r="B32" s="325"/>
      <c r="Q32" s="480"/>
      <c r="R32" s="480"/>
      <c r="S32" s="480"/>
      <c r="T32" s="480"/>
      <c r="U32" s="480"/>
      <c r="V32" s="480"/>
      <c r="W32" s="480"/>
      <c r="X32" s="480"/>
      <c r="Y32" s="480"/>
      <c r="Z32" s="480"/>
      <c r="AA32" s="480"/>
    </row>
    <row r="33" spans="2:2" x14ac:dyDescent="0.25">
      <c r="B33" s="325"/>
    </row>
    <row r="34" spans="2:2" ht="4.5" customHeight="1" x14ac:dyDescent="0.25">
      <c r="B34" s="325"/>
    </row>
    <row r="35" spans="2:2" hidden="1" x14ac:dyDescent="0.25">
      <c r="B35" s="325"/>
    </row>
    <row r="36" spans="2:2" x14ac:dyDescent="0.25">
      <c r="B36" s="325"/>
    </row>
    <row r="37" spans="2:2" x14ac:dyDescent="0.25">
      <c r="B37" s="325"/>
    </row>
  </sheetData>
  <mergeCells count="12">
    <mergeCell ref="H13:P13"/>
    <mergeCell ref="G21:AC21"/>
    <mergeCell ref="A29:C29"/>
    <mergeCell ref="B4:AC4"/>
    <mergeCell ref="D20:F20"/>
    <mergeCell ref="A22:B22"/>
    <mergeCell ref="E21:F21"/>
    <mergeCell ref="G19:AC19"/>
    <mergeCell ref="D16:O16"/>
    <mergeCell ref="D19:F19"/>
    <mergeCell ref="A15:B15"/>
    <mergeCell ref="G22:AB22"/>
  </mergeCells>
  <phoneticPr fontId="1" type="noConversion"/>
  <pageMargins left="0.7" right="0.7" top="0.75" bottom="0.75" header="0.3" footer="0.3"/>
  <pageSetup paperSize="9" scale="98" orientation="portrait" r:id="rId1"/>
  <colBreaks count="1" manualBreakCount="1">
    <brk id="29" max="18"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3">
    <tabColor rgb="FFFF0000"/>
  </sheetPr>
  <dimension ref="A1:J23"/>
  <sheetViews>
    <sheetView showGridLines="0" view="pageBreakPreview" topLeftCell="A13" zoomScale="115" zoomScaleNormal="100" zoomScaleSheetLayoutView="115" workbookViewId="0">
      <selection activeCell="F22" sqref="F22"/>
    </sheetView>
  </sheetViews>
  <sheetFormatPr defaultRowHeight="16.5" x14ac:dyDescent="0.25"/>
  <cols>
    <col min="1" max="1" width="3.25" style="545" customWidth="1"/>
    <col min="2" max="2" width="5.625" style="545" customWidth="1"/>
    <col min="3" max="3" width="12.125" style="545" customWidth="1"/>
    <col min="5" max="9" width="10.25" style="545" customWidth="1"/>
  </cols>
  <sheetData>
    <row r="1" spans="2:10" ht="39" customHeight="1" x14ac:dyDescent="0.25">
      <c r="B1" s="711" t="str">
        <f>word用!$H$2</f>
        <v>顏文祥</v>
      </c>
      <c r="C1" s="623"/>
      <c r="D1" s="11" t="str">
        <f>IF(word用!$R$2="男","先生","女士")</f>
        <v>先生</v>
      </c>
      <c r="E1" s="6"/>
      <c r="F1" s="6"/>
      <c r="G1" s="6"/>
      <c r="H1" s="6"/>
      <c r="I1" s="6"/>
    </row>
    <row r="2" spans="2:10" ht="4.5" customHeight="1" x14ac:dyDescent="0.25">
      <c r="B2" s="711"/>
      <c r="C2" s="623"/>
      <c r="D2" s="11"/>
      <c r="E2" s="6"/>
      <c r="F2" s="6"/>
      <c r="G2" s="6"/>
      <c r="H2" s="6"/>
      <c r="I2" s="6"/>
    </row>
    <row r="3" spans="2:10" ht="33.75" customHeight="1" x14ac:dyDescent="0.25">
      <c r="B3" s="714" t="str">
        <f>CONCATENATE("台端因為涉嫌 ",呈報單!$G$15," 罪名，必須接受偵訊，在接受偵訊時可以行使下列權利：")</f>
        <v>台端因為涉嫌 毀損 罪名，必須接受偵訊，在接受偵訊時可以行使下列權利：</v>
      </c>
      <c r="C3" s="623"/>
      <c r="D3" s="623"/>
      <c r="E3" s="623"/>
      <c r="F3" s="623"/>
      <c r="G3" s="623"/>
      <c r="H3" s="623"/>
      <c r="I3" s="623"/>
      <c r="J3" s="13"/>
    </row>
    <row r="4" spans="2:10" ht="33.75" customHeight="1" x14ac:dyDescent="0.25">
      <c r="B4" s="623"/>
      <c r="C4" s="623"/>
      <c r="D4" s="623"/>
      <c r="E4" s="623"/>
      <c r="F4" s="623"/>
      <c r="G4" s="623"/>
      <c r="H4" s="623"/>
      <c r="I4" s="623"/>
      <c r="J4" s="13"/>
    </row>
    <row r="5" spans="2:10" ht="7.5" customHeight="1" x14ac:dyDescent="0.25">
      <c r="B5" s="473"/>
      <c r="C5" s="473"/>
      <c r="D5" s="473"/>
      <c r="E5" s="473"/>
      <c r="F5" s="473"/>
      <c r="G5" s="473"/>
      <c r="H5" s="473"/>
      <c r="I5" s="473"/>
      <c r="J5" s="13"/>
    </row>
    <row r="6" spans="2:10" ht="42" customHeight="1" x14ac:dyDescent="0.25">
      <c r="B6" s="11" t="s">
        <v>384</v>
      </c>
      <c r="C6" s="715" t="s">
        <v>407</v>
      </c>
      <c r="D6" s="623"/>
      <c r="E6" s="623"/>
      <c r="F6" s="623"/>
      <c r="G6" s="623"/>
      <c r="H6" s="623"/>
      <c r="I6" s="623"/>
    </row>
    <row r="7" spans="2:10" ht="42" customHeight="1" x14ac:dyDescent="0.25">
      <c r="B7" s="12"/>
      <c r="C7" s="715" t="s">
        <v>408</v>
      </c>
      <c r="D7" s="623"/>
      <c r="E7" s="623"/>
      <c r="F7" s="623"/>
      <c r="G7" s="623"/>
      <c r="H7" s="623"/>
      <c r="I7" s="623"/>
    </row>
    <row r="8" spans="2:10" ht="42" customHeight="1" x14ac:dyDescent="0.25">
      <c r="B8" s="11" t="s">
        <v>385</v>
      </c>
      <c r="C8" s="712" t="s">
        <v>409</v>
      </c>
      <c r="D8" s="623"/>
      <c r="E8" s="623"/>
      <c r="F8" s="623"/>
      <c r="G8" s="623"/>
      <c r="H8" s="623"/>
      <c r="I8" s="623"/>
    </row>
    <row r="9" spans="2:10" ht="42" customHeight="1" x14ac:dyDescent="0.25">
      <c r="B9" s="11" t="s">
        <v>386</v>
      </c>
      <c r="C9" s="715" t="s">
        <v>410</v>
      </c>
      <c r="D9" s="623"/>
      <c r="E9" s="623"/>
      <c r="F9" s="623"/>
      <c r="G9" s="623"/>
      <c r="H9" s="623"/>
      <c r="I9" s="623"/>
    </row>
    <row r="10" spans="2:10" ht="42" customHeight="1" x14ac:dyDescent="0.25">
      <c r="B10" s="12"/>
      <c r="C10" s="715" t="s">
        <v>411</v>
      </c>
      <c r="D10" s="623"/>
      <c r="E10" s="623"/>
      <c r="F10" s="623"/>
      <c r="G10" s="623"/>
      <c r="H10" s="623"/>
      <c r="I10" s="623"/>
    </row>
    <row r="11" spans="2:10" ht="42" customHeight="1" x14ac:dyDescent="0.25">
      <c r="B11" s="11" t="s">
        <v>387</v>
      </c>
      <c r="C11" s="712" t="s">
        <v>412</v>
      </c>
      <c r="D11" s="623"/>
      <c r="E11" s="623"/>
      <c r="F11" s="623"/>
      <c r="G11" s="623"/>
      <c r="H11" s="623"/>
      <c r="I11" s="623"/>
    </row>
    <row r="12" spans="2:10" ht="42" customHeight="1" x14ac:dyDescent="0.25">
      <c r="B12" s="472" t="s">
        <v>389</v>
      </c>
      <c r="C12" s="712" t="s">
        <v>413</v>
      </c>
      <c r="D12" s="623"/>
      <c r="E12" s="623"/>
      <c r="F12" s="623"/>
      <c r="G12" s="623"/>
      <c r="H12" s="623"/>
      <c r="I12" s="623"/>
    </row>
    <row r="13" spans="2:10" ht="42" customHeight="1" x14ac:dyDescent="0.25">
      <c r="B13" s="11"/>
      <c r="C13" s="712" t="s">
        <v>414</v>
      </c>
      <c r="D13" s="623"/>
      <c r="E13" s="623"/>
      <c r="F13" s="623"/>
      <c r="G13" s="623"/>
      <c r="H13" s="623"/>
      <c r="I13" s="623"/>
    </row>
    <row r="14" spans="2:10" ht="42" customHeight="1" x14ac:dyDescent="0.25">
      <c r="B14" s="6"/>
      <c r="C14" s="712" t="s">
        <v>415</v>
      </c>
      <c r="D14" s="623"/>
      <c r="E14" s="623"/>
      <c r="F14" s="623"/>
      <c r="G14" s="623"/>
      <c r="H14" s="623"/>
      <c r="I14" s="623"/>
    </row>
    <row r="15" spans="2:10" ht="42" customHeight="1" x14ac:dyDescent="0.25">
      <c r="B15" s="6"/>
      <c r="C15" s="712" t="s">
        <v>416</v>
      </c>
      <c r="D15" s="623"/>
      <c r="E15" s="623"/>
      <c r="F15" s="623"/>
      <c r="G15" s="623"/>
      <c r="H15" s="623"/>
      <c r="I15" s="623"/>
    </row>
    <row r="16" spans="2:10" ht="42" customHeight="1" x14ac:dyDescent="0.25">
      <c r="B16" s="6"/>
      <c r="C16" s="712" t="s">
        <v>417</v>
      </c>
      <c r="D16" s="623"/>
      <c r="E16" s="623"/>
      <c r="F16" s="623"/>
      <c r="G16" s="623"/>
      <c r="H16" s="6"/>
      <c r="I16" s="6"/>
    </row>
    <row r="17" spans="2:9" ht="37.5" customHeight="1" x14ac:dyDescent="0.25">
      <c r="B17" s="6"/>
      <c r="C17" s="713" t="s">
        <v>418</v>
      </c>
      <c r="D17" s="623"/>
      <c r="E17" s="623"/>
      <c r="F17" s="6"/>
      <c r="G17" s="6"/>
      <c r="H17" s="6"/>
      <c r="I17" s="6"/>
    </row>
    <row r="18" spans="2:9" ht="20.25" customHeight="1" x14ac:dyDescent="0.25">
      <c r="B18" s="6"/>
      <c r="C18" s="10"/>
      <c r="D18" s="6"/>
      <c r="E18" s="6"/>
      <c r="F18" s="6"/>
      <c r="G18" s="6"/>
      <c r="H18" s="6"/>
      <c r="I18" s="6"/>
    </row>
    <row r="19" spans="2:9" ht="37.5" customHeight="1" x14ac:dyDescent="0.25">
      <c r="B19" s="6"/>
      <c r="C19" s="713" t="s">
        <v>419</v>
      </c>
      <c r="D19" s="623"/>
      <c r="E19" s="623"/>
      <c r="F19" s="623"/>
      <c r="G19" s="6" t="str">
        <f>IF(ISBLANK(輸入!C10),"","")</f>
        <v/>
      </c>
      <c r="H19" s="6"/>
      <c r="I19" s="6"/>
    </row>
    <row r="20" spans="2:9" ht="20.25" customHeight="1" x14ac:dyDescent="0.25">
      <c r="B20" s="6"/>
      <c r="C20" s="9"/>
      <c r="D20" s="6"/>
      <c r="E20" s="6"/>
      <c r="F20" s="6"/>
      <c r="G20" s="6"/>
      <c r="H20" s="6"/>
      <c r="I20" s="6"/>
    </row>
    <row r="21" spans="2:9" ht="37.5" customHeight="1" x14ac:dyDescent="0.25">
      <c r="B21" s="6"/>
      <c r="C21" s="713" t="s">
        <v>420</v>
      </c>
      <c r="D21" s="623"/>
      <c r="E21" s="623"/>
      <c r="F21" s="713" t="str">
        <f>下拉用!$J$5</f>
        <v>年月日時分</v>
      </c>
      <c r="G21" s="623"/>
      <c r="H21" s="623"/>
      <c r="I21" s="623"/>
    </row>
    <row r="22" spans="2:9" ht="6.75" customHeight="1" x14ac:dyDescent="0.25">
      <c r="B22" s="6"/>
      <c r="C22" s="8"/>
      <c r="D22" s="6"/>
      <c r="E22" s="6"/>
      <c r="F22" s="6"/>
      <c r="G22" s="6"/>
      <c r="H22" s="6"/>
      <c r="I22" s="6"/>
    </row>
    <row r="23" spans="2:9" x14ac:dyDescent="0.25">
      <c r="B23" s="6"/>
      <c r="C23" s="7" t="s">
        <v>421</v>
      </c>
      <c r="D23" s="6"/>
      <c r="E23" s="6"/>
      <c r="F23" s="6"/>
      <c r="G23" s="6"/>
      <c r="H23" s="6"/>
      <c r="I23" s="6"/>
    </row>
  </sheetData>
  <mergeCells count="18">
    <mergeCell ref="F21:I21"/>
    <mergeCell ref="C10:I10"/>
    <mergeCell ref="C21:E21"/>
    <mergeCell ref="C19:F19"/>
    <mergeCell ref="C15:I15"/>
    <mergeCell ref="C11:I11"/>
    <mergeCell ref="C14:I14"/>
    <mergeCell ref="C13:I13"/>
    <mergeCell ref="B1:C1"/>
    <mergeCell ref="C16:G16"/>
    <mergeCell ref="C8:I8"/>
    <mergeCell ref="C12:I12"/>
    <mergeCell ref="C17:E17"/>
    <mergeCell ref="B2:C2"/>
    <mergeCell ref="B3:I4"/>
    <mergeCell ref="C9:I9"/>
    <mergeCell ref="C6:I6"/>
    <mergeCell ref="C7:I7"/>
  </mergeCells>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4">
    <tabColor rgb="FFFF0000"/>
  </sheetPr>
  <dimension ref="A1:L19"/>
  <sheetViews>
    <sheetView showGridLines="0" view="pageBreakPreview" topLeftCell="A4" zoomScaleNormal="85" zoomScaleSheetLayoutView="100" workbookViewId="0">
      <selection activeCell="B17" sqref="B17:K17"/>
    </sheetView>
  </sheetViews>
  <sheetFormatPr defaultRowHeight="16.5" x14ac:dyDescent="0.25"/>
  <cols>
    <col min="1" max="1" width="4.75" style="545" customWidth="1"/>
    <col min="2" max="9" width="7.625" style="545" customWidth="1"/>
    <col min="10" max="10" width="7.875" style="545" customWidth="1"/>
    <col min="11" max="11" width="7.625" style="545" customWidth="1"/>
  </cols>
  <sheetData>
    <row r="1" spans="1:12" ht="67.5" customHeight="1" x14ac:dyDescent="0.25">
      <c r="A1" s="22"/>
      <c r="B1" s="719" t="s">
        <v>422</v>
      </c>
      <c r="C1" s="623"/>
      <c r="D1" s="623"/>
      <c r="E1" s="623"/>
      <c r="F1" s="623"/>
      <c r="G1" s="623"/>
      <c r="H1" s="623"/>
      <c r="I1" s="623"/>
      <c r="J1" s="623"/>
      <c r="K1" s="623"/>
      <c r="L1" s="623"/>
    </row>
    <row r="2" spans="1:12" ht="78" customHeight="1" x14ac:dyDescent="0.25">
      <c r="A2" s="24"/>
      <c r="B2" s="6"/>
      <c r="C2" s="6"/>
      <c r="D2" s="6"/>
      <c r="E2" s="6"/>
      <c r="F2" s="6"/>
      <c r="G2" s="6"/>
      <c r="H2" s="6"/>
      <c r="I2" s="6"/>
      <c r="J2" s="6"/>
      <c r="K2" s="6"/>
    </row>
    <row r="3" spans="1:12" ht="60.75" customHeight="1" x14ac:dyDescent="0.25">
      <c r="A3" s="24"/>
      <c r="B3" s="717" t="str">
        <f>CONCATENATE("本人 ",word用!$H$2, " 經告知涉嫌",呈報單!$G$15,"案，同意於夜間接受詢問。")</f>
        <v>本人 顏文祥 經告知涉嫌毀損案，同意於夜間接受詢問。</v>
      </c>
      <c r="C3" s="623"/>
      <c r="D3" s="623"/>
      <c r="E3" s="623"/>
      <c r="F3" s="623"/>
      <c r="G3" s="623"/>
      <c r="H3" s="623"/>
      <c r="I3" s="623"/>
      <c r="J3" s="623"/>
      <c r="K3" s="623"/>
      <c r="L3" s="623"/>
    </row>
    <row r="4" spans="1:12" ht="18" customHeight="1" x14ac:dyDescent="0.25">
      <c r="A4" s="23"/>
      <c r="B4" s="623"/>
      <c r="C4" s="623"/>
      <c r="D4" s="623"/>
      <c r="E4" s="623"/>
      <c r="F4" s="623"/>
      <c r="G4" s="623"/>
      <c r="H4" s="623"/>
      <c r="I4" s="623"/>
      <c r="J4" s="623"/>
      <c r="K4" s="623"/>
      <c r="L4" s="623"/>
    </row>
    <row r="5" spans="1:12" ht="24.75" customHeight="1" x14ac:dyDescent="0.25">
      <c r="A5" s="332"/>
      <c r="B5" s="623"/>
      <c r="C5" s="623"/>
      <c r="D5" s="623"/>
      <c r="E5" s="623"/>
      <c r="F5" s="623"/>
      <c r="G5" s="623"/>
      <c r="H5" s="623"/>
      <c r="I5" s="623"/>
      <c r="J5" s="623"/>
      <c r="K5" s="623"/>
      <c r="L5" s="623"/>
    </row>
    <row r="6" spans="1:12" ht="22.5" customHeight="1" x14ac:dyDescent="0.25">
      <c r="A6" s="22"/>
      <c r="B6" s="623"/>
      <c r="C6" s="623"/>
      <c r="D6" s="623"/>
      <c r="E6" s="623"/>
      <c r="F6" s="623"/>
      <c r="G6" s="623"/>
      <c r="H6" s="623"/>
      <c r="I6" s="623"/>
      <c r="J6" s="623"/>
      <c r="K6" s="623"/>
      <c r="L6" s="623"/>
    </row>
    <row r="7" spans="1:12" ht="51.75" customHeight="1" x14ac:dyDescent="0.25">
      <c r="A7" s="331"/>
      <c r="B7" s="623"/>
      <c r="C7" s="623"/>
      <c r="D7" s="623"/>
      <c r="E7" s="623"/>
      <c r="F7" s="623"/>
      <c r="G7" s="623"/>
      <c r="H7" s="623"/>
      <c r="I7" s="623"/>
      <c r="J7" s="623"/>
      <c r="K7" s="623"/>
      <c r="L7" s="623"/>
    </row>
    <row r="8" spans="1:12" ht="11.25" customHeight="1" x14ac:dyDescent="0.25">
      <c r="A8" s="18"/>
      <c r="B8" s="21"/>
      <c r="C8" s="6"/>
      <c r="D8" s="6"/>
      <c r="E8" s="6"/>
      <c r="F8" s="6"/>
      <c r="G8" s="6"/>
      <c r="H8" s="6"/>
      <c r="I8" s="6"/>
      <c r="J8" s="6"/>
      <c r="K8" s="6"/>
    </row>
    <row r="9" spans="1:12" ht="19.5" customHeight="1" x14ac:dyDescent="0.25">
      <c r="A9" s="18"/>
      <c r="B9" s="20"/>
      <c r="C9" s="6"/>
      <c r="D9" s="6"/>
      <c r="E9" s="6"/>
      <c r="F9" s="6"/>
      <c r="G9" s="6"/>
      <c r="H9" s="6"/>
      <c r="I9" s="6"/>
      <c r="J9" s="6"/>
      <c r="K9" s="6"/>
    </row>
    <row r="10" spans="1:12" ht="8.25" customHeight="1" x14ac:dyDescent="0.25">
      <c r="A10" s="18"/>
      <c r="B10" s="6"/>
      <c r="C10" s="6"/>
      <c r="D10" s="6"/>
      <c r="E10" s="6"/>
      <c r="F10" s="6"/>
      <c r="G10" s="6"/>
      <c r="H10" s="6"/>
      <c r="I10" s="6"/>
      <c r="J10" s="6"/>
      <c r="K10" s="6"/>
    </row>
    <row r="11" spans="1:12" ht="46.5" customHeight="1" x14ac:dyDescent="0.25">
      <c r="A11" s="6"/>
      <c r="B11" s="19"/>
      <c r="C11" s="6"/>
      <c r="D11" s="6"/>
      <c r="E11" s="6"/>
      <c r="F11" s="6"/>
      <c r="G11" s="6"/>
      <c r="H11" s="6"/>
      <c r="I11" s="6"/>
      <c r="J11" s="6"/>
      <c r="K11" s="6"/>
    </row>
    <row r="12" spans="1:12" ht="50.25" hidden="1" customHeight="1" x14ac:dyDescent="0.25">
      <c r="A12" s="6"/>
      <c r="B12" s="6"/>
      <c r="C12" s="6"/>
      <c r="D12" s="6"/>
      <c r="E12" s="6"/>
      <c r="F12" s="6"/>
      <c r="G12" s="6"/>
      <c r="H12" s="6"/>
      <c r="I12" s="6"/>
      <c r="J12" s="6"/>
      <c r="K12" s="6"/>
    </row>
    <row r="13" spans="1:12" ht="52.5" customHeight="1" x14ac:dyDescent="0.25">
      <c r="A13" s="6"/>
      <c r="B13" s="718" t="s">
        <v>423</v>
      </c>
      <c r="C13" s="623"/>
      <c r="D13" s="623"/>
      <c r="E13" s="623"/>
      <c r="F13" s="6"/>
      <c r="G13" s="6"/>
      <c r="H13" s="6"/>
      <c r="I13" s="6"/>
      <c r="J13" s="6"/>
      <c r="K13" s="6"/>
    </row>
    <row r="14" spans="1:12" ht="37.5" customHeight="1" x14ac:dyDescent="0.25">
      <c r="A14" s="17"/>
      <c r="B14" s="6"/>
      <c r="C14" s="6"/>
      <c r="D14" s="6"/>
      <c r="E14" s="6"/>
      <c r="F14" s="6"/>
      <c r="G14" s="6"/>
      <c r="H14" s="6"/>
      <c r="I14" s="6"/>
      <c r="J14" s="6"/>
      <c r="K14" s="6"/>
    </row>
    <row r="15" spans="1:12" ht="52.5" customHeight="1" x14ac:dyDescent="0.25">
      <c r="A15" s="18"/>
      <c r="B15" s="718" t="s">
        <v>424</v>
      </c>
      <c r="C15" s="623"/>
      <c r="D15" s="623"/>
      <c r="E15" s="623"/>
      <c r="F15" s="6"/>
      <c r="G15" s="6"/>
      <c r="H15" s="6"/>
      <c r="I15" s="6"/>
      <c r="J15" s="6"/>
      <c r="K15" s="6"/>
    </row>
    <row r="16" spans="1:12" ht="37.5" customHeight="1" x14ac:dyDescent="0.25">
      <c r="A16" s="17"/>
      <c r="B16" s="6"/>
      <c r="C16" s="6"/>
      <c r="D16" s="6"/>
      <c r="E16" s="6"/>
      <c r="F16" s="6"/>
      <c r="G16" s="6"/>
      <c r="H16" s="6"/>
      <c r="I16" s="6"/>
      <c r="J16" s="6"/>
      <c r="K16" s="6"/>
    </row>
    <row r="17" spans="1:11" ht="27.75" customHeight="1" x14ac:dyDescent="0.25">
      <c r="A17" s="16"/>
      <c r="B17" s="716" t="str">
        <f>CONCATENATE("　　告知時間:",下拉用!$J$5,"")</f>
        <v>　　告知時間:年月日時分</v>
      </c>
      <c r="C17" s="623"/>
      <c r="D17" s="623"/>
      <c r="E17" s="623"/>
      <c r="F17" s="623"/>
      <c r="G17" s="623"/>
      <c r="H17" s="623"/>
      <c r="I17" s="623"/>
      <c r="J17" s="623"/>
      <c r="K17" s="623"/>
    </row>
    <row r="18" spans="1:11" ht="30" customHeight="1" x14ac:dyDescent="0.25">
      <c r="A18" s="15"/>
    </row>
    <row r="19" spans="1:11" ht="36.75" customHeight="1" x14ac:dyDescent="0.25">
      <c r="B19" s="14"/>
    </row>
  </sheetData>
  <mergeCells count="5">
    <mergeCell ref="B17:K17"/>
    <mergeCell ref="B3:L7"/>
    <mergeCell ref="B13:E13"/>
    <mergeCell ref="B15:E15"/>
    <mergeCell ref="B1:L1"/>
  </mergeCells>
  <phoneticPr fontId="1" type="noConversion"/>
  <pageMargins left="0.4375"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工作表48">
    <tabColor theme="9" tint="-0.499984740745262"/>
  </sheetPr>
  <dimension ref="A1:O18"/>
  <sheetViews>
    <sheetView view="pageLayout" zoomScaleNormal="100" workbookViewId="0">
      <selection activeCell="G3" sqref="G3:K3"/>
    </sheetView>
  </sheetViews>
  <sheetFormatPr defaultRowHeight="16.5" x14ac:dyDescent="0.25"/>
  <cols>
    <col min="1" max="1" width="4.875" style="505" customWidth="1"/>
    <col min="2" max="2" width="1.625" style="505" customWidth="1"/>
    <col min="3" max="3" width="3.625" style="505" customWidth="1"/>
    <col min="4" max="4" width="2.25" style="505" customWidth="1"/>
    <col min="5" max="5" width="2.375" style="505" customWidth="1"/>
    <col min="6" max="6" width="3.5" style="505" customWidth="1"/>
    <col min="7" max="7" width="6.5" style="505" customWidth="1"/>
    <col min="8" max="8" width="4.25" style="505" customWidth="1"/>
    <col min="9" max="9" width="3.25" style="505" customWidth="1"/>
    <col min="10" max="10" width="8.375" style="505" customWidth="1"/>
    <col min="11" max="11" width="4.625" style="505" customWidth="1"/>
    <col min="12" max="12" width="8.625" style="505" customWidth="1"/>
    <col min="13" max="13" width="12.625" style="505" customWidth="1"/>
    <col min="14" max="14" width="9" style="505" customWidth="1"/>
    <col min="15" max="15" width="11.375" style="505" customWidth="1"/>
    <col min="16" max="16" width="9" style="505" customWidth="1"/>
    <col min="17" max="16384" width="9" style="505"/>
  </cols>
  <sheetData>
    <row r="1" spans="1:15" ht="45.75" customHeight="1" x14ac:dyDescent="0.25">
      <c r="A1" s="720" t="str">
        <f>CONCATENATE(輸入!$S$18,輸入!$T$18,輸入!$S$19,輸入!$T$19,輸入!$S$20,輸入!$T$20,"一般陳報單",)</f>
        <v>臺北市政府警察局信義分局吳興街派出所一般陳報單</v>
      </c>
      <c r="B1" s="721"/>
      <c r="C1" s="721"/>
      <c r="D1" s="721"/>
      <c r="E1" s="721"/>
      <c r="F1" s="721"/>
      <c r="G1" s="721"/>
      <c r="H1" s="721"/>
      <c r="I1" s="721"/>
      <c r="J1" s="721"/>
      <c r="K1" s="721"/>
      <c r="L1" s="721"/>
      <c r="M1" s="721"/>
      <c r="N1" s="721"/>
      <c r="O1" s="722"/>
    </row>
    <row r="2" spans="1:15" ht="45.75" customHeight="1" x14ac:dyDescent="0.25">
      <c r="A2" s="729" t="s">
        <v>425</v>
      </c>
      <c r="B2" s="574"/>
      <c r="C2" s="574"/>
      <c r="D2" s="574"/>
      <c r="E2" s="574"/>
      <c r="F2" s="575"/>
      <c r="G2" s="723" t="s">
        <v>364</v>
      </c>
      <c r="H2" s="574"/>
      <c r="I2" s="574"/>
      <c r="J2" s="574"/>
      <c r="K2" s="575"/>
      <c r="L2" s="723" t="s">
        <v>426</v>
      </c>
      <c r="M2" s="574"/>
      <c r="N2" s="574"/>
      <c r="O2" s="575"/>
    </row>
    <row r="3" spans="1:15" ht="88.5" customHeight="1" x14ac:dyDescent="0.25">
      <c r="A3" s="724" t="s">
        <v>427</v>
      </c>
      <c r="B3" s="574"/>
      <c r="C3" s="574"/>
      <c r="D3" s="574"/>
      <c r="E3" s="574"/>
      <c r="F3" s="575"/>
      <c r="G3" s="728">
        <f ca="1">TODAY()</f>
        <v>46278</v>
      </c>
      <c r="H3" s="574"/>
      <c r="I3" s="574"/>
      <c r="J3" s="574"/>
      <c r="K3" s="575"/>
      <c r="L3" s="733" t="str">
        <f>CONCATENATE("本所為偵辦【",呈報單!$G$15,"】案，報 請協助通知 ",word用!$H$2,"  到案說明乙案。")</f>
        <v>本所為偵辦【毀損】案，報 請協助通知 顏文祥  到案說明乙案。</v>
      </c>
      <c r="M3" s="574"/>
      <c r="N3" s="574"/>
      <c r="O3" s="575"/>
    </row>
    <row r="4" spans="1:15" ht="41.25" customHeight="1" x14ac:dyDescent="0.25">
      <c r="A4" s="730" t="s">
        <v>366</v>
      </c>
      <c r="B4" s="580"/>
      <c r="C4" s="384" t="s">
        <v>367</v>
      </c>
      <c r="D4" s="385"/>
      <c r="E4" s="385"/>
      <c r="F4" s="734" t="str">
        <f>CONCATENATE("本所為偵辦【",呈報單!$G$15,"】案，報 請協助通知 ",word用!$H$2," 到案說明乙案。")</f>
        <v>本所為偵辦【毀損】案，報 請協助通知 顏文祥 到案說明乙案。</v>
      </c>
      <c r="G4" s="579"/>
      <c r="H4" s="579"/>
      <c r="I4" s="579"/>
      <c r="J4" s="579"/>
      <c r="K4" s="579"/>
      <c r="L4" s="579"/>
      <c r="M4" s="579"/>
      <c r="N4" s="579"/>
      <c r="O4" s="735"/>
    </row>
    <row r="5" spans="1:15" ht="218.25" customHeight="1" x14ac:dyDescent="0.25">
      <c r="A5" s="731"/>
      <c r="B5" s="603"/>
      <c r="C5" s="386" t="s">
        <v>368</v>
      </c>
      <c r="D5" s="386"/>
      <c r="E5" s="386"/>
      <c r="F5" s="726" t="str">
        <f>IF(輸入!$E$2=下拉用!$B$1,下拉用!$B$6,下拉用!$A$6)</f>
        <v>本所為偵辦黃軾錦所報毀損案(證明單編號：Z115099AWBN1NGL)，警方調閱監視器及比對嫌疑人使用之交通工具後，發現該男子為顏文祥(A126819564、84.03.06)，職試圖與顏民聯絡，但顏民一直不到案說明，為使偵查順遂惠予協助，以利案件之偵辦，煩請偵查隊協助發立通知書，通知關係人顏文祥到案說明。</v>
      </c>
      <c r="G5" s="596"/>
      <c r="H5" s="596"/>
      <c r="I5" s="596"/>
      <c r="J5" s="596"/>
      <c r="K5" s="596"/>
      <c r="L5" s="596"/>
      <c r="M5" s="596"/>
      <c r="N5" s="596"/>
      <c r="O5" s="727"/>
    </row>
    <row r="6" spans="1:15" ht="33" hidden="1" customHeight="1" x14ac:dyDescent="0.25">
      <c r="A6" s="731"/>
      <c r="B6" s="603"/>
      <c r="C6" s="386"/>
      <c r="D6" s="386"/>
      <c r="E6" s="386"/>
      <c r="F6" s="474"/>
      <c r="G6" s="474"/>
      <c r="H6" s="474"/>
      <c r="I6" s="474"/>
      <c r="J6" s="474"/>
      <c r="K6" s="474"/>
      <c r="L6" s="474"/>
      <c r="M6" s="474"/>
      <c r="N6" s="474"/>
      <c r="O6" s="475"/>
    </row>
    <row r="7" spans="1:15" ht="22.5" customHeight="1" x14ac:dyDescent="0.25">
      <c r="A7" s="731"/>
      <c r="B7" s="603"/>
      <c r="C7" s="386"/>
      <c r="D7" s="386"/>
      <c r="E7" s="386"/>
      <c r="F7" s="474"/>
      <c r="G7" s="736" t="s">
        <v>428</v>
      </c>
      <c r="H7" s="596"/>
      <c r="I7" s="596"/>
      <c r="J7" s="725">
        <v>11406061800</v>
      </c>
      <c r="K7" s="596"/>
      <c r="L7" s="596"/>
      <c r="M7" s="596"/>
      <c r="N7" s="571"/>
      <c r="O7" s="475"/>
    </row>
    <row r="8" spans="1:15" ht="22.5" customHeight="1" x14ac:dyDescent="0.25">
      <c r="A8" s="731"/>
      <c r="B8" s="603"/>
      <c r="C8" s="387"/>
      <c r="D8" s="387"/>
      <c r="E8" s="387"/>
      <c r="F8" s="387"/>
      <c r="G8" s="388" t="str">
        <f>CONCATENATE("戶籍地址: ",word用!$M$2,"")</f>
        <v>戶籍地址: 臺北市信義區信義路五段150巷477號</v>
      </c>
      <c r="H8" s="388"/>
      <c r="I8" s="388"/>
      <c r="J8" s="388"/>
      <c r="K8" s="387"/>
      <c r="L8" s="387"/>
      <c r="M8" s="387"/>
      <c r="N8" s="387"/>
      <c r="O8" s="389"/>
    </row>
    <row r="9" spans="1:15" ht="22.5" customHeight="1" x14ac:dyDescent="0.25">
      <c r="A9" s="731"/>
      <c r="B9" s="603"/>
      <c r="C9" s="387"/>
      <c r="D9" s="387"/>
      <c r="E9" s="387"/>
      <c r="F9" s="387"/>
      <c r="G9" s="388" t="str">
        <f>CONCATENATE("現住地址：",word用!$N$2,"")</f>
        <v>現住地址：臺北市信義區信義路五段150巷477號</v>
      </c>
      <c r="H9" s="388"/>
      <c r="I9" s="388"/>
      <c r="J9" s="388"/>
      <c r="K9" s="387"/>
      <c r="L9" s="387"/>
      <c r="M9" s="387"/>
      <c r="N9" s="387"/>
      <c r="O9" s="389"/>
    </row>
    <row r="10" spans="1:15" ht="22.5" customHeight="1" x14ac:dyDescent="0.25">
      <c r="A10" s="731"/>
      <c r="B10" s="603"/>
      <c r="C10" s="387"/>
      <c r="D10" s="387"/>
      <c r="E10" s="387"/>
      <c r="F10" s="387"/>
      <c r="G10" s="388" t="str">
        <f>CONCATENATE("通知地點：",輸入!$S$23,"(",輸入!$S$20,輸入!$T$20,")")</f>
        <v>通知地點：台北市信義區吳興街262號(吳興街派出所)</v>
      </c>
      <c r="H10" s="388"/>
      <c r="I10" s="388"/>
      <c r="J10" s="388"/>
      <c r="K10" s="387"/>
      <c r="L10" s="387"/>
      <c r="M10" s="387"/>
      <c r="N10" s="387"/>
      <c r="O10" s="389"/>
    </row>
    <row r="11" spans="1:15" ht="22.5" customHeight="1" x14ac:dyDescent="0.25">
      <c r="A11" s="731"/>
      <c r="B11" s="603"/>
      <c r="C11" s="387"/>
      <c r="D11" s="387"/>
      <c r="E11" s="387"/>
      <c r="F11" s="387"/>
      <c r="G11" s="388" t="str">
        <f>CONCATENATE("聯絡電話：",輸入!$T$21,"")</f>
        <v>聯絡電話：(02)27398997</v>
      </c>
      <c r="H11" s="388"/>
      <c r="I11" s="388"/>
      <c r="J11" s="388"/>
      <c r="K11" s="387"/>
      <c r="L11" s="387"/>
      <c r="M11" s="387"/>
      <c r="N11" s="387"/>
      <c r="O11" s="389"/>
    </row>
    <row r="12" spans="1:15" ht="22.5" customHeight="1" x14ac:dyDescent="0.25">
      <c r="A12" s="731"/>
      <c r="B12" s="603"/>
      <c r="C12" s="387"/>
      <c r="D12" s="387"/>
      <c r="E12" s="387"/>
      <c r="F12" s="387"/>
      <c r="G12" s="388" t="str">
        <f>CONCATENATE("公務信箱：",輸入!$S$25,)</f>
        <v>公務信箱：um1520@gov.taipei</v>
      </c>
      <c r="H12" s="388"/>
      <c r="I12" s="388"/>
      <c r="J12" s="388"/>
      <c r="K12" s="387"/>
      <c r="L12" s="387"/>
      <c r="M12" s="387"/>
      <c r="N12" s="387"/>
      <c r="O12" s="389"/>
    </row>
    <row r="13" spans="1:15" ht="22.5" customHeight="1" x14ac:dyDescent="0.25">
      <c r="A13" s="731"/>
      <c r="B13" s="603"/>
      <c r="C13" s="387"/>
      <c r="D13" s="387"/>
      <c r="E13" s="387"/>
      <c r="F13" s="387"/>
      <c r="G13" s="388" t="str">
        <f>CONCATENATE("承 辦 人：警員 ",輸入!$O$8,"")</f>
        <v>承 辦 人：警員 蘇詠棠</v>
      </c>
      <c r="H13" s="388"/>
      <c r="I13" s="388"/>
      <c r="J13" s="388"/>
      <c r="K13" s="387"/>
      <c r="L13" s="387"/>
      <c r="M13" s="387"/>
      <c r="N13" s="387"/>
      <c r="O13" s="389"/>
    </row>
    <row r="14" spans="1:15" ht="21" customHeight="1" x14ac:dyDescent="0.25">
      <c r="A14" s="731"/>
      <c r="B14" s="603"/>
      <c r="C14" s="390" t="s">
        <v>385</v>
      </c>
      <c r="D14" s="386"/>
      <c r="E14" s="726" t="str">
        <f>CONCATENATE("檢附",呈報單!$G$15,"案陳報單、關係人個資等相關資料。")</f>
        <v>檢附毀損案陳報單、關係人個資等相關資料。</v>
      </c>
      <c r="F14" s="596"/>
      <c r="G14" s="596"/>
      <c r="H14" s="596"/>
      <c r="I14" s="596"/>
      <c r="J14" s="596"/>
      <c r="K14" s="596"/>
      <c r="L14" s="596"/>
      <c r="M14" s="596"/>
      <c r="N14" s="596"/>
      <c r="O14" s="727"/>
    </row>
    <row r="15" spans="1:15" ht="24" customHeight="1" x14ac:dyDescent="0.25">
      <c r="A15" s="732"/>
      <c r="B15" s="583"/>
      <c r="C15" s="391" t="s">
        <v>429</v>
      </c>
      <c r="D15" s="391"/>
      <c r="E15" s="391"/>
      <c r="F15" s="387"/>
      <c r="G15" s="387"/>
      <c r="H15" s="387"/>
      <c r="I15" s="387"/>
      <c r="J15" s="387"/>
      <c r="K15" s="387"/>
      <c r="L15" s="387"/>
      <c r="M15" s="392"/>
      <c r="N15" s="392"/>
      <c r="O15" s="389"/>
    </row>
    <row r="16" spans="1:15" ht="25.5" customHeight="1" x14ac:dyDescent="0.25">
      <c r="A16" s="393" t="s">
        <v>430</v>
      </c>
      <c r="B16" s="394"/>
      <c r="C16" s="394"/>
      <c r="D16" s="394"/>
      <c r="E16" s="394"/>
      <c r="F16" s="394"/>
      <c r="G16" s="394"/>
      <c r="H16" s="394" t="s">
        <v>375</v>
      </c>
      <c r="I16" s="394"/>
      <c r="J16" s="394"/>
      <c r="K16" s="394"/>
      <c r="L16" s="394"/>
      <c r="M16" s="53" t="s">
        <v>373</v>
      </c>
      <c r="O16" s="351"/>
    </row>
    <row r="17" spans="1:15" ht="25.5" customHeight="1" x14ac:dyDescent="0.25">
      <c r="A17" s="395"/>
      <c r="B17" s="53"/>
      <c r="C17" s="53"/>
      <c r="D17" s="53"/>
      <c r="E17" s="53"/>
      <c r="F17" s="53"/>
      <c r="G17" s="53"/>
      <c r="H17" s="53" t="s">
        <v>431</v>
      </c>
      <c r="I17" s="53"/>
      <c r="J17" s="53"/>
      <c r="K17" s="53"/>
      <c r="L17" s="53"/>
      <c r="M17" s="53" t="s">
        <v>432</v>
      </c>
      <c r="O17" s="80"/>
    </row>
    <row r="18" spans="1:15" ht="94.5" customHeight="1" thickBot="1" x14ac:dyDescent="0.3">
      <c r="A18" s="396"/>
      <c r="B18" s="295"/>
      <c r="C18" s="295"/>
      <c r="D18" s="295"/>
      <c r="E18" s="295"/>
      <c r="F18" s="295"/>
      <c r="G18" s="295"/>
      <c r="H18" s="295"/>
      <c r="I18" s="295"/>
      <c r="J18" s="295"/>
      <c r="K18" s="295"/>
      <c r="L18" s="295"/>
      <c r="M18" s="295"/>
      <c r="N18" s="295"/>
      <c r="O18" s="81"/>
    </row>
  </sheetData>
  <mergeCells count="13">
    <mergeCell ref="A1:O1"/>
    <mergeCell ref="L2:O2"/>
    <mergeCell ref="A3:F3"/>
    <mergeCell ref="J7:M7"/>
    <mergeCell ref="E14:O14"/>
    <mergeCell ref="G3:K3"/>
    <mergeCell ref="A2:F2"/>
    <mergeCell ref="A4:B15"/>
    <mergeCell ref="F5:O5"/>
    <mergeCell ref="L3:O3"/>
    <mergeCell ref="G2:K2"/>
    <mergeCell ref="F4:O4"/>
    <mergeCell ref="G7:I7"/>
  </mergeCells>
  <phoneticPr fontId="1" type="noConversion"/>
  <pageMargins left="0.78740157480314965" right="0.59055118110236227" top="0.59055118110236227" bottom="0.59055118110236227" header="0.51181102362204722" footer="0.51181102362204722"/>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11">
    <tabColor rgb="FFFF0000"/>
  </sheetPr>
  <dimension ref="A1:K24"/>
  <sheetViews>
    <sheetView showGridLines="0" view="pageBreakPreview" zoomScale="85" zoomScaleNormal="100" zoomScaleSheetLayoutView="85" zoomScalePageLayoutView="70" workbookViewId="0">
      <selection activeCell="B21" sqref="B21"/>
    </sheetView>
  </sheetViews>
  <sheetFormatPr defaultRowHeight="16.5" x14ac:dyDescent="0.25"/>
  <cols>
    <col min="1" max="4" width="24.75" style="545" customWidth="1"/>
    <col min="5" max="6" width="8.625" style="545" customWidth="1"/>
    <col min="9" max="9" width="9.75" style="545" customWidth="1"/>
  </cols>
  <sheetData>
    <row r="1" spans="1:11" ht="51" customHeight="1" x14ac:dyDescent="0.25">
      <c r="A1" s="747" t="str">
        <f>CONCATENATE(,輸入!$S$18,輸入!$T$18,輸入!$S$19,輸入!$T$19,"執行逮捕、拘禁告知本人通知書")</f>
        <v>臺北市政府警察局信義分局執行逮捕、拘禁告知本人通知書</v>
      </c>
      <c r="B1" s="748"/>
      <c r="C1" s="748"/>
      <c r="D1" s="749"/>
      <c r="E1" s="106"/>
      <c r="F1" s="106"/>
      <c r="G1" s="106"/>
      <c r="H1" s="106"/>
      <c r="I1" s="106"/>
    </row>
    <row r="2" spans="1:11" ht="27" customHeight="1" x14ac:dyDescent="0.25">
      <c r="A2" s="750" t="str">
        <f>CONCATENATE("台端因涉 ",呈報單!$G$15," 案件，經",輸入!$S$18,輸入!$T$18,輸入!$S$19,輸入!$T$19,"依下列法律之規定逮捕或拘禁，特此通知：")</f>
        <v>台端因涉 毀損 案件，經臺北市政府警察局信義分局依下列法律之規定逮捕或拘禁，特此通知：</v>
      </c>
      <c r="B2" s="628"/>
      <c r="C2" s="628"/>
      <c r="D2" s="751"/>
      <c r="E2" s="483"/>
      <c r="F2" s="483"/>
      <c r="G2" s="483"/>
      <c r="H2" s="483"/>
      <c r="I2" s="483"/>
      <c r="J2" s="483"/>
      <c r="K2" s="483"/>
    </row>
    <row r="3" spans="1:11" ht="12" customHeight="1" x14ac:dyDescent="0.25">
      <c r="A3" s="752"/>
      <c r="B3" s="623"/>
      <c r="C3" s="623"/>
      <c r="D3" s="740"/>
      <c r="E3" s="483"/>
      <c r="F3" s="483"/>
      <c r="G3" s="483"/>
      <c r="H3" s="483"/>
      <c r="I3" s="483"/>
      <c r="J3" s="483"/>
      <c r="K3" s="483"/>
    </row>
    <row r="4" spans="1:11" ht="15" customHeight="1" x14ac:dyDescent="0.25">
      <c r="A4" s="752"/>
      <c r="B4" s="623"/>
      <c r="C4" s="623"/>
      <c r="D4" s="740"/>
      <c r="E4" s="483"/>
      <c r="F4" s="483"/>
      <c r="G4" s="483"/>
      <c r="H4" s="483"/>
      <c r="I4" s="483"/>
      <c r="J4" s="483"/>
      <c r="K4" s="483"/>
    </row>
    <row r="5" spans="1:11" s="43" customFormat="1" ht="20.25" customHeight="1" x14ac:dyDescent="0.25">
      <c r="A5" s="739" t="s">
        <v>433</v>
      </c>
      <c r="B5" s="623"/>
      <c r="C5" s="623"/>
      <c r="D5" s="740"/>
      <c r="E5" s="483"/>
      <c r="F5" s="483"/>
      <c r="G5" s="483"/>
      <c r="H5" s="483"/>
      <c r="I5" s="483"/>
    </row>
    <row r="6" spans="1:11" s="43" customFormat="1" ht="20.25" customHeight="1" x14ac:dyDescent="0.25">
      <c r="A6" s="739" t="s">
        <v>434</v>
      </c>
      <c r="B6" s="623"/>
      <c r="C6" s="623"/>
      <c r="D6" s="740"/>
      <c r="E6" s="483"/>
      <c r="F6" s="483"/>
      <c r="G6" s="483"/>
      <c r="H6" s="483"/>
      <c r="I6" s="483"/>
    </row>
    <row r="7" spans="1:11" s="43" customFormat="1" ht="20.25" customHeight="1" x14ac:dyDescent="0.25">
      <c r="A7" s="739" t="str">
        <f>IF(輸入!$C$2="通緝","■依刑事訴訟法第八十七條規定，因通緝而拘提或逕行逮捕。","□依刑事訴訟法第八十七條規定，因通緝而拘提或逕行逮捕。")</f>
        <v>□依刑事訴訟法第八十七條規定，因通緝而拘提或逕行逮捕。</v>
      </c>
      <c r="B7" s="623"/>
      <c r="C7" s="623"/>
      <c r="D7" s="740"/>
      <c r="E7" s="483"/>
      <c r="F7" s="483"/>
      <c r="G7" s="483"/>
      <c r="H7" s="483"/>
      <c r="I7" s="483"/>
    </row>
    <row r="8" spans="1:11" s="43" customFormat="1" ht="20.25" customHeight="1" x14ac:dyDescent="0.25">
      <c r="A8" s="739" t="str">
        <f>IF(輸入!$C$2="通緝","□依刑事訴訟法第八十八條規定，因屬現行犯而逕行逮捕。","■依刑事訴訟法第八十八條規定，因屬現行犯而逕行逮捕。")</f>
        <v>■依刑事訴訟法第八十八條規定，因屬現行犯而逕行逮捕。</v>
      </c>
      <c r="B8" s="623"/>
      <c r="C8" s="623"/>
      <c r="D8" s="740"/>
      <c r="E8" s="483"/>
      <c r="F8" s="483"/>
      <c r="G8" s="483"/>
      <c r="H8" s="483"/>
      <c r="I8" s="483"/>
    </row>
    <row r="9" spans="1:11" s="43" customFormat="1" ht="20.25" customHeight="1" x14ac:dyDescent="0.25">
      <c r="A9" s="739" t="s">
        <v>435</v>
      </c>
      <c r="B9" s="623"/>
      <c r="C9" s="623"/>
      <c r="D9" s="740"/>
      <c r="E9" s="483"/>
      <c r="F9" s="483"/>
      <c r="G9" s="483"/>
      <c r="H9" s="483"/>
      <c r="I9" s="483"/>
    </row>
    <row r="10" spans="1:11" s="43" customFormat="1" ht="20.25" customHeight="1" x14ac:dyDescent="0.25">
      <c r="A10" s="739" t="s">
        <v>436</v>
      </c>
      <c r="B10" s="623"/>
      <c r="C10" s="623"/>
      <c r="D10" s="740"/>
      <c r="E10" s="483"/>
      <c r="F10" s="483"/>
      <c r="G10" s="483"/>
      <c r="H10" s="483"/>
      <c r="I10" s="483"/>
      <c r="J10" s="483"/>
    </row>
    <row r="11" spans="1:11" s="43" customFormat="1" ht="20.25" customHeight="1" x14ac:dyDescent="0.25">
      <c r="A11" s="739" t="s">
        <v>437</v>
      </c>
      <c r="B11" s="623"/>
      <c r="C11" s="623"/>
      <c r="D11" s="740"/>
      <c r="E11" s="483"/>
      <c r="F11" s="483"/>
      <c r="G11" s="483"/>
      <c r="H11" s="483"/>
      <c r="I11" s="483"/>
    </row>
    <row r="12" spans="1:11" s="43" customFormat="1" ht="20.25" customHeight="1" x14ac:dyDescent="0.25">
      <c r="A12" s="739" t="s">
        <v>438</v>
      </c>
      <c r="B12" s="623"/>
      <c r="C12" s="623"/>
      <c r="D12" s="740"/>
      <c r="E12" s="483"/>
      <c r="F12" s="483"/>
      <c r="G12" s="483"/>
      <c r="H12" s="483"/>
      <c r="I12" s="483"/>
    </row>
    <row r="13" spans="1:11" s="43" customFormat="1" ht="20.25" customHeight="1" x14ac:dyDescent="0.25">
      <c r="A13" s="739" t="s">
        <v>439</v>
      </c>
      <c r="B13" s="623"/>
      <c r="C13" s="623"/>
      <c r="D13" s="740"/>
      <c r="E13" s="483"/>
      <c r="F13" s="483"/>
      <c r="G13" s="483"/>
      <c r="H13" s="483"/>
      <c r="I13" s="483"/>
    </row>
    <row r="14" spans="1:11" s="43" customFormat="1" ht="20.25" customHeight="1" x14ac:dyDescent="0.25">
      <c r="A14" s="739" t="s">
        <v>440</v>
      </c>
      <c r="B14" s="623"/>
      <c r="C14" s="623"/>
      <c r="D14" s="740"/>
      <c r="E14" s="483"/>
      <c r="F14" s="483"/>
      <c r="G14" s="483"/>
      <c r="H14" s="483"/>
      <c r="I14" s="483"/>
    </row>
    <row r="15" spans="1:11" s="43" customFormat="1" ht="20.25" customHeight="1" x14ac:dyDescent="0.25">
      <c r="A15" s="745" t="s">
        <v>441</v>
      </c>
      <c r="B15" s="634"/>
      <c r="C15" s="634"/>
      <c r="D15" s="746"/>
      <c r="E15" s="483"/>
      <c r="F15" s="483"/>
    </row>
    <row r="16" spans="1:11" ht="50.25" customHeight="1" x14ac:dyDescent="0.25">
      <c r="A16" s="105" t="s">
        <v>442</v>
      </c>
      <c r="B16" s="104" t="str">
        <f>下拉用!$J$5</f>
        <v>年月日時分</v>
      </c>
      <c r="C16" s="103" t="s">
        <v>443</v>
      </c>
      <c r="D16" s="102" t="str">
        <f>輸入!$C$7</f>
        <v>臺北市信義區吳興街206號</v>
      </c>
      <c r="E16" s="478"/>
    </row>
    <row r="17" spans="1:4" ht="69" customHeight="1" x14ac:dyDescent="0.25">
      <c r="A17" s="99" t="s">
        <v>444</v>
      </c>
      <c r="B17" s="744" t="s">
        <v>445</v>
      </c>
      <c r="C17" s="625"/>
      <c r="D17" s="742"/>
    </row>
    <row r="18" spans="1:4" ht="121.5" customHeight="1" x14ac:dyDescent="0.25">
      <c r="A18" s="99" t="s">
        <v>446</v>
      </c>
      <c r="B18" s="744" t="s">
        <v>447</v>
      </c>
      <c r="C18" s="625"/>
      <c r="D18" s="742"/>
    </row>
    <row r="19" spans="1:4" ht="41.25" customHeight="1" x14ac:dyDescent="0.25">
      <c r="A19" s="99" t="s">
        <v>448</v>
      </c>
      <c r="B19" s="101" t="str">
        <f>word用!$H$2</f>
        <v>顏文祥</v>
      </c>
      <c r="C19" s="97" t="s">
        <v>449</v>
      </c>
      <c r="D19" s="100"/>
    </row>
    <row r="20" spans="1:4" ht="41.25" customHeight="1" x14ac:dyDescent="0.25">
      <c r="A20" s="96" t="s">
        <v>450</v>
      </c>
      <c r="B20" s="741" t="str">
        <f>下拉用!$J$5</f>
        <v>年月日時分</v>
      </c>
      <c r="C20" s="625"/>
      <c r="D20" s="742"/>
    </row>
    <row r="21" spans="1:4" ht="41.25" customHeight="1" x14ac:dyDescent="0.25">
      <c r="A21" s="99" t="s">
        <v>451</v>
      </c>
      <c r="B21" s="98"/>
      <c r="C21" s="97" t="s">
        <v>283</v>
      </c>
      <c r="D21" s="417" t="str">
        <f>輸入!$T$21</f>
        <v>(02)27398997</v>
      </c>
    </row>
    <row r="22" spans="1:4" ht="41.25" customHeight="1" thickBot="1" x14ac:dyDescent="0.3">
      <c r="A22" s="96" t="s">
        <v>452</v>
      </c>
      <c r="B22" s="743" t="str">
        <f>CONCATENATE(輸入!$S$18,輸入!$T$18,輸入!$S$19,輸入!$T$19,輸入!$S$20,輸入!$T$20)</f>
        <v>臺北市政府警察局信義分局吳興街派出所</v>
      </c>
      <c r="C22" s="623"/>
      <c r="D22" s="740"/>
    </row>
    <row r="23" spans="1:4" ht="41.25" customHeight="1" x14ac:dyDescent="0.25">
      <c r="A23" s="737" t="s">
        <v>453</v>
      </c>
      <c r="B23" s="738"/>
      <c r="C23" s="738"/>
      <c r="D23" s="738"/>
    </row>
    <row r="24" spans="1:4" ht="39.75" customHeight="1" x14ac:dyDescent="0.25"/>
  </sheetData>
  <mergeCells count="18">
    <mergeCell ref="A1:D1"/>
    <mergeCell ref="A2:D4"/>
    <mergeCell ref="A23:D23"/>
    <mergeCell ref="A9:D9"/>
    <mergeCell ref="A5:D5"/>
    <mergeCell ref="A8:D8"/>
    <mergeCell ref="A6:D6"/>
    <mergeCell ref="B20:D20"/>
    <mergeCell ref="A12:D12"/>
    <mergeCell ref="B22:D22"/>
    <mergeCell ref="B17:D17"/>
    <mergeCell ref="A15:D15"/>
    <mergeCell ref="B18:D18"/>
    <mergeCell ref="A7:D7"/>
    <mergeCell ref="A11:D11"/>
    <mergeCell ref="A10:D10"/>
    <mergeCell ref="A13:D13"/>
    <mergeCell ref="A14:D14"/>
  </mergeCells>
  <phoneticPr fontId="1" type="noConversion"/>
  <pageMargins left="0.23809523809523811" right="0.1785714285714286"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12">
    <tabColor rgb="FFFF0000"/>
  </sheetPr>
  <dimension ref="A1:K25"/>
  <sheetViews>
    <sheetView showGridLines="0" showWhiteSpace="0" view="pageBreakPreview" topLeftCell="A13" zoomScaleNormal="100" zoomScaleSheetLayoutView="100" zoomScalePageLayoutView="40" workbookViewId="0">
      <selection activeCell="B21" sqref="B21"/>
    </sheetView>
  </sheetViews>
  <sheetFormatPr defaultRowHeight="16.5" x14ac:dyDescent="0.25"/>
  <cols>
    <col min="1" max="4" width="24.75" style="545" customWidth="1"/>
    <col min="5" max="6" width="8.625" style="545" customWidth="1"/>
    <col min="9" max="9" width="9.75" style="545" customWidth="1"/>
  </cols>
  <sheetData>
    <row r="1" spans="1:11" ht="51" customHeight="1" x14ac:dyDescent="0.25">
      <c r="A1" s="747" t="str">
        <f>CONCATENATE(,輸入!$S$18,輸入!$T$18,輸入!$S$19,輸入!$T$19,"執行逮捕、拘禁告知親友通知書")</f>
        <v>臺北市政府警察局信義分局執行逮捕、拘禁告知親友通知書</v>
      </c>
      <c r="B1" s="748"/>
      <c r="C1" s="748"/>
      <c r="D1" s="749"/>
      <c r="E1" s="106"/>
      <c r="F1" s="106"/>
      <c r="G1" s="106"/>
      <c r="H1" s="106"/>
      <c r="I1" s="106"/>
    </row>
    <row r="2" spans="1:11" ht="27" customHeight="1" x14ac:dyDescent="0.25">
      <c r="A2" s="750" t="str">
        <f>CONCATENATE((word用!$H$2),IF(word用!$R$2="男"," 先生"," 女士"),"因涉 ",呈報單!$G$15," 案件，經",輸入!$S$18,輸入!$T$18,輸入!$S$19,輸入!$T$19,"，依下列法律之規定逮捕或拘禁，特此通知：")</f>
        <v>顏文祥 先生因涉 毀損 案件，經臺北市政府警察局信義分局，依下列法律之規定逮捕或拘禁，特此通知：</v>
      </c>
      <c r="B2" s="628"/>
      <c r="C2" s="628"/>
      <c r="D2" s="751"/>
      <c r="E2" s="483"/>
      <c r="F2" s="483"/>
      <c r="G2" s="483"/>
      <c r="H2" s="483"/>
      <c r="I2" s="483"/>
      <c r="J2" s="483"/>
      <c r="K2" s="483"/>
    </row>
    <row r="3" spans="1:11" ht="12" customHeight="1" x14ac:dyDescent="0.25">
      <c r="A3" s="752"/>
      <c r="B3" s="623"/>
      <c r="C3" s="623"/>
      <c r="D3" s="740"/>
      <c r="E3" s="483"/>
      <c r="F3" s="483"/>
      <c r="G3" s="483"/>
      <c r="H3" s="483"/>
      <c r="I3" s="483"/>
      <c r="J3" s="483"/>
      <c r="K3" s="483"/>
    </row>
    <row r="4" spans="1:11" ht="15" customHeight="1" x14ac:dyDescent="0.25">
      <c r="A4" s="752"/>
      <c r="B4" s="623"/>
      <c r="C4" s="623"/>
      <c r="D4" s="740"/>
      <c r="E4" s="483"/>
      <c r="F4" s="483"/>
      <c r="G4" s="483"/>
      <c r="H4" s="483"/>
      <c r="I4" s="483"/>
      <c r="J4" s="483"/>
      <c r="K4" s="483"/>
    </row>
    <row r="5" spans="1:11" s="43" customFormat="1" ht="20.25" customHeight="1" x14ac:dyDescent="0.25">
      <c r="A5" s="739" t="s">
        <v>433</v>
      </c>
      <c r="B5" s="623"/>
      <c r="C5" s="623"/>
      <c r="D5" s="740"/>
      <c r="E5" s="483"/>
      <c r="F5" s="483"/>
      <c r="G5" s="483"/>
      <c r="H5" s="483"/>
      <c r="I5" s="483"/>
    </row>
    <row r="6" spans="1:11" s="43" customFormat="1" ht="20.25" customHeight="1" x14ac:dyDescent="0.25">
      <c r="A6" s="739" t="s">
        <v>434</v>
      </c>
      <c r="B6" s="623"/>
      <c r="C6" s="623"/>
      <c r="D6" s="740"/>
      <c r="E6" s="483"/>
      <c r="F6" s="483"/>
      <c r="G6" s="483"/>
      <c r="H6" s="483"/>
      <c r="I6" s="483"/>
    </row>
    <row r="7" spans="1:11" s="43" customFormat="1" ht="20.25" customHeight="1" x14ac:dyDescent="0.25">
      <c r="A7" s="739" t="str">
        <f>IF(輸入!$C$2="通緝","■依刑事訴訟法第八十七條規定，因通緝而拘提或逕行逮捕。","□依刑事訴訟法第八十七條規定，因通緝而拘提或逕行逮捕。")</f>
        <v>□依刑事訴訟法第八十七條規定，因通緝而拘提或逕行逮捕。</v>
      </c>
      <c r="B7" s="623"/>
      <c r="C7" s="623"/>
      <c r="D7" s="740"/>
      <c r="E7" s="483"/>
      <c r="F7" s="483"/>
      <c r="G7" s="483"/>
      <c r="H7" s="483"/>
      <c r="I7" s="483"/>
    </row>
    <row r="8" spans="1:11" s="43" customFormat="1" ht="20.25" customHeight="1" x14ac:dyDescent="0.25">
      <c r="A8" s="739" t="str">
        <f>IF(輸入!$C$2="通緝","□依刑事訴訟法第八十八條規定，因屬現行犯而逕行逮捕。","■依刑事訴訟法第八十八條規定，因屬現行犯而逕行逮捕。")</f>
        <v>■依刑事訴訟法第八十八條規定，因屬現行犯而逕行逮捕。</v>
      </c>
      <c r="B8" s="623"/>
      <c r="C8" s="623"/>
      <c r="D8" s="740"/>
      <c r="E8" s="483"/>
      <c r="F8" s="483"/>
      <c r="G8" s="483"/>
      <c r="H8" s="483"/>
      <c r="I8" s="483"/>
    </row>
    <row r="9" spans="1:11" s="43" customFormat="1" ht="20.25" customHeight="1" x14ac:dyDescent="0.25">
      <c r="A9" s="739" t="s">
        <v>435</v>
      </c>
      <c r="B9" s="623"/>
      <c r="C9" s="623"/>
      <c r="D9" s="740"/>
      <c r="E9" s="483"/>
      <c r="F9" s="483"/>
      <c r="G9" s="483"/>
      <c r="H9" s="483"/>
      <c r="I9" s="483"/>
    </row>
    <row r="10" spans="1:11" s="43" customFormat="1" ht="20.25" customHeight="1" x14ac:dyDescent="0.25">
      <c r="A10" s="739" t="s">
        <v>436</v>
      </c>
      <c r="B10" s="623"/>
      <c r="C10" s="623"/>
      <c r="D10" s="740"/>
      <c r="E10" s="483"/>
      <c r="F10" s="483"/>
      <c r="G10" s="483"/>
      <c r="H10" s="483"/>
      <c r="I10" s="483"/>
      <c r="J10" s="483"/>
    </row>
    <row r="11" spans="1:11" s="43" customFormat="1" ht="20.25" customHeight="1" x14ac:dyDescent="0.25">
      <c r="A11" s="739" t="s">
        <v>437</v>
      </c>
      <c r="B11" s="623"/>
      <c r="C11" s="623"/>
      <c r="D11" s="740"/>
      <c r="E11" s="483"/>
      <c r="F11" s="483"/>
      <c r="G11" s="483"/>
      <c r="H11" s="483"/>
      <c r="I11" s="483"/>
    </row>
    <row r="12" spans="1:11" s="43" customFormat="1" ht="20.25" customHeight="1" x14ac:dyDescent="0.25">
      <c r="A12" s="739" t="s">
        <v>438</v>
      </c>
      <c r="B12" s="623"/>
      <c r="C12" s="623"/>
      <c r="D12" s="740"/>
      <c r="E12" s="483"/>
      <c r="F12" s="483"/>
      <c r="G12" s="483"/>
      <c r="H12" s="483"/>
      <c r="I12" s="483"/>
    </row>
    <row r="13" spans="1:11" s="43" customFormat="1" ht="20.25" customHeight="1" x14ac:dyDescent="0.25">
      <c r="A13" s="739" t="s">
        <v>439</v>
      </c>
      <c r="B13" s="623"/>
      <c r="C13" s="623"/>
      <c r="D13" s="740"/>
      <c r="E13" s="483"/>
      <c r="F13" s="483"/>
      <c r="G13" s="483"/>
      <c r="H13" s="483"/>
      <c r="I13" s="483"/>
    </row>
    <row r="14" spans="1:11" s="43" customFormat="1" ht="20.25" customHeight="1" x14ac:dyDescent="0.25">
      <c r="A14" s="739" t="s">
        <v>440</v>
      </c>
      <c r="B14" s="623"/>
      <c r="C14" s="623"/>
      <c r="D14" s="740"/>
      <c r="E14" s="483"/>
      <c r="F14" s="483"/>
      <c r="G14" s="483"/>
      <c r="H14" s="483"/>
      <c r="I14" s="483"/>
    </row>
    <row r="15" spans="1:11" s="43" customFormat="1" ht="20.25" customHeight="1" x14ac:dyDescent="0.25">
      <c r="A15" s="745" t="s">
        <v>441</v>
      </c>
      <c r="B15" s="634"/>
      <c r="C15" s="634"/>
      <c r="D15" s="746"/>
      <c r="E15" s="483"/>
      <c r="F15" s="483"/>
    </row>
    <row r="16" spans="1:11" ht="50.25" customHeight="1" x14ac:dyDescent="0.25">
      <c r="A16" s="105" t="s">
        <v>442</v>
      </c>
      <c r="B16" s="104" t="str">
        <f>下拉用!$J$5</f>
        <v>年月日時分</v>
      </c>
      <c r="C16" s="103" t="s">
        <v>443</v>
      </c>
      <c r="D16" s="102" t="str">
        <f>輸入!$C$7</f>
        <v>臺北市信義區吳興街206號</v>
      </c>
      <c r="E16" s="478"/>
    </row>
    <row r="17" spans="1:4" ht="68.25" customHeight="1" x14ac:dyDescent="0.25">
      <c r="A17" s="99" t="s">
        <v>444</v>
      </c>
      <c r="B17" s="744" t="s">
        <v>445</v>
      </c>
      <c r="C17" s="625"/>
      <c r="D17" s="742"/>
    </row>
    <row r="18" spans="1:4" ht="122.25" customHeight="1" x14ac:dyDescent="0.25">
      <c r="A18" s="99" t="s">
        <v>446</v>
      </c>
      <c r="B18" s="744" t="s">
        <v>447</v>
      </c>
      <c r="C18" s="625"/>
      <c r="D18" s="742"/>
    </row>
    <row r="19" spans="1:4" ht="41.25" customHeight="1" x14ac:dyDescent="0.25">
      <c r="A19" s="99" t="s">
        <v>448</v>
      </c>
      <c r="B19" s="101"/>
      <c r="C19" s="97" t="s">
        <v>449</v>
      </c>
      <c r="D19" s="100"/>
    </row>
    <row r="20" spans="1:4" ht="41.25" customHeight="1" x14ac:dyDescent="0.25">
      <c r="A20" s="96" t="s">
        <v>450</v>
      </c>
      <c r="B20" s="741" t="str">
        <f>下拉用!$J$5</f>
        <v>年月日時分</v>
      </c>
      <c r="C20" s="625"/>
      <c r="D20" s="742"/>
    </row>
    <row r="21" spans="1:4" ht="41.25" customHeight="1" x14ac:dyDescent="0.25">
      <c r="A21" s="99" t="s">
        <v>451</v>
      </c>
      <c r="B21" s="98"/>
      <c r="C21" s="97" t="s">
        <v>283</v>
      </c>
      <c r="D21" s="417" t="str">
        <f>輸入!$T$21</f>
        <v>(02)27398997</v>
      </c>
    </row>
    <row r="22" spans="1:4" ht="41.25" customHeight="1" thickBot="1" x14ac:dyDescent="0.3">
      <c r="A22" s="107" t="s">
        <v>452</v>
      </c>
      <c r="B22" s="753" t="str">
        <f>CONCATENATE(輸入!$S$18,輸入!$T$18,輸入!$S$19,輸入!$T$19,輸入!$S$20,輸入!$T$20)</f>
        <v>臺北市政府警察局信義分局吳興街派出所</v>
      </c>
      <c r="C22" s="754"/>
      <c r="D22" s="755"/>
    </row>
    <row r="23" spans="1:4" ht="41.25" customHeight="1" x14ac:dyDescent="0.25">
      <c r="A23" s="737" t="s">
        <v>453</v>
      </c>
      <c r="B23" s="738"/>
      <c r="C23" s="738"/>
      <c r="D23" s="738"/>
    </row>
    <row r="24" spans="1:4" ht="41.25" customHeight="1" x14ac:dyDescent="0.25"/>
    <row r="25" spans="1:4" ht="39.75" customHeight="1" x14ac:dyDescent="0.25">
      <c r="A25" s="6"/>
      <c r="B25" s="6"/>
      <c r="C25" s="6"/>
      <c r="D25" s="6"/>
    </row>
  </sheetData>
  <mergeCells count="18">
    <mergeCell ref="A1:D1"/>
    <mergeCell ref="A2:D4"/>
    <mergeCell ref="A23:D23"/>
    <mergeCell ref="A9:D9"/>
    <mergeCell ref="A5:D5"/>
    <mergeCell ref="A8:D8"/>
    <mergeCell ref="A6:D6"/>
    <mergeCell ref="B20:D20"/>
    <mergeCell ref="A12:D12"/>
    <mergeCell ref="B22:D22"/>
    <mergeCell ref="B17:D17"/>
    <mergeCell ref="B18:D18"/>
    <mergeCell ref="A15:D15"/>
    <mergeCell ref="A7:D7"/>
    <mergeCell ref="A11:D11"/>
    <mergeCell ref="A10:D10"/>
    <mergeCell ref="A13:D13"/>
    <mergeCell ref="A14:D14"/>
  </mergeCells>
  <phoneticPr fontId="1" type="noConversion"/>
  <pageMargins left="0.2232142857142857" right="0.19345238095238099"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13">
    <tabColor rgb="FFFF0000"/>
  </sheetPr>
  <dimension ref="A1:AJ23"/>
  <sheetViews>
    <sheetView showGridLines="0" view="pageBreakPreview" zoomScale="115" zoomScaleNormal="85" zoomScaleSheetLayoutView="115" workbookViewId="0">
      <selection activeCell="A22" sqref="A22:X22"/>
    </sheetView>
  </sheetViews>
  <sheetFormatPr defaultRowHeight="16.5" x14ac:dyDescent="0.25"/>
  <cols>
    <col min="1" max="36" width="3.5" style="545" customWidth="1"/>
  </cols>
  <sheetData>
    <row r="1" spans="1:24" ht="50.25" customHeight="1" x14ac:dyDescent="0.25">
      <c r="A1" s="756" t="s">
        <v>454</v>
      </c>
      <c r="B1" s="681"/>
      <c r="C1" s="681"/>
      <c r="D1" s="681"/>
      <c r="E1" s="681"/>
      <c r="F1" s="681"/>
      <c r="G1" s="681"/>
      <c r="H1" s="681"/>
      <c r="I1" s="681"/>
      <c r="J1" s="681"/>
      <c r="K1" s="681"/>
      <c r="L1" s="681"/>
      <c r="M1" s="681"/>
      <c r="N1" s="681"/>
      <c r="O1" s="681"/>
      <c r="P1" s="681"/>
      <c r="Q1" s="681"/>
      <c r="R1" s="681"/>
      <c r="S1" s="681"/>
      <c r="T1" s="681"/>
      <c r="U1" s="681"/>
      <c r="V1" s="681"/>
      <c r="W1" s="681"/>
      <c r="X1" s="681"/>
    </row>
    <row r="2" spans="1:24" ht="20.25" customHeight="1" x14ac:dyDescent="0.25">
      <c r="A2" s="114"/>
    </row>
    <row r="3" spans="1:24" ht="27.75" customHeight="1" x14ac:dyDescent="0.25">
      <c r="A3" s="757" t="str">
        <f>CONCATENATE((word用!$H$2),IF(word用!$R$2="男","  先生","  女士"))</f>
        <v>顏文祥  先生</v>
      </c>
      <c r="B3" s="681"/>
      <c r="C3" s="681"/>
      <c r="D3" s="681"/>
      <c r="E3" s="681"/>
      <c r="F3" s="681"/>
      <c r="G3" s="681"/>
      <c r="H3" s="681"/>
      <c r="I3" s="681"/>
    </row>
    <row r="4" spans="1:24" ht="27.75" customHeight="1" x14ac:dyDescent="0.25">
      <c r="A4" s="681"/>
      <c r="B4" s="681"/>
      <c r="C4" s="681"/>
      <c r="D4" s="681"/>
      <c r="E4" s="681"/>
      <c r="F4" s="681"/>
      <c r="G4" s="681"/>
      <c r="H4" s="681"/>
      <c r="I4" s="681"/>
    </row>
    <row r="5" spans="1:24" ht="11.25" customHeight="1" x14ac:dyDescent="0.25">
      <c r="A5" s="113"/>
    </row>
    <row r="6" spans="1:24" s="112" customFormat="1" ht="41.25" customHeight="1" x14ac:dyDescent="0.25">
      <c r="A6" s="760" t="str">
        <f>CONCATENATE("　　臺端因涉嫌 ",呈報單!$G$15," 等罪名，","於 民國",下拉用!$J$5," 在 ",輸入!$C$7," 為本分局員警逮(拘)捕必須接受偵訊，依提審法第1條：")</f>
        <v>　　臺端因涉嫌 毀損 等罪名，於 民國年月日時分 在 臺北市信義區吳興街206號 為本分局員警逮(拘)捕必須接受偵訊，依提審法第1條：</v>
      </c>
      <c r="B6" s="762"/>
      <c r="C6" s="762"/>
      <c r="D6" s="762"/>
      <c r="E6" s="762"/>
      <c r="F6" s="762"/>
      <c r="G6" s="762"/>
      <c r="H6" s="762"/>
      <c r="I6" s="762"/>
      <c r="J6" s="762"/>
      <c r="K6" s="762"/>
      <c r="L6" s="762"/>
      <c r="M6" s="762"/>
      <c r="N6" s="762"/>
      <c r="O6" s="762"/>
      <c r="P6" s="762"/>
      <c r="Q6" s="762"/>
      <c r="R6" s="762"/>
      <c r="S6" s="762"/>
      <c r="T6" s="762"/>
      <c r="U6" s="762"/>
      <c r="V6" s="762"/>
      <c r="W6" s="762"/>
      <c r="X6" s="762"/>
    </row>
    <row r="7" spans="1:24" s="112" customFormat="1" ht="41.25" customHeight="1" x14ac:dyDescent="0.25">
      <c r="A7" s="762"/>
      <c r="B7" s="762"/>
      <c r="C7" s="762"/>
      <c r="D7" s="762"/>
      <c r="E7" s="762"/>
      <c r="F7" s="762"/>
      <c r="G7" s="762"/>
      <c r="H7" s="762"/>
      <c r="I7" s="762"/>
      <c r="J7" s="762"/>
      <c r="K7" s="762"/>
      <c r="L7" s="762"/>
      <c r="M7" s="762"/>
      <c r="N7" s="762"/>
      <c r="O7" s="762"/>
      <c r="P7" s="762"/>
      <c r="Q7" s="762"/>
      <c r="R7" s="762"/>
      <c r="S7" s="762"/>
      <c r="T7" s="762"/>
      <c r="U7" s="762"/>
      <c r="V7" s="762"/>
      <c r="W7" s="762"/>
      <c r="X7" s="762"/>
    </row>
    <row r="8" spans="1:24" s="112" customFormat="1" ht="41.25" customHeight="1" x14ac:dyDescent="0.25">
      <c r="A8" s="762"/>
      <c r="B8" s="762"/>
      <c r="C8" s="762"/>
      <c r="D8" s="762"/>
      <c r="E8" s="762"/>
      <c r="F8" s="762"/>
      <c r="G8" s="762"/>
      <c r="H8" s="762"/>
      <c r="I8" s="762"/>
      <c r="J8" s="762"/>
      <c r="K8" s="762"/>
      <c r="L8" s="762"/>
      <c r="M8" s="762"/>
      <c r="N8" s="762"/>
      <c r="O8" s="762"/>
      <c r="P8" s="762"/>
      <c r="Q8" s="762"/>
      <c r="R8" s="762"/>
      <c r="S8" s="762"/>
      <c r="T8" s="762"/>
      <c r="U8" s="762"/>
      <c r="V8" s="762"/>
      <c r="W8" s="762"/>
      <c r="X8" s="762"/>
    </row>
    <row r="9" spans="1:24" s="112" customFormat="1" ht="41.25" customHeight="1" x14ac:dyDescent="0.25">
      <c r="A9" s="762"/>
      <c r="B9" s="762"/>
      <c r="C9" s="762"/>
      <c r="D9" s="762"/>
      <c r="E9" s="762"/>
      <c r="F9" s="762"/>
      <c r="G9" s="762"/>
      <c r="H9" s="762"/>
      <c r="I9" s="762"/>
      <c r="J9" s="762"/>
      <c r="K9" s="762"/>
      <c r="L9" s="762"/>
      <c r="M9" s="762"/>
      <c r="N9" s="762"/>
      <c r="O9" s="762"/>
      <c r="P9" s="762"/>
      <c r="Q9" s="762"/>
      <c r="R9" s="762"/>
      <c r="S9" s="762"/>
      <c r="T9" s="762"/>
      <c r="U9" s="762"/>
      <c r="V9" s="762"/>
      <c r="W9" s="762"/>
      <c r="X9" s="762"/>
    </row>
    <row r="10" spans="1:24" s="110" customFormat="1" ht="12.75" customHeight="1" x14ac:dyDescent="0.25">
      <c r="A10" s="111"/>
      <c r="B10" s="111"/>
      <c r="C10" s="111"/>
      <c r="D10" s="111"/>
      <c r="E10" s="111"/>
      <c r="F10" s="111"/>
      <c r="G10" s="111"/>
      <c r="H10" s="111"/>
      <c r="I10" s="111"/>
      <c r="J10" s="111"/>
      <c r="K10" s="111"/>
      <c r="L10" s="111"/>
      <c r="M10" s="111"/>
      <c r="N10" s="111"/>
      <c r="O10" s="111"/>
      <c r="P10" s="111"/>
      <c r="Q10" s="111"/>
      <c r="R10" s="111"/>
      <c r="S10" s="111"/>
      <c r="T10" s="111"/>
      <c r="U10" s="111"/>
      <c r="V10" s="111"/>
      <c r="W10" s="111"/>
      <c r="X10" s="111"/>
    </row>
    <row r="11" spans="1:24" s="110" customFormat="1" ht="55.5" customHeight="1" x14ac:dyDescent="0.25">
      <c r="A11" s="760" t="s">
        <v>455</v>
      </c>
      <c r="B11" s="761"/>
      <c r="C11" s="761"/>
      <c r="D11" s="761"/>
      <c r="E11" s="761"/>
      <c r="F11" s="761"/>
      <c r="G11" s="761"/>
      <c r="H11" s="761"/>
      <c r="I11" s="761"/>
      <c r="J11" s="761"/>
      <c r="K11" s="761"/>
      <c r="L11" s="761"/>
      <c r="M11" s="761"/>
      <c r="N11" s="761"/>
      <c r="O11" s="761"/>
      <c r="P11" s="761"/>
      <c r="Q11" s="761"/>
      <c r="R11" s="761"/>
      <c r="S11" s="761"/>
      <c r="T11" s="761"/>
      <c r="U11" s="761"/>
      <c r="V11" s="761"/>
      <c r="W11" s="761"/>
      <c r="X11" s="761"/>
    </row>
    <row r="12" spans="1:24" s="110" customFormat="1" ht="55.5" customHeight="1" x14ac:dyDescent="0.25">
      <c r="A12" s="761"/>
      <c r="B12" s="761"/>
      <c r="C12" s="761"/>
      <c r="D12" s="761"/>
      <c r="E12" s="761"/>
      <c r="F12" s="761"/>
      <c r="G12" s="761"/>
      <c r="H12" s="761"/>
      <c r="I12" s="761"/>
      <c r="J12" s="761"/>
      <c r="K12" s="761"/>
      <c r="L12" s="761"/>
      <c r="M12" s="761"/>
      <c r="N12" s="761"/>
      <c r="O12" s="761"/>
      <c r="P12" s="761"/>
      <c r="Q12" s="761"/>
      <c r="R12" s="761"/>
      <c r="S12" s="761"/>
      <c r="T12" s="761"/>
      <c r="U12" s="761"/>
      <c r="V12" s="761"/>
      <c r="W12" s="761"/>
      <c r="X12" s="761"/>
    </row>
    <row r="13" spans="1:24" s="110" customFormat="1" ht="55.5" customHeight="1" x14ac:dyDescent="0.25">
      <c r="A13" s="761"/>
      <c r="B13" s="761"/>
      <c r="C13" s="761"/>
      <c r="D13" s="761"/>
      <c r="E13" s="761"/>
      <c r="F13" s="761"/>
      <c r="G13" s="761"/>
      <c r="H13" s="761"/>
      <c r="I13" s="761"/>
      <c r="J13" s="761"/>
      <c r="K13" s="761"/>
      <c r="L13" s="761"/>
      <c r="M13" s="761"/>
      <c r="N13" s="761"/>
      <c r="O13" s="761"/>
      <c r="P13" s="761"/>
      <c r="Q13" s="761"/>
      <c r="R13" s="761"/>
      <c r="S13" s="761"/>
      <c r="T13" s="761"/>
      <c r="U13" s="761"/>
      <c r="V13" s="761"/>
      <c r="W13" s="761"/>
      <c r="X13" s="761"/>
    </row>
    <row r="14" spans="1:24" s="110" customFormat="1" ht="6.75" customHeight="1" x14ac:dyDescent="0.25">
      <c r="A14" s="476"/>
      <c r="B14" s="476"/>
      <c r="C14" s="476"/>
      <c r="D14" s="476"/>
      <c r="E14" s="476"/>
      <c r="F14" s="476"/>
      <c r="G14" s="476"/>
      <c r="H14" s="476"/>
      <c r="I14" s="476"/>
      <c r="J14" s="476"/>
      <c r="K14" s="476"/>
      <c r="L14" s="476"/>
      <c r="M14" s="476"/>
      <c r="N14" s="476"/>
      <c r="O14" s="476"/>
      <c r="P14" s="476"/>
      <c r="Q14" s="476"/>
      <c r="R14" s="476"/>
      <c r="S14" s="476"/>
      <c r="T14" s="476"/>
      <c r="U14" s="476"/>
      <c r="V14" s="476"/>
      <c r="W14" s="476"/>
      <c r="X14" s="476"/>
    </row>
    <row r="15" spans="1:24" s="110" customFormat="1" ht="41.25" customHeight="1" x14ac:dyDescent="0.25">
      <c r="A15" s="758" t="s">
        <v>456</v>
      </c>
      <c r="B15" s="761"/>
      <c r="C15" s="761"/>
      <c r="D15" s="761"/>
      <c r="E15" s="761"/>
      <c r="F15" s="761"/>
      <c r="G15" s="761"/>
      <c r="H15" s="761"/>
      <c r="I15" s="761"/>
      <c r="J15" s="761"/>
      <c r="K15" s="761"/>
      <c r="L15" s="761"/>
      <c r="M15" s="761"/>
      <c r="N15" s="761"/>
      <c r="O15" s="761"/>
      <c r="P15" s="761"/>
      <c r="Q15" s="761"/>
      <c r="R15" s="761"/>
      <c r="S15" s="761"/>
      <c r="T15" s="761"/>
      <c r="U15" s="761"/>
      <c r="V15" s="761"/>
      <c r="W15" s="761"/>
      <c r="X15" s="761"/>
    </row>
    <row r="16" spans="1:24" ht="41.25" customHeight="1" x14ac:dyDescent="0.25">
      <c r="A16" s="759" t="s">
        <v>457</v>
      </c>
      <c r="B16" s="681"/>
      <c r="C16" s="681"/>
      <c r="D16" s="681"/>
      <c r="E16" s="681"/>
      <c r="F16" s="681"/>
      <c r="G16" s="681"/>
      <c r="H16" s="681"/>
      <c r="I16" s="681"/>
      <c r="J16" s="681"/>
      <c r="K16" s="681"/>
      <c r="L16" s="681"/>
      <c r="M16" s="681"/>
      <c r="N16" s="681"/>
      <c r="O16" s="681"/>
      <c r="P16" s="681"/>
      <c r="Q16" s="681"/>
      <c r="R16" s="681"/>
      <c r="S16" s="681"/>
      <c r="T16" s="681"/>
      <c r="U16" s="681"/>
      <c r="V16" s="681"/>
      <c r="W16" s="681"/>
      <c r="X16" s="681"/>
    </row>
    <row r="17" spans="1:24" ht="41.25" customHeight="1" x14ac:dyDescent="0.25">
      <c r="A17" s="759" t="s">
        <v>458</v>
      </c>
      <c r="B17" s="681"/>
      <c r="C17" s="681"/>
      <c r="D17" s="681"/>
      <c r="E17" s="681"/>
      <c r="F17" s="681"/>
      <c r="G17" s="681"/>
      <c r="H17" s="681"/>
      <c r="I17" s="681"/>
      <c r="J17" s="681"/>
      <c r="K17" s="681"/>
      <c r="L17" s="681"/>
      <c r="M17" s="681"/>
      <c r="N17" s="681"/>
      <c r="O17" s="681"/>
      <c r="P17" s="681"/>
      <c r="Q17" s="681"/>
      <c r="R17" s="681"/>
      <c r="S17" s="681"/>
      <c r="T17" s="681"/>
      <c r="U17" s="681"/>
      <c r="V17" s="681"/>
      <c r="W17" s="681"/>
      <c r="X17" s="681"/>
    </row>
    <row r="18" spans="1:24" ht="35.25" customHeight="1" x14ac:dyDescent="0.25">
      <c r="A18" s="759" t="s">
        <v>459</v>
      </c>
      <c r="B18" s="681"/>
      <c r="C18" s="681"/>
      <c r="D18" s="681"/>
      <c r="E18" s="681"/>
      <c r="F18" s="681"/>
      <c r="G18" s="681"/>
      <c r="H18" s="681"/>
      <c r="I18" s="681"/>
      <c r="J18" s="681"/>
      <c r="K18" s="681"/>
      <c r="L18" s="681"/>
      <c r="M18" s="681"/>
      <c r="N18" s="681"/>
      <c r="O18" s="681"/>
      <c r="P18" s="681"/>
      <c r="Q18" s="681"/>
      <c r="R18" s="681"/>
      <c r="S18" s="681"/>
      <c r="T18" s="681"/>
      <c r="U18" s="681"/>
      <c r="V18" s="681"/>
      <c r="W18" s="681"/>
      <c r="X18" s="681"/>
    </row>
    <row r="19" spans="1:24" ht="35.25" customHeight="1" x14ac:dyDescent="0.25">
      <c r="A19" s="763" t="s">
        <v>460</v>
      </c>
      <c r="B19" s="681"/>
      <c r="C19" s="681"/>
      <c r="D19" s="681"/>
      <c r="E19" s="681"/>
      <c r="F19" s="681"/>
      <c r="G19" s="681"/>
      <c r="H19" s="681"/>
      <c r="I19" s="681"/>
      <c r="J19" s="681"/>
      <c r="K19" s="681"/>
      <c r="L19" s="681"/>
      <c r="M19" s="681"/>
      <c r="N19" s="681"/>
      <c r="O19" s="681"/>
      <c r="P19" s="681"/>
      <c r="Q19" s="681"/>
      <c r="R19" s="681"/>
      <c r="S19" s="681"/>
      <c r="T19" s="681"/>
      <c r="U19" s="681"/>
      <c r="V19" s="681"/>
      <c r="W19" s="681"/>
      <c r="X19" s="681"/>
    </row>
    <row r="20" spans="1:24" ht="35.25" customHeight="1" x14ac:dyDescent="0.25">
      <c r="A20" s="758" t="s">
        <v>461</v>
      </c>
      <c r="B20" s="681"/>
      <c r="C20" s="681"/>
      <c r="D20" s="681"/>
      <c r="E20" s="681"/>
      <c r="F20" s="681"/>
      <c r="G20" s="681"/>
      <c r="H20" s="681"/>
      <c r="I20" s="681"/>
      <c r="J20" s="681"/>
      <c r="K20" s="681"/>
      <c r="L20" s="681"/>
      <c r="M20" s="681"/>
      <c r="N20" s="681"/>
      <c r="O20" s="681"/>
      <c r="P20" s="681"/>
      <c r="Q20" s="681"/>
      <c r="R20" s="681"/>
      <c r="S20" s="681"/>
      <c r="T20" s="681"/>
      <c r="U20" s="681"/>
      <c r="V20" s="681"/>
      <c r="W20" s="681"/>
      <c r="X20" s="681"/>
    </row>
    <row r="21" spans="1:24" ht="13.5" customHeight="1" x14ac:dyDescent="0.25">
      <c r="A21" s="109"/>
    </row>
    <row r="22" spans="1:24" ht="39" customHeight="1" x14ac:dyDescent="0.25">
      <c r="A22" s="758" t="str">
        <f>CONCATENATE("　　告知時間:",下拉用!$J$5,"")</f>
        <v>　　告知時間:年月日時分</v>
      </c>
      <c r="B22" s="681"/>
      <c r="C22" s="681"/>
      <c r="D22" s="681"/>
      <c r="E22" s="681"/>
      <c r="F22" s="681"/>
      <c r="G22" s="681"/>
      <c r="H22" s="681"/>
      <c r="I22" s="681"/>
      <c r="J22" s="681"/>
      <c r="K22" s="681"/>
      <c r="L22" s="681"/>
      <c r="M22" s="681"/>
      <c r="N22" s="681"/>
      <c r="O22" s="681"/>
      <c r="P22" s="681"/>
      <c r="Q22" s="681"/>
      <c r="R22" s="681"/>
      <c r="S22" s="681"/>
      <c r="T22" s="681"/>
      <c r="U22" s="681"/>
      <c r="V22" s="681"/>
      <c r="W22" s="681"/>
      <c r="X22" s="681"/>
    </row>
    <row r="23" spans="1:24" x14ac:dyDescent="0.25">
      <c r="A23" s="108"/>
    </row>
  </sheetData>
  <mergeCells count="11">
    <mergeCell ref="A1:X1"/>
    <mergeCell ref="A3:I4"/>
    <mergeCell ref="A22:X22"/>
    <mergeCell ref="A17:X17"/>
    <mergeCell ref="A18:X18"/>
    <mergeCell ref="A20:X20"/>
    <mergeCell ref="A11:X13"/>
    <mergeCell ref="A16:X16"/>
    <mergeCell ref="A15:X15"/>
    <mergeCell ref="A6:X9"/>
    <mergeCell ref="A19:X19"/>
  </mergeCells>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14">
    <tabColor rgb="FFFF0000"/>
  </sheetPr>
  <dimension ref="A1:R48"/>
  <sheetViews>
    <sheetView showGridLines="0" view="pageBreakPreview" zoomScaleNormal="100" zoomScaleSheetLayoutView="100" workbookViewId="0">
      <selection activeCell="B9" sqref="B9"/>
    </sheetView>
  </sheetViews>
  <sheetFormatPr defaultRowHeight="16.5" x14ac:dyDescent="0.25"/>
  <cols>
    <col min="1" max="1" width="7.375" style="545" customWidth="1"/>
    <col min="2" max="2" width="14.375" style="545" customWidth="1"/>
    <col min="3" max="3" width="3.5" style="545" customWidth="1"/>
    <col min="4" max="4" width="11.125" style="545" customWidth="1"/>
    <col min="5" max="5" width="5.75" style="545" customWidth="1"/>
    <col min="6" max="6" width="14.75" style="545" customWidth="1"/>
    <col min="7" max="7" width="22.875" style="545" customWidth="1"/>
    <col min="8" max="8" width="5.25" style="545" customWidth="1"/>
    <col min="9" max="9" width="4" style="545" customWidth="1"/>
    <col min="10" max="15" width="3.75" style="545" customWidth="1"/>
    <col min="16" max="16" width="5.125" style="545" customWidth="1"/>
    <col min="17" max="17" width="16.875" style="545" customWidth="1"/>
    <col min="18" max="18" width="7.375" style="545" customWidth="1"/>
  </cols>
  <sheetData>
    <row r="1" spans="1:18" ht="6" customHeight="1" x14ac:dyDescent="0.25">
      <c r="A1" s="149"/>
      <c r="B1" s="149"/>
      <c r="C1" s="149"/>
      <c r="D1" s="149"/>
      <c r="E1" s="149"/>
      <c r="F1" s="149"/>
      <c r="G1" s="149"/>
      <c r="H1" s="149"/>
      <c r="I1" s="149"/>
      <c r="J1" s="149"/>
      <c r="K1" s="149"/>
      <c r="L1" s="149"/>
      <c r="M1" s="149"/>
      <c r="N1" s="149"/>
      <c r="O1" s="149"/>
      <c r="P1" s="149"/>
      <c r="Q1" s="149"/>
      <c r="R1" s="149"/>
    </row>
    <row r="2" spans="1:18" ht="21" customHeight="1" x14ac:dyDescent="0.25"/>
    <row r="3" spans="1:18" ht="21" customHeight="1" thickBot="1" x14ac:dyDescent="0.3">
      <c r="A3" s="148"/>
      <c r="B3" s="148"/>
      <c r="C3" s="148"/>
      <c r="D3" s="148"/>
      <c r="E3" s="148"/>
      <c r="F3" s="148"/>
      <c r="G3" s="148"/>
      <c r="H3" s="148"/>
      <c r="I3" s="148"/>
      <c r="J3" s="148"/>
      <c r="K3" s="148"/>
      <c r="L3" s="148"/>
      <c r="M3" s="148"/>
      <c r="N3" s="148"/>
      <c r="O3" s="148"/>
      <c r="P3" s="148"/>
      <c r="Q3" s="148"/>
      <c r="R3" s="148"/>
    </row>
    <row r="4" spans="1:18" ht="25.5" customHeight="1" x14ac:dyDescent="0.25">
      <c r="B4" s="773" t="str">
        <f>CONCATENATE(輸入!$S$18,輸入!$T$18,輸入!$S$19,輸入!$T$19,"候詢人入所通知單")</f>
        <v>臺北市政府警察局信義分局候詢人入所通知單</v>
      </c>
      <c r="C4" s="721"/>
      <c r="D4" s="721"/>
      <c r="E4" s="721"/>
      <c r="F4" s="721"/>
      <c r="G4" s="721"/>
      <c r="H4" s="721"/>
      <c r="I4" s="774" t="str">
        <f>CONCATENATE("填單：",LEFT(下拉用!$J$5,10))</f>
        <v>填單：年月日時分</v>
      </c>
      <c r="J4" s="721"/>
      <c r="K4" s="721"/>
      <c r="L4" s="721"/>
      <c r="M4" s="721"/>
      <c r="N4" s="721"/>
      <c r="O4" s="721"/>
      <c r="P4" s="721"/>
      <c r="Q4" s="147"/>
      <c r="R4" s="13" t="s">
        <v>462</v>
      </c>
    </row>
    <row r="5" spans="1:18" ht="19.5" customHeight="1" x14ac:dyDescent="0.25">
      <c r="B5" s="482" t="s">
        <v>463</v>
      </c>
      <c r="C5" s="483"/>
      <c r="D5" s="483"/>
      <c r="E5" s="483"/>
      <c r="F5" s="483"/>
      <c r="G5" s="483"/>
      <c r="H5" s="483"/>
      <c r="I5" s="776" t="s">
        <v>464</v>
      </c>
      <c r="J5" s="582"/>
      <c r="K5" s="582"/>
      <c r="L5" s="582"/>
      <c r="M5" s="582"/>
      <c r="N5" s="582"/>
      <c r="O5" s="582"/>
      <c r="P5" s="483"/>
      <c r="Q5" s="484"/>
      <c r="R5" s="483"/>
    </row>
    <row r="6" spans="1:18" ht="19.5" customHeight="1" x14ac:dyDescent="0.25">
      <c r="B6" s="768" t="s">
        <v>47</v>
      </c>
      <c r="C6" s="765" t="s">
        <v>465</v>
      </c>
      <c r="D6" s="765" t="s">
        <v>466</v>
      </c>
      <c r="E6" s="765" t="s">
        <v>54</v>
      </c>
      <c r="F6" s="765" t="s">
        <v>467</v>
      </c>
      <c r="G6" s="765" t="s">
        <v>338</v>
      </c>
      <c r="H6" s="765" t="s">
        <v>468</v>
      </c>
      <c r="I6" s="584" t="s">
        <v>469</v>
      </c>
      <c r="J6" s="574"/>
      <c r="K6" s="575"/>
      <c r="L6" s="765" t="s">
        <v>470</v>
      </c>
      <c r="M6" s="574"/>
      <c r="N6" s="574"/>
      <c r="O6" s="575"/>
      <c r="P6" s="765" t="s">
        <v>471</v>
      </c>
      <c r="Q6" s="146" t="s">
        <v>472</v>
      </c>
      <c r="R6" s="530"/>
    </row>
    <row r="7" spans="1:18" ht="19.5" customHeight="1" x14ac:dyDescent="0.25">
      <c r="B7" s="769"/>
      <c r="C7" s="577"/>
      <c r="D7" s="577"/>
      <c r="E7" s="577"/>
      <c r="F7" s="577"/>
      <c r="G7" s="577"/>
      <c r="H7" s="577"/>
      <c r="I7" s="454" t="s">
        <v>269</v>
      </c>
      <c r="J7" s="454" t="s">
        <v>270</v>
      </c>
      <c r="K7" s="454" t="s">
        <v>271</v>
      </c>
      <c r="L7" s="454" t="s">
        <v>269</v>
      </c>
      <c r="M7" s="454" t="s">
        <v>270</v>
      </c>
      <c r="N7" s="454" t="s">
        <v>271</v>
      </c>
      <c r="O7" s="454" t="s">
        <v>272</v>
      </c>
      <c r="P7" s="577"/>
      <c r="Q7" s="145" t="s">
        <v>473</v>
      </c>
      <c r="R7" s="530"/>
    </row>
    <row r="8" spans="1:18" ht="39" customHeight="1" x14ac:dyDescent="0.25">
      <c r="B8" s="141"/>
      <c r="C8" s="465" t="str">
        <f>IFERROR(VLOOKUP($B8,個資,11,FALSE),"")</f>
        <v/>
      </c>
      <c r="D8" s="465" t="str">
        <f>IFERROR(VLOOKUP($B8,個資,16,FALSE),"")</f>
        <v/>
      </c>
      <c r="E8" s="454" t="str">
        <f>IFERROR(VLOOKUP($B8,個資,8,FALSE),"")</f>
        <v/>
      </c>
      <c r="F8" s="465" t="str">
        <f>IFERROR(VLOOKUP($B8,個資,2,FALSE),"")</f>
        <v/>
      </c>
      <c r="G8" s="144" t="str">
        <f>IFERROR(VLOOKUP($B8,個資,6,FALSE),"")</f>
        <v/>
      </c>
      <c r="H8" s="465"/>
      <c r="I8" s="465" t="str">
        <f>IF(ISBLANK($B8)," ",MID(輸入!$C$11,4,2))</f>
        <v xml:space="preserve"> </v>
      </c>
      <c r="J8" s="465" t="str">
        <f>IF(ISBLANK($B8)," ",MID(輸入!$C$11,6,2))</f>
        <v xml:space="preserve"> </v>
      </c>
      <c r="K8" s="465" t="str">
        <f>IF(ISBLANK($B8)," ",MID(輸入!$C$11,8,2))</f>
        <v xml:space="preserve"> </v>
      </c>
      <c r="L8" s="143"/>
      <c r="M8" s="143"/>
      <c r="N8" s="142"/>
      <c r="O8" s="142"/>
      <c r="P8" s="519"/>
      <c r="Q8" s="140"/>
      <c r="R8" s="483"/>
    </row>
    <row r="9" spans="1:18" ht="39" customHeight="1" x14ac:dyDescent="0.25">
      <c r="B9" s="141"/>
      <c r="C9" s="465" t="str">
        <f>IFERROR(VLOOKUP($B9,個資,11,FALSE),"")</f>
        <v/>
      </c>
      <c r="D9" s="465" t="str">
        <f>IFERROR(VLOOKUP($B9,個資,16,FALSE),"")</f>
        <v/>
      </c>
      <c r="E9" s="454" t="str">
        <f>IFERROR(VLOOKUP($B9,個資,8,FALSE),"")</f>
        <v/>
      </c>
      <c r="F9" s="465" t="str">
        <f>IFERROR(VLOOKUP($B9,個資,2,FALSE),"")</f>
        <v/>
      </c>
      <c r="G9" s="144" t="str">
        <f>IFERROR(VLOOKUP($B9,個資,6,FALSE),"")</f>
        <v/>
      </c>
      <c r="H9" s="465"/>
      <c r="I9" s="465" t="str">
        <f>IF(ISBLANK($B9)," ",MID(輸入!$C$11,4,2))</f>
        <v xml:space="preserve"> </v>
      </c>
      <c r="J9" s="465" t="str">
        <f>IF(ISBLANK($B9)," ",MID(輸入!$C$11,6,2))</f>
        <v xml:space="preserve"> </v>
      </c>
      <c r="K9" s="465" t="str">
        <f>IF(ISBLANK($B9)," ",MID(輸入!$C$11,8,2))</f>
        <v xml:space="preserve"> </v>
      </c>
      <c r="L9" s="465"/>
      <c r="M9" s="465"/>
      <c r="N9" s="519"/>
      <c r="O9" s="519"/>
      <c r="P9" s="519"/>
      <c r="Q9" s="140"/>
      <c r="R9" s="483"/>
    </row>
    <row r="10" spans="1:18" ht="39" customHeight="1" x14ac:dyDescent="0.25">
      <c r="B10" s="141"/>
      <c r="C10" s="465" t="str">
        <f>IFERROR(VLOOKUP($B10,個資,11,FALSE),"")</f>
        <v/>
      </c>
      <c r="D10" s="465" t="str">
        <f>IFERROR(VLOOKUP($B10,個資,16,FALSE),"")</f>
        <v/>
      </c>
      <c r="E10" s="454" t="str">
        <f>IFERROR(VLOOKUP($B10,個資,8,FALSE),"")</f>
        <v/>
      </c>
      <c r="F10" s="465" t="str">
        <f>IFERROR(VLOOKUP($B10,個資,2,FALSE),"")</f>
        <v/>
      </c>
      <c r="G10" s="144" t="str">
        <f>IFERROR(VLOOKUP($B10,個資,6,FALSE),"")</f>
        <v/>
      </c>
      <c r="H10" s="519"/>
      <c r="I10" s="465" t="str">
        <f>IF(ISBLANK($B10)," ",MID(輸入!$C$11,4,2))</f>
        <v xml:space="preserve"> </v>
      </c>
      <c r="J10" s="465" t="str">
        <f>IF(ISBLANK($B10)," ",MID(輸入!$C$11,6,2))</f>
        <v xml:space="preserve"> </v>
      </c>
      <c r="K10" s="465" t="str">
        <f>IF(ISBLANK($B10)," ",MID(輸入!$C$11,8,2))</f>
        <v xml:space="preserve"> </v>
      </c>
      <c r="L10" s="465"/>
      <c r="M10" s="465"/>
      <c r="N10" s="519"/>
      <c r="O10" s="519"/>
      <c r="P10" s="519"/>
      <c r="Q10" s="140"/>
      <c r="R10" s="483"/>
    </row>
    <row r="11" spans="1:18" ht="39" customHeight="1" x14ac:dyDescent="0.25">
      <c r="B11" s="141"/>
      <c r="C11" s="465" t="str">
        <f>IFERROR(VLOOKUP($B11,個資,11,FALSE),"")</f>
        <v/>
      </c>
      <c r="D11" s="465" t="str">
        <f>IFERROR(VLOOKUP($B11,個資,16,FALSE),"")</f>
        <v/>
      </c>
      <c r="E11" s="454" t="str">
        <f>IFERROR(VLOOKUP($B11,個資,8,FALSE),"")</f>
        <v/>
      </c>
      <c r="F11" s="465" t="str">
        <f>IFERROR(VLOOKUP($B11,個資,2,FALSE),"")</f>
        <v/>
      </c>
      <c r="G11" s="144" t="str">
        <f>IFERROR(VLOOKUP($B11,個資,6,FALSE),"")</f>
        <v/>
      </c>
      <c r="H11" s="519"/>
      <c r="I11" s="465" t="str">
        <f>IF(ISBLANK($B11)," ",MID(輸入!$C$11,4,2))</f>
        <v xml:space="preserve"> </v>
      </c>
      <c r="J11" s="465" t="str">
        <f>IF(ISBLANK($B11)," ",MID(輸入!$C$11,6,2))</f>
        <v xml:space="preserve"> </v>
      </c>
      <c r="K11" s="465" t="str">
        <f>IF(ISBLANK($B11)," ",MID(輸入!$C$11,8,2))</f>
        <v xml:space="preserve"> </v>
      </c>
      <c r="L11" s="519"/>
      <c r="M11" s="519"/>
      <c r="N11" s="519"/>
      <c r="O11" s="519"/>
      <c r="P11" s="519"/>
      <c r="Q11" s="140"/>
      <c r="R11" s="483"/>
    </row>
    <row r="12" spans="1:18" ht="39" customHeight="1" x14ac:dyDescent="0.25">
      <c r="B12" s="141"/>
      <c r="C12" s="465" t="str">
        <f>IFERROR(VLOOKUP($B12,個資,11,FALSE),"")</f>
        <v/>
      </c>
      <c r="D12" s="465" t="str">
        <f>IFERROR(VLOOKUP($B12,個資,16,FALSE),"")</f>
        <v/>
      </c>
      <c r="E12" s="454" t="str">
        <f>IFERROR(VLOOKUP($B12,個資,8,FALSE),"")</f>
        <v/>
      </c>
      <c r="F12" s="465" t="str">
        <f>IFERROR(VLOOKUP($B12,個資,2,FALSE),"")</f>
        <v/>
      </c>
      <c r="G12" s="144" t="str">
        <f>IFERROR(VLOOKUP($B12,個資,6,FALSE),"")</f>
        <v/>
      </c>
      <c r="H12" s="519"/>
      <c r="I12" s="465" t="str">
        <f>IF(ISBLANK($B12)," ",MID(輸入!$C$11,4,2))</f>
        <v xml:space="preserve"> </v>
      </c>
      <c r="J12" s="465" t="str">
        <f>IF(ISBLANK($B12)," ",MID(輸入!$C$11,6,2))</f>
        <v xml:space="preserve"> </v>
      </c>
      <c r="K12" s="465" t="str">
        <f>IF(ISBLANK($B12)," ",MID(輸入!$C$11,8,2))</f>
        <v xml:space="preserve"> </v>
      </c>
      <c r="L12" s="519"/>
      <c r="M12" s="519"/>
      <c r="N12" s="519"/>
      <c r="O12" s="519"/>
      <c r="P12" s="519"/>
      <c r="Q12" s="140"/>
      <c r="R12" s="483"/>
    </row>
    <row r="13" spans="1:18" ht="19.5" customHeight="1" x14ac:dyDescent="0.25">
      <c r="B13" s="775"/>
      <c r="C13" s="681"/>
      <c r="D13" s="681"/>
      <c r="E13" s="681"/>
      <c r="F13" s="681"/>
      <c r="G13" s="681"/>
      <c r="H13" s="681"/>
      <c r="I13" s="681"/>
      <c r="J13" s="681"/>
      <c r="K13" s="681"/>
      <c r="L13" s="681"/>
      <c r="M13" s="681"/>
      <c r="N13" s="681"/>
      <c r="O13" s="681"/>
      <c r="P13" s="681"/>
      <c r="Q13" s="727"/>
      <c r="R13" s="483"/>
    </row>
    <row r="14" spans="1:18" ht="19.5" customHeight="1" x14ac:dyDescent="0.25">
      <c r="B14" s="766" t="str">
        <f>CONCATENATE("　　上開  ",$B$8,"  等",COUNTA($B$8:$B$12),"人因       ",呈報單!$G$15,"案       送入拘留所候詢室")</f>
        <v>　　上開    等0人因       毀損案       送入拘留所候詢室</v>
      </c>
      <c r="C14" s="681"/>
      <c r="D14" s="681"/>
      <c r="E14" s="681"/>
      <c r="F14" s="681"/>
      <c r="G14" s="681"/>
      <c r="H14" s="681"/>
      <c r="I14" s="681"/>
      <c r="J14" s="681"/>
      <c r="K14" s="681"/>
      <c r="L14" s="681"/>
      <c r="M14" s="681"/>
      <c r="N14" s="681"/>
      <c r="O14" s="681"/>
      <c r="P14" s="681"/>
      <c r="Q14" s="727"/>
      <c r="R14" s="478"/>
    </row>
    <row r="15" spans="1:18" ht="19.5" customHeight="1" x14ac:dyDescent="0.25">
      <c r="B15" s="766" t="s">
        <v>474</v>
      </c>
      <c r="C15" s="681"/>
      <c r="D15" s="681"/>
      <c r="E15" s="681"/>
      <c r="F15" s="681"/>
      <c r="G15" s="681"/>
      <c r="H15" s="681"/>
      <c r="I15" s="681"/>
      <c r="J15" s="681"/>
      <c r="K15" s="681"/>
      <c r="L15" s="681"/>
      <c r="M15" s="681"/>
      <c r="N15" s="681"/>
      <c r="O15" s="681"/>
      <c r="P15" s="681"/>
      <c r="Q15" s="727"/>
      <c r="R15" s="478"/>
    </row>
    <row r="16" spans="1:18" ht="19.5" customHeight="1" x14ac:dyDescent="0.25">
      <c r="B16" s="766" t="s">
        <v>475</v>
      </c>
      <c r="C16" s="681"/>
      <c r="D16" s="681"/>
      <c r="E16" s="681"/>
      <c r="F16" s="681"/>
      <c r="G16" s="681"/>
      <c r="H16" s="681"/>
      <c r="I16" s="681"/>
      <c r="J16" s="681"/>
      <c r="K16" s="681"/>
      <c r="L16" s="681"/>
      <c r="M16" s="681"/>
      <c r="N16" s="681"/>
      <c r="O16" s="681"/>
      <c r="P16" s="681"/>
      <c r="Q16" s="727"/>
      <c r="R16" s="478"/>
    </row>
    <row r="17" spans="1:18" ht="19.5" customHeight="1" x14ac:dyDescent="0.25">
      <c r="B17" s="766" t="s">
        <v>476</v>
      </c>
      <c r="C17" s="681"/>
      <c r="D17" s="681"/>
      <c r="E17" s="681"/>
      <c r="F17" s="681"/>
      <c r="G17" s="681"/>
      <c r="H17" s="681"/>
      <c r="I17" s="681"/>
      <c r="J17" s="681"/>
      <c r="K17" s="681"/>
      <c r="L17" s="681"/>
      <c r="M17" s="681"/>
      <c r="N17" s="681"/>
      <c r="O17" s="681"/>
      <c r="P17" s="681"/>
      <c r="Q17" s="727"/>
      <c r="R17" s="478"/>
    </row>
    <row r="18" spans="1:18" ht="19.5" customHeight="1" x14ac:dyDescent="0.25">
      <c r="B18" s="766"/>
      <c r="C18" s="681"/>
      <c r="D18" s="681"/>
      <c r="E18" s="681"/>
      <c r="F18" s="681"/>
      <c r="G18" s="681"/>
      <c r="H18" s="681"/>
      <c r="I18" s="681"/>
      <c r="J18" s="681"/>
      <c r="K18" s="681"/>
      <c r="L18" s="681"/>
      <c r="M18" s="681"/>
      <c r="N18" s="681"/>
      <c r="O18" s="681"/>
      <c r="P18" s="681"/>
      <c r="Q18" s="727"/>
      <c r="R18" s="478"/>
    </row>
    <row r="19" spans="1:18" ht="19.5" customHeight="1" x14ac:dyDescent="0.25">
      <c r="B19" s="766"/>
      <c r="C19" s="681"/>
      <c r="D19" s="681"/>
      <c r="E19" s="681"/>
      <c r="F19" s="681"/>
      <c r="G19" s="681"/>
      <c r="H19" s="681"/>
      <c r="I19" s="681"/>
      <c r="J19" s="681"/>
      <c r="K19" s="681"/>
      <c r="L19" s="681"/>
      <c r="M19" s="681"/>
      <c r="N19" s="681"/>
      <c r="O19" s="681"/>
      <c r="P19" s="681"/>
      <c r="Q19" s="727"/>
      <c r="R19" s="478"/>
    </row>
    <row r="20" spans="1:18" ht="20.25" customHeight="1" thickBot="1" x14ac:dyDescent="0.3">
      <c r="B20" s="770"/>
      <c r="C20" s="771"/>
      <c r="D20" s="771"/>
      <c r="E20" s="771"/>
      <c r="F20" s="771"/>
      <c r="G20" s="771"/>
      <c r="H20" s="771"/>
      <c r="I20" s="771"/>
      <c r="J20" s="771"/>
      <c r="K20" s="771"/>
      <c r="L20" s="771"/>
      <c r="M20" s="771"/>
      <c r="N20" s="771"/>
      <c r="O20" s="771"/>
      <c r="P20" s="771"/>
      <c r="Q20" s="772"/>
      <c r="R20" s="478"/>
    </row>
    <row r="21" spans="1:18" x14ac:dyDescent="0.25">
      <c r="B21" s="767" t="s">
        <v>477</v>
      </c>
      <c r="C21" s="721"/>
      <c r="D21" s="721"/>
      <c r="E21" s="721"/>
      <c r="F21" s="721"/>
      <c r="G21" s="721"/>
      <c r="H21" s="721"/>
      <c r="I21" s="721"/>
      <c r="J21" s="721"/>
      <c r="K21" s="721"/>
    </row>
    <row r="22" spans="1:18" x14ac:dyDescent="0.25">
      <c r="B22" s="764" t="s">
        <v>478</v>
      </c>
      <c r="C22" s="681"/>
      <c r="D22" s="681"/>
      <c r="E22" s="681"/>
      <c r="F22" s="681"/>
      <c r="G22" s="681"/>
      <c r="H22" s="681"/>
      <c r="I22" s="681"/>
      <c r="J22" s="681"/>
      <c r="K22" s="681"/>
    </row>
    <row r="23" spans="1:18" ht="17.25" customHeight="1" x14ac:dyDescent="0.25">
      <c r="B23" s="139" t="s">
        <v>431</v>
      </c>
    </row>
    <row r="24" spans="1:18" x14ac:dyDescent="0.25">
      <c r="B24" s="138"/>
      <c r="Q24" s="137" t="s">
        <v>479</v>
      </c>
    </row>
    <row r="25" spans="1:18" ht="6" customHeight="1" x14ac:dyDescent="0.25">
      <c r="A25" s="149"/>
      <c r="B25" s="149"/>
      <c r="C25" s="149"/>
      <c r="D25" s="149"/>
      <c r="E25" s="149"/>
      <c r="F25" s="149"/>
      <c r="G25" s="149"/>
      <c r="H25" s="149"/>
      <c r="I25" s="149"/>
      <c r="J25" s="149"/>
      <c r="K25" s="149"/>
      <c r="L25" s="149"/>
      <c r="M25" s="149"/>
      <c r="N25" s="149"/>
      <c r="O25" s="149"/>
      <c r="P25" s="149"/>
      <c r="Q25" s="149"/>
      <c r="R25" s="149"/>
    </row>
    <row r="26" spans="1:18" ht="21" customHeight="1" x14ac:dyDescent="0.25"/>
    <row r="27" spans="1:18" ht="21" customHeight="1" thickBot="1" x14ac:dyDescent="0.3">
      <c r="A27" s="148"/>
      <c r="B27" s="148"/>
      <c r="C27" s="148"/>
      <c r="D27" s="148"/>
      <c r="E27" s="148"/>
      <c r="F27" s="148"/>
      <c r="G27" s="148"/>
      <c r="H27" s="148"/>
      <c r="I27" s="148"/>
      <c r="J27" s="148"/>
      <c r="K27" s="148"/>
      <c r="L27" s="148"/>
      <c r="M27" s="148"/>
      <c r="N27" s="148"/>
      <c r="O27" s="148"/>
      <c r="P27" s="148"/>
      <c r="Q27" s="148"/>
      <c r="R27" s="148"/>
    </row>
    <row r="28" spans="1:18" ht="25.5" customHeight="1" x14ac:dyDescent="0.25">
      <c r="B28" s="773" t="str">
        <f>CONCATENATE(輸入!$S$18,輸入!$T$18,輸入!$S$19,輸入!$T$19,"候詢人出所通知單")</f>
        <v>臺北市政府警察局信義分局候詢人出所通知單</v>
      </c>
      <c r="C28" s="721"/>
      <c r="D28" s="721"/>
      <c r="E28" s="721"/>
      <c r="F28" s="721"/>
      <c r="G28" s="721"/>
      <c r="H28" s="721"/>
      <c r="I28" s="774" t="str">
        <f>CONCATENATE("填單：",LEFT(下拉用!$J$5,10))</f>
        <v>填單：年月日時分</v>
      </c>
      <c r="J28" s="721"/>
      <c r="K28" s="721"/>
      <c r="L28" s="721"/>
      <c r="M28" s="721"/>
      <c r="N28" s="721"/>
      <c r="O28" s="721"/>
      <c r="P28" s="721"/>
      <c r="Q28" s="147"/>
      <c r="R28" s="13" t="s">
        <v>462</v>
      </c>
    </row>
    <row r="29" spans="1:18" ht="19.5" customHeight="1" x14ac:dyDescent="0.25">
      <c r="B29" s="482" t="s">
        <v>463</v>
      </c>
      <c r="C29" s="483"/>
      <c r="D29" s="483"/>
      <c r="E29" s="483"/>
      <c r="F29" s="483"/>
      <c r="G29" s="483"/>
      <c r="H29" s="483"/>
      <c r="I29" s="776" t="s">
        <v>464</v>
      </c>
      <c r="J29" s="582"/>
      <c r="K29" s="582"/>
      <c r="L29" s="582"/>
      <c r="M29" s="582"/>
      <c r="N29" s="582"/>
      <c r="O29" s="582"/>
      <c r="P29" s="483"/>
      <c r="Q29" s="484"/>
      <c r="R29" s="483"/>
    </row>
    <row r="30" spans="1:18" ht="19.5" customHeight="1" x14ac:dyDescent="0.25">
      <c r="B30" s="768" t="s">
        <v>47</v>
      </c>
      <c r="C30" s="765" t="s">
        <v>465</v>
      </c>
      <c r="D30" s="765" t="s">
        <v>466</v>
      </c>
      <c r="E30" s="765" t="s">
        <v>54</v>
      </c>
      <c r="F30" s="765" t="s">
        <v>467</v>
      </c>
      <c r="G30" s="765" t="s">
        <v>338</v>
      </c>
      <c r="H30" s="765" t="s">
        <v>468</v>
      </c>
      <c r="I30" s="584" t="s">
        <v>469</v>
      </c>
      <c r="J30" s="574"/>
      <c r="K30" s="575"/>
      <c r="L30" s="765" t="s">
        <v>480</v>
      </c>
      <c r="M30" s="574"/>
      <c r="N30" s="574"/>
      <c r="O30" s="575"/>
      <c r="P30" s="765" t="s">
        <v>471</v>
      </c>
      <c r="Q30" s="146" t="s">
        <v>472</v>
      </c>
      <c r="R30" s="530"/>
    </row>
    <row r="31" spans="1:18" ht="19.5" customHeight="1" x14ac:dyDescent="0.25">
      <c r="B31" s="769"/>
      <c r="C31" s="577"/>
      <c r="D31" s="577"/>
      <c r="E31" s="577"/>
      <c r="F31" s="577"/>
      <c r="G31" s="577"/>
      <c r="H31" s="577"/>
      <c r="I31" s="454" t="s">
        <v>269</v>
      </c>
      <c r="J31" s="454" t="s">
        <v>270</v>
      </c>
      <c r="K31" s="454" t="s">
        <v>271</v>
      </c>
      <c r="L31" s="454" t="s">
        <v>269</v>
      </c>
      <c r="M31" s="454" t="s">
        <v>270</v>
      </c>
      <c r="N31" s="454" t="s">
        <v>271</v>
      </c>
      <c r="O31" s="454" t="s">
        <v>272</v>
      </c>
      <c r="P31" s="577"/>
      <c r="Q31" s="145" t="s">
        <v>473</v>
      </c>
      <c r="R31" s="530"/>
    </row>
    <row r="32" spans="1:18" ht="39" customHeight="1" x14ac:dyDescent="0.25">
      <c r="B32" s="141">
        <f>$B8</f>
        <v>0</v>
      </c>
      <c r="C32" s="465" t="str">
        <f>IFERROR(VLOOKUP($B8,個資,11,FALSE),"")</f>
        <v/>
      </c>
      <c r="D32" s="465" t="str">
        <f>IFERROR(VLOOKUP($B8,個資,16,FALSE),"")</f>
        <v/>
      </c>
      <c r="E32" s="452" t="str">
        <f>IFERROR(VLOOKUP($B8,個資,8,FALSE),"")</f>
        <v/>
      </c>
      <c r="F32" s="465" t="str">
        <f>IFERROR(VLOOKUP($B8,個資,2,FALSE),"")</f>
        <v/>
      </c>
      <c r="G32" s="144" t="str">
        <f>IFERROR(VLOOKUP($B8,個資,6,FALSE),"")</f>
        <v/>
      </c>
      <c r="H32" s="465"/>
      <c r="I32" s="465" t="str">
        <f>IF(ISBLANK($B32)," ",MID(輸入!$C$11,4,2))</f>
        <v/>
      </c>
      <c r="J32" s="465" t="str">
        <f>IF(ISBLANK($B32)," ",MID(輸入!$C$11,6,2))</f>
        <v/>
      </c>
      <c r="K32" s="465" t="str">
        <f>IF(ISBLANK($B32)," ",MID(輸入!$C$11,8,2))</f>
        <v/>
      </c>
      <c r="L32" s="143"/>
      <c r="M32" s="143"/>
      <c r="N32" s="142"/>
      <c r="O32" s="142"/>
      <c r="P32" s="519"/>
      <c r="Q32" s="140"/>
      <c r="R32" s="483"/>
    </row>
    <row r="33" spans="2:18" ht="39" customHeight="1" x14ac:dyDescent="0.25">
      <c r="B33" s="141" t="str">
        <f>IF(ISBLANK($B9),"",$B9)</f>
        <v/>
      </c>
      <c r="C33" s="465" t="str">
        <f>IFERROR(VLOOKUP($B9,個資,11,FALSE),"")</f>
        <v/>
      </c>
      <c r="D33" s="465" t="str">
        <f>IFERROR(VLOOKUP($B9,個資,16,FALSE),"")</f>
        <v/>
      </c>
      <c r="E33" s="452" t="str">
        <f>IFERROR(VLOOKUP($B9,個資,8,FALSE),"")</f>
        <v/>
      </c>
      <c r="F33" s="465" t="str">
        <f>IFERROR(VLOOKUP($B9,個資,2,FALSE),"")</f>
        <v/>
      </c>
      <c r="G33" s="144" t="str">
        <f>IFERROR(VLOOKUP($B9,個資,6,FALSE),"")</f>
        <v/>
      </c>
      <c r="H33" s="465"/>
      <c r="I33" s="465" t="str">
        <f t="shared" ref="I33:K36" si="0">I9</f>
        <v xml:space="preserve"> </v>
      </c>
      <c r="J33" s="465" t="str">
        <f t="shared" si="0"/>
        <v xml:space="preserve"> </v>
      </c>
      <c r="K33" s="465" t="str">
        <f t="shared" si="0"/>
        <v xml:space="preserve"> </v>
      </c>
      <c r="L33" s="465"/>
      <c r="M33" s="465"/>
      <c r="N33" s="519"/>
      <c r="O33" s="519"/>
      <c r="P33" s="519"/>
      <c r="Q33" s="140"/>
      <c r="R33" s="483"/>
    </row>
    <row r="34" spans="2:18" ht="39" customHeight="1" x14ac:dyDescent="0.25">
      <c r="B34" s="141" t="str">
        <f>IF(ISBLANK($B10),"",$B10)</f>
        <v/>
      </c>
      <c r="C34" s="465" t="str">
        <f>IFERROR(VLOOKUP($B10,個資,11,FALSE),"")</f>
        <v/>
      </c>
      <c r="D34" s="465" t="str">
        <f>IFERROR(VLOOKUP($B10,個資,16,FALSE),"")</f>
        <v/>
      </c>
      <c r="E34" s="452" t="str">
        <f>IFERROR(VLOOKUP($B10,個資,8,FALSE),"")</f>
        <v/>
      </c>
      <c r="F34" s="465" t="str">
        <f>IFERROR(VLOOKUP($B10,個資,2,FALSE),"")</f>
        <v/>
      </c>
      <c r="G34" s="144" t="str">
        <f>IFERROR(VLOOKUP($B10,個資,6,FALSE),"")</f>
        <v/>
      </c>
      <c r="H34" s="519"/>
      <c r="I34" s="465" t="str">
        <f t="shared" si="0"/>
        <v xml:space="preserve"> </v>
      </c>
      <c r="J34" s="465" t="str">
        <f t="shared" si="0"/>
        <v xml:space="preserve"> </v>
      </c>
      <c r="K34" s="465" t="str">
        <f t="shared" si="0"/>
        <v xml:space="preserve"> </v>
      </c>
      <c r="L34" s="465"/>
      <c r="M34" s="465"/>
      <c r="N34" s="519"/>
      <c r="O34" s="519"/>
      <c r="P34" s="519"/>
      <c r="Q34" s="140"/>
      <c r="R34" s="483"/>
    </row>
    <row r="35" spans="2:18" ht="39" customHeight="1" x14ac:dyDescent="0.25">
      <c r="B35" s="141" t="str">
        <f>IF(ISBLANK($B11),"",$B11)</f>
        <v/>
      </c>
      <c r="C35" s="465" t="str">
        <f>IFERROR(VLOOKUP($B11,個資,11,FALSE),"")</f>
        <v/>
      </c>
      <c r="D35" s="465" t="str">
        <f>IFERROR(VLOOKUP($B11,個資,16,FALSE),"")</f>
        <v/>
      </c>
      <c r="E35" s="452" t="str">
        <f>IFERROR(VLOOKUP($B11,個資,8,FALSE),"")</f>
        <v/>
      </c>
      <c r="F35" s="465" t="str">
        <f>IFERROR(VLOOKUP($B11,個資,2,FALSE),"")</f>
        <v/>
      </c>
      <c r="G35" s="144" t="str">
        <f>IFERROR(VLOOKUP($B11,個資,6,FALSE),"")</f>
        <v/>
      </c>
      <c r="H35" s="519"/>
      <c r="I35" s="465" t="str">
        <f t="shared" si="0"/>
        <v xml:space="preserve"> </v>
      </c>
      <c r="J35" s="465" t="str">
        <f t="shared" si="0"/>
        <v xml:space="preserve"> </v>
      </c>
      <c r="K35" s="465" t="str">
        <f t="shared" si="0"/>
        <v xml:space="preserve"> </v>
      </c>
      <c r="L35" s="519"/>
      <c r="M35" s="519"/>
      <c r="N35" s="519"/>
      <c r="O35" s="519"/>
      <c r="P35" s="519"/>
      <c r="Q35" s="140"/>
      <c r="R35" s="483"/>
    </row>
    <row r="36" spans="2:18" ht="39" customHeight="1" x14ac:dyDescent="0.25">
      <c r="B36" s="141" t="str">
        <f>IF(ISBLANK($B12),"",$B12)</f>
        <v/>
      </c>
      <c r="C36" s="465" t="str">
        <f>IFERROR(VLOOKUP($B12,個資,11,FALSE),"")</f>
        <v/>
      </c>
      <c r="D36" s="465" t="str">
        <f>IFERROR(VLOOKUP($B12,個資,16,FALSE),"")</f>
        <v/>
      </c>
      <c r="E36" s="452" t="str">
        <f>IFERROR(VLOOKUP($B12,個資,8,FALSE),"")</f>
        <v/>
      </c>
      <c r="F36" s="465" t="str">
        <f>IFERROR(VLOOKUP($B12,個資,2,FALSE),"")</f>
        <v/>
      </c>
      <c r="G36" s="144" t="str">
        <f>IFERROR(VLOOKUP($B12,個資,6,FALSE),"")</f>
        <v/>
      </c>
      <c r="H36" s="519"/>
      <c r="I36" s="465" t="str">
        <f t="shared" si="0"/>
        <v xml:space="preserve"> </v>
      </c>
      <c r="J36" s="465" t="str">
        <f t="shared" si="0"/>
        <v xml:space="preserve"> </v>
      </c>
      <c r="K36" s="465" t="str">
        <f t="shared" si="0"/>
        <v xml:space="preserve"> </v>
      </c>
      <c r="L36" s="519"/>
      <c r="M36" s="519"/>
      <c r="N36" s="519"/>
      <c r="O36" s="519"/>
      <c r="P36" s="519"/>
      <c r="Q36" s="140"/>
      <c r="R36" s="483"/>
    </row>
    <row r="37" spans="2:18" ht="19.5" customHeight="1" x14ac:dyDescent="0.25">
      <c r="B37" s="775"/>
      <c r="C37" s="681"/>
      <c r="D37" s="681"/>
      <c r="E37" s="681"/>
      <c r="F37" s="681"/>
      <c r="G37" s="681"/>
      <c r="H37" s="681"/>
      <c r="I37" s="681"/>
      <c r="J37" s="681"/>
      <c r="K37" s="681"/>
      <c r="L37" s="681"/>
      <c r="M37" s="681"/>
      <c r="N37" s="681"/>
      <c r="O37" s="681"/>
      <c r="P37" s="681"/>
      <c r="Q37" s="727"/>
      <c r="R37" s="483"/>
    </row>
    <row r="38" spans="2:18" ht="19.5" customHeight="1" x14ac:dyDescent="0.25">
      <c r="B38" s="766" t="str">
        <f>CONCATENATE(,"　　上開",word用!H2,"等",COUNTA($B$8:$B$12),"名經偵詢完畢應移送□臺北地檢□士林地檢□新北地檢等請予釋放提出。")</f>
        <v>　　上開顏文祥等0名經偵詢完畢應移送□臺北地檢□士林地檢□新北地檢等請予釋放提出。</v>
      </c>
      <c r="C38" s="681"/>
      <c r="D38" s="681"/>
      <c r="E38" s="681"/>
      <c r="F38" s="681"/>
      <c r="G38" s="681"/>
      <c r="H38" s="681"/>
      <c r="I38" s="681"/>
      <c r="J38" s="681"/>
      <c r="K38" s="681"/>
      <c r="L38" s="681"/>
      <c r="M38" s="681"/>
      <c r="N38" s="681"/>
      <c r="O38" s="681"/>
      <c r="P38" s="681"/>
      <c r="Q38" s="727"/>
      <c r="R38" s="478"/>
    </row>
    <row r="39" spans="2:18" ht="19.5" customHeight="1" x14ac:dyDescent="0.25">
      <c r="B39" s="766" t="s">
        <v>474</v>
      </c>
      <c r="C39" s="681"/>
      <c r="D39" s="681"/>
      <c r="E39" s="681"/>
      <c r="F39" s="681"/>
      <c r="G39" s="681"/>
      <c r="H39" s="681"/>
      <c r="I39" s="681"/>
      <c r="J39" s="681"/>
      <c r="K39" s="681"/>
      <c r="L39" s="681"/>
      <c r="M39" s="681"/>
      <c r="N39" s="681"/>
      <c r="O39" s="681"/>
      <c r="P39" s="681"/>
      <c r="Q39" s="727"/>
      <c r="R39" s="478"/>
    </row>
    <row r="40" spans="2:18" ht="19.5" customHeight="1" x14ac:dyDescent="0.25">
      <c r="B40" s="766" t="s">
        <v>475</v>
      </c>
      <c r="C40" s="681"/>
      <c r="D40" s="681"/>
      <c r="E40" s="681"/>
      <c r="F40" s="681"/>
      <c r="G40" s="681"/>
      <c r="H40" s="681"/>
      <c r="I40" s="681"/>
      <c r="J40" s="681"/>
      <c r="K40" s="681"/>
      <c r="L40" s="681"/>
      <c r="M40" s="681"/>
      <c r="N40" s="681"/>
      <c r="O40" s="681"/>
      <c r="P40" s="681"/>
      <c r="Q40" s="727"/>
      <c r="R40" s="478"/>
    </row>
    <row r="41" spans="2:18" ht="19.5" customHeight="1" x14ac:dyDescent="0.25">
      <c r="B41" s="766" t="s">
        <v>476</v>
      </c>
      <c r="C41" s="681"/>
      <c r="D41" s="681"/>
      <c r="E41" s="681"/>
      <c r="F41" s="681"/>
      <c r="G41" s="681"/>
      <c r="H41" s="681"/>
      <c r="I41" s="681"/>
      <c r="J41" s="681"/>
      <c r="K41" s="681"/>
      <c r="L41" s="681"/>
      <c r="M41" s="681"/>
      <c r="N41" s="681"/>
      <c r="O41" s="681"/>
      <c r="P41" s="681"/>
      <c r="Q41" s="727"/>
      <c r="R41" s="478"/>
    </row>
    <row r="42" spans="2:18" ht="19.5" customHeight="1" x14ac:dyDescent="0.25">
      <c r="B42" s="766"/>
      <c r="C42" s="681"/>
      <c r="D42" s="681"/>
      <c r="E42" s="681"/>
      <c r="F42" s="681"/>
      <c r="G42" s="681"/>
      <c r="H42" s="681"/>
      <c r="I42" s="681"/>
      <c r="J42" s="681"/>
      <c r="K42" s="681"/>
      <c r="L42" s="681"/>
      <c r="M42" s="681"/>
      <c r="N42" s="681"/>
      <c r="O42" s="681"/>
      <c r="P42" s="681"/>
      <c r="Q42" s="727"/>
      <c r="R42" s="478"/>
    </row>
    <row r="43" spans="2:18" ht="19.5" customHeight="1" x14ac:dyDescent="0.25">
      <c r="B43" s="766"/>
      <c r="C43" s="681"/>
      <c r="D43" s="681"/>
      <c r="E43" s="681"/>
      <c r="F43" s="681"/>
      <c r="G43" s="681"/>
      <c r="H43" s="681"/>
      <c r="I43" s="681"/>
      <c r="J43" s="681"/>
      <c r="K43" s="681"/>
      <c r="L43" s="681"/>
      <c r="M43" s="681"/>
      <c r="N43" s="681"/>
      <c r="O43" s="681"/>
      <c r="P43" s="681"/>
      <c r="Q43" s="727"/>
      <c r="R43" s="478"/>
    </row>
    <row r="44" spans="2:18" ht="20.25" customHeight="1" thickBot="1" x14ac:dyDescent="0.3">
      <c r="B44" s="770"/>
      <c r="C44" s="771"/>
      <c r="D44" s="771"/>
      <c r="E44" s="771"/>
      <c r="F44" s="771"/>
      <c r="G44" s="771"/>
      <c r="H44" s="771"/>
      <c r="I44" s="771"/>
      <c r="J44" s="771"/>
      <c r="K44" s="771"/>
      <c r="L44" s="771"/>
      <c r="M44" s="771"/>
      <c r="N44" s="771"/>
      <c r="O44" s="771"/>
      <c r="P44" s="771"/>
      <c r="Q44" s="772"/>
      <c r="R44" s="478"/>
    </row>
    <row r="45" spans="2:18" x14ac:dyDescent="0.25">
      <c r="B45" s="767" t="s">
        <v>477</v>
      </c>
      <c r="C45" s="721"/>
      <c r="D45" s="721"/>
      <c r="E45" s="721"/>
      <c r="F45" s="721"/>
      <c r="G45" s="721"/>
      <c r="H45" s="721"/>
      <c r="I45" s="721"/>
      <c r="J45" s="721"/>
      <c r="K45" s="721"/>
    </row>
    <row r="46" spans="2:18" x14ac:dyDescent="0.25">
      <c r="B46" s="764" t="s">
        <v>478</v>
      </c>
      <c r="C46" s="681"/>
      <c r="D46" s="681"/>
      <c r="E46" s="681"/>
      <c r="F46" s="681"/>
      <c r="G46" s="681"/>
      <c r="H46" s="681"/>
      <c r="I46" s="681"/>
      <c r="J46" s="681"/>
      <c r="K46" s="681"/>
    </row>
    <row r="47" spans="2:18" ht="17.25" customHeight="1" x14ac:dyDescent="0.25">
      <c r="B47" s="139" t="s">
        <v>431</v>
      </c>
    </row>
    <row r="48" spans="2:18" x14ac:dyDescent="0.25">
      <c r="B48" s="138"/>
      <c r="Q48" s="137" t="s">
        <v>481</v>
      </c>
    </row>
  </sheetData>
  <mergeCells count="46">
    <mergeCell ref="B37:Q37"/>
    <mergeCell ref="C30:C31"/>
    <mergeCell ref="I5:O5"/>
    <mergeCell ref="B40:Q40"/>
    <mergeCell ref="H6:H7"/>
    <mergeCell ref="I29:O29"/>
    <mergeCell ref="L6:O6"/>
    <mergeCell ref="P6:P7"/>
    <mergeCell ref="B15:Q15"/>
    <mergeCell ref="F30:F31"/>
    <mergeCell ref="B20:Q20"/>
    <mergeCell ref="F6:F7"/>
    <mergeCell ref="B28:H28"/>
    <mergeCell ref="B19:Q19"/>
    <mergeCell ref="B45:K45"/>
    <mergeCell ref="B4:H4"/>
    <mergeCell ref="B41:Q41"/>
    <mergeCell ref="G6:G7"/>
    <mergeCell ref="E6:E7"/>
    <mergeCell ref="B16:Q16"/>
    <mergeCell ref="I28:P28"/>
    <mergeCell ref="B6:B7"/>
    <mergeCell ref="E30:E31"/>
    <mergeCell ref="I6:K6"/>
    <mergeCell ref="I4:P4"/>
    <mergeCell ref="B14:Q14"/>
    <mergeCell ref="B17:Q17"/>
    <mergeCell ref="B13:Q13"/>
    <mergeCell ref="C6:C7"/>
    <mergeCell ref="D6:D7"/>
    <mergeCell ref="B46:K46"/>
    <mergeCell ref="G30:G31"/>
    <mergeCell ref="B22:K22"/>
    <mergeCell ref="B18:Q18"/>
    <mergeCell ref="B21:K21"/>
    <mergeCell ref="B43:Q43"/>
    <mergeCell ref="I30:K30"/>
    <mergeCell ref="B39:Q39"/>
    <mergeCell ref="B30:B31"/>
    <mergeCell ref="D30:D31"/>
    <mergeCell ref="B42:Q42"/>
    <mergeCell ref="H30:H31"/>
    <mergeCell ref="L30:O30"/>
    <mergeCell ref="P30:P31"/>
    <mergeCell ref="B38:Q38"/>
    <mergeCell ref="B44:Q44"/>
  </mergeCells>
  <phoneticPr fontId="1" type="noConversion"/>
  <pageMargins left="0.23622047244094491" right="0.23622047244094491" top="0.23622047244094491" bottom="0.23622047244094491" header="0.31496062992125978" footer="0.31496062992125978"/>
  <pageSetup paperSize="9" orientation="landscape" r:id="rId1"/>
  <rowBreaks count="1" manualBreakCount="1">
    <brk id="24" max="17"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工作表55"/>
  <dimension ref="A1:Q30"/>
  <sheetViews>
    <sheetView view="pageLayout" topLeftCell="A13" zoomScale="85" zoomScaleNormal="100" zoomScaleSheetLayoutView="100" zoomScalePageLayoutView="85" workbookViewId="0">
      <selection activeCell="F23" sqref="F23:O23"/>
    </sheetView>
  </sheetViews>
  <sheetFormatPr defaultRowHeight="16.5" x14ac:dyDescent="0.25"/>
  <cols>
    <col min="1" max="1" width="1.125" style="541" customWidth="1"/>
    <col min="2" max="2" width="1.375" style="541" customWidth="1"/>
    <col min="3" max="3" width="2.25" style="541" customWidth="1"/>
    <col min="4" max="4" width="9.75" style="541" customWidth="1"/>
    <col min="5" max="5" width="9.25" style="541" customWidth="1"/>
    <col min="6" max="6" width="1.375" style="541" customWidth="1"/>
    <col min="7" max="7" width="11" style="541" customWidth="1"/>
    <col min="8" max="8" width="6.625" style="541" customWidth="1"/>
    <col min="9" max="9" width="5.125" style="541" customWidth="1"/>
    <col min="10" max="10" width="4.25" style="541" customWidth="1"/>
    <col min="11" max="11" width="14.125" style="541" customWidth="1"/>
    <col min="12" max="12" width="0.875" style="541" customWidth="1"/>
    <col min="13" max="13" width="6.625" style="541" customWidth="1"/>
    <col min="14" max="14" width="7.5" style="541" customWidth="1"/>
    <col min="15" max="15" width="22.125" style="541" customWidth="1"/>
    <col min="16" max="16" width="1.125" style="541" customWidth="1"/>
    <col min="17" max="17" width="1.25" style="541" customWidth="1"/>
    <col min="18" max="52" width="9" style="541" customWidth="1"/>
    <col min="53" max="16384" width="9" style="541"/>
  </cols>
  <sheetData>
    <row r="1" spans="1:17" ht="26.25" customHeight="1" x14ac:dyDescent="0.25">
      <c r="A1" s="791" t="s">
        <v>482</v>
      </c>
      <c r="B1" s="574"/>
      <c r="C1" s="574"/>
      <c r="D1" s="574"/>
      <c r="E1" s="574"/>
      <c r="F1" s="574"/>
      <c r="G1" s="574"/>
      <c r="H1" s="574"/>
      <c r="I1" s="574"/>
      <c r="J1" s="574"/>
      <c r="K1" s="574"/>
      <c r="L1" s="574"/>
      <c r="M1" s="574"/>
      <c r="N1" s="574"/>
      <c r="O1" s="574"/>
      <c r="P1" s="574"/>
      <c r="Q1" s="575"/>
    </row>
    <row r="2" spans="1:17" ht="24" customHeight="1" x14ac:dyDescent="0.25">
      <c r="A2" s="777" t="s">
        <v>483</v>
      </c>
      <c r="B2" s="579"/>
      <c r="C2" s="579"/>
      <c r="D2" s="580"/>
      <c r="E2" s="815" t="s">
        <v>484</v>
      </c>
      <c r="F2" s="579"/>
      <c r="G2" s="579"/>
      <c r="H2" s="579"/>
      <c r="I2" s="579"/>
      <c r="J2" s="579"/>
      <c r="K2" s="579"/>
      <c r="L2" s="579"/>
      <c r="M2" s="579"/>
      <c r="N2" s="579"/>
      <c r="O2" s="579"/>
      <c r="P2" s="579"/>
      <c r="Q2" s="580"/>
    </row>
    <row r="3" spans="1:17" ht="24" customHeight="1" x14ac:dyDescent="0.25">
      <c r="A3" s="601"/>
      <c r="B3" s="781"/>
      <c r="C3" s="781"/>
      <c r="D3" s="603"/>
      <c r="E3" s="799" t="str">
        <f>CONCATENATE("__",輸入!$S$18,"__",輸入!$T$18,"___",輸入!$S$19,"___",輸入!$T$19,"___隊___",輸入!$S$20,"__分駐/派出所")</f>
        <v>__臺北市__政府警察局___信義___分局___隊___吳興街__分駐/派出所</v>
      </c>
      <c r="F3" s="781"/>
      <c r="G3" s="781"/>
      <c r="H3" s="781"/>
      <c r="I3" s="781"/>
      <c r="J3" s="781"/>
      <c r="K3" s="781"/>
      <c r="L3" s="781"/>
      <c r="M3" s="781"/>
      <c r="N3" s="781"/>
      <c r="O3" s="781"/>
      <c r="P3" s="781"/>
      <c r="Q3" s="603"/>
    </row>
    <row r="4" spans="1:17" ht="24" customHeight="1" x14ac:dyDescent="0.25">
      <c r="A4" s="581"/>
      <c r="B4" s="582"/>
      <c r="C4" s="582"/>
      <c r="D4" s="583"/>
      <c r="E4" s="779" t="s">
        <v>485</v>
      </c>
      <c r="F4" s="582"/>
      <c r="G4" s="582"/>
      <c r="H4" s="582"/>
      <c r="I4" s="582"/>
      <c r="J4" s="582"/>
      <c r="K4" s="582"/>
      <c r="L4" s="582"/>
      <c r="M4" s="582"/>
      <c r="N4" s="582"/>
      <c r="O4" s="582"/>
      <c r="P4" s="582"/>
      <c r="Q4" s="583"/>
    </row>
    <row r="5" spans="1:17" ht="33" customHeight="1" x14ac:dyDescent="0.25">
      <c r="A5" s="777" t="s">
        <v>486</v>
      </c>
      <c r="B5" s="574"/>
      <c r="C5" s="574"/>
      <c r="D5" s="575"/>
      <c r="E5" s="800" t="str">
        <f>word用!$H$2</f>
        <v>顏文祥</v>
      </c>
      <c r="F5" s="582"/>
      <c r="G5" s="582"/>
      <c r="H5" s="583"/>
      <c r="I5" s="778"/>
      <c r="J5" s="603"/>
      <c r="K5" s="802" t="s">
        <v>487</v>
      </c>
      <c r="L5" s="579"/>
      <c r="M5" s="579"/>
      <c r="N5" s="579"/>
      <c r="O5" s="579"/>
      <c r="P5" s="579"/>
      <c r="Q5" s="580"/>
    </row>
    <row r="6" spans="1:17" ht="27" customHeight="1" x14ac:dyDescent="0.25">
      <c r="A6" s="777" t="s">
        <v>488</v>
      </c>
      <c r="B6" s="574"/>
      <c r="C6" s="574"/>
      <c r="D6" s="575"/>
      <c r="E6" s="584" t="str">
        <f>IF(word用!$K$2="0","",word用!$K$2)</f>
        <v>0935680306</v>
      </c>
      <c r="F6" s="574"/>
      <c r="G6" s="574"/>
      <c r="H6" s="575"/>
      <c r="I6" s="808" t="s">
        <v>489</v>
      </c>
      <c r="J6" s="603"/>
      <c r="K6" s="819" t="s">
        <v>490</v>
      </c>
      <c r="L6" s="781"/>
      <c r="M6" s="781"/>
      <c r="N6" s="781"/>
      <c r="O6" s="781"/>
      <c r="P6" s="781"/>
      <c r="Q6" s="603"/>
    </row>
    <row r="7" spans="1:17" ht="43.5" customHeight="1" x14ac:dyDescent="0.25">
      <c r="A7" s="777" t="s">
        <v>491</v>
      </c>
      <c r="B7" s="574"/>
      <c r="C7" s="574"/>
      <c r="D7" s="575"/>
      <c r="E7" s="584" t="str">
        <f>UPPER(VLOOKUP($E$5,個資,2,FALSE))</f>
        <v>A126819564</v>
      </c>
      <c r="F7" s="574"/>
      <c r="G7" s="574"/>
      <c r="H7" s="575"/>
      <c r="I7" s="601"/>
      <c r="J7" s="603"/>
      <c r="K7" s="601"/>
      <c r="L7" s="781"/>
      <c r="M7" s="781"/>
      <c r="N7" s="781"/>
      <c r="O7" s="781"/>
      <c r="P7" s="781"/>
      <c r="Q7" s="603"/>
    </row>
    <row r="8" spans="1:17" ht="27.75" customHeight="1" x14ac:dyDescent="0.25">
      <c r="A8" s="777" t="s">
        <v>492</v>
      </c>
      <c r="B8" s="579"/>
      <c r="C8" s="579"/>
      <c r="D8" s="580"/>
      <c r="E8" s="805" t="str">
        <f>呈報單!$G$15</f>
        <v>毀損</v>
      </c>
      <c r="F8" s="579"/>
      <c r="G8" s="579"/>
      <c r="H8" s="580"/>
      <c r="I8" s="601"/>
      <c r="J8" s="603"/>
      <c r="K8" s="814" t="s">
        <v>493</v>
      </c>
      <c r="L8" s="781"/>
      <c r="M8" s="781"/>
      <c r="N8" s="781"/>
      <c r="O8" s="781"/>
      <c r="P8" s="781"/>
      <c r="Q8" s="603"/>
    </row>
    <row r="9" spans="1:17" ht="27.75" customHeight="1" x14ac:dyDescent="0.25">
      <c r="A9" s="601"/>
      <c r="B9" s="781"/>
      <c r="C9" s="781"/>
      <c r="D9" s="603"/>
      <c r="E9" s="601"/>
      <c r="F9" s="781"/>
      <c r="G9" s="781"/>
      <c r="H9" s="603"/>
      <c r="I9" s="601"/>
      <c r="J9" s="603"/>
      <c r="K9" s="788" t="s">
        <v>494</v>
      </c>
      <c r="L9" s="781"/>
      <c r="M9" s="781"/>
      <c r="N9" s="781"/>
      <c r="O9" s="781"/>
      <c r="P9" s="781"/>
      <c r="Q9" s="603"/>
    </row>
    <row r="10" spans="1:17" ht="58.5" customHeight="1" x14ac:dyDescent="0.25">
      <c r="A10" s="581"/>
      <c r="B10" s="582"/>
      <c r="C10" s="582"/>
      <c r="D10" s="583"/>
      <c r="E10" s="782" t="s">
        <v>495</v>
      </c>
      <c r="F10" s="582"/>
      <c r="G10" s="582"/>
      <c r="H10" s="583"/>
      <c r="I10" s="581"/>
      <c r="J10" s="583"/>
      <c r="K10" s="581"/>
      <c r="L10" s="582"/>
      <c r="M10" s="582"/>
      <c r="N10" s="582"/>
      <c r="O10" s="582"/>
      <c r="P10" s="582"/>
      <c r="Q10" s="583"/>
    </row>
    <row r="11" spans="1:17" ht="22.5" customHeight="1" x14ac:dyDescent="0.25">
      <c r="A11" s="813" t="s">
        <v>496</v>
      </c>
      <c r="B11" s="579"/>
      <c r="C11" s="579"/>
      <c r="D11" s="579"/>
      <c r="E11" s="579"/>
      <c r="F11" s="579"/>
      <c r="G11" s="579"/>
      <c r="H11" s="579"/>
      <c r="I11" s="579"/>
      <c r="J11" s="579"/>
      <c r="K11" s="579"/>
      <c r="L11" s="579"/>
      <c r="M11" s="579"/>
      <c r="N11" s="579"/>
      <c r="O11" s="579"/>
      <c r="P11" s="579"/>
      <c r="Q11" s="580"/>
    </row>
    <row r="12" spans="1:17" ht="22.5" customHeight="1" x14ac:dyDescent="0.25">
      <c r="A12" s="804" t="str">
        <f>CONCATENATE("偵訊機關地址：",輸入!S23)</f>
        <v>偵訊機關地址：台北市信義區吳興街262號</v>
      </c>
      <c r="B12" s="582"/>
      <c r="C12" s="582"/>
      <c r="D12" s="582"/>
      <c r="E12" s="582"/>
      <c r="F12" s="582"/>
      <c r="G12" s="582"/>
      <c r="H12" s="582"/>
      <c r="I12" s="582"/>
      <c r="J12" s="582"/>
      <c r="K12" s="582"/>
      <c r="L12" s="582"/>
      <c r="M12" s="582"/>
      <c r="N12" s="582"/>
      <c r="O12" s="582"/>
      <c r="P12" s="582"/>
      <c r="Q12" s="583"/>
    </row>
    <row r="13" spans="1:17" ht="27" customHeight="1" x14ac:dyDescent="0.25">
      <c r="B13" s="792" t="s">
        <v>497</v>
      </c>
      <c r="C13" s="603"/>
      <c r="D13" s="780" t="s">
        <v>498</v>
      </c>
      <c r="E13" s="781"/>
      <c r="F13" s="603"/>
      <c r="G13" s="810" t="s">
        <v>499</v>
      </c>
      <c r="H13" s="781"/>
      <c r="I13" s="781"/>
      <c r="J13" s="781"/>
      <c r="K13" s="781"/>
      <c r="L13" s="781"/>
      <c r="M13" s="781"/>
      <c r="N13" s="781"/>
      <c r="O13" s="781"/>
      <c r="P13" s="811"/>
    </row>
    <row r="14" spans="1:17" ht="12" customHeight="1" x14ac:dyDescent="0.25">
      <c r="B14" s="731"/>
      <c r="C14" s="603"/>
      <c r="D14" s="732"/>
      <c r="E14" s="582"/>
      <c r="F14" s="583"/>
      <c r="G14" s="581"/>
      <c r="H14" s="582"/>
      <c r="I14" s="582"/>
      <c r="J14" s="582"/>
      <c r="K14" s="582"/>
      <c r="L14" s="582"/>
      <c r="M14" s="582"/>
      <c r="N14" s="582"/>
      <c r="O14" s="582"/>
      <c r="P14" s="812"/>
    </row>
    <row r="15" spans="1:17" ht="19.5" customHeight="1" x14ac:dyDescent="0.25">
      <c r="B15" s="731"/>
      <c r="C15" s="603"/>
      <c r="D15" s="816" t="s">
        <v>500</v>
      </c>
      <c r="E15" s="579"/>
      <c r="F15" s="580"/>
      <c r="G15" s="784" t="s">
        <v>501</v>
      </c>
      <c r="H15" s="579"/>
      <c r="I15" s="579"/>
      <c r="J15" s="579"/>
      <c r="K15" s="579"/>
      <c r="L15" s="580"/>
      <c r="M15" s="787" t="s">
        <v>502</v>
      </c>
      <c r="N15" s="580"/>
      <c r="O15" s="402"/>
      <c r="P15" s="403"/>
    </row>
    <row r="16" spans="1:17" ht="18" customHeight="1" x14ac:dyDescent="0.25">
      <c r="B16" s="731"/>
      <c r="C16" s="603"/>
      <c r="D16" s="731"/>
      <c r="E16" s="781"/>
      <c r="F16" s="603"/>
      <c r="G16" s="803" t="s">
        <v>503</v>
      </c>
      <c r="H16" s="781"/>
      <c r="I16" s="781"/>
      <c r="J16" s="781"/>
      <c r="K16" s="781"/>
      <c r="L16" s="603"/>
      <c r="M16" s="601"/>
      <c r="N16" s="603"/>
      <c r="O16" s="404"/>
      <c r="P16" s="405"/>
    </row>
    <row r="17" spans="2:17" ht="18" customHeight="1" x14ac:dyDescent="0.25">
      <c r="B17" s="731"/>
      <c r="C17" s="603"/>
      <c r="D17" s="731"/>
      <c r="E17" s="781"/>
      <c r="F17" s="603"/>
      <c r="G17" s="789" t="s">
        <v>504</v>
      </c>
      <c r="H17" s="781"/>
      <c r="I17" s="781"/>
      <c r="J17" s="781"/>
      <c r="K17" s="781"/>
      <c r="L17" s="603"/>
      <c r="M17" s="601"/>
      <c r="N17" s="603"/>
      <c r="O17" s="793" t="s">
        <v>505</v>
      </c>
      <c r="P17" s="727"/>
    </row>
    <row r="18" spans="2:17" ht="20.25" customHeight="1" thickBot="1" x14ac:dyDescent="0.3">
      <c r="B18" s="732"/>
      <c r="C18" s="583"/>
      <c r="D18" s="817"/>
      <c r="E18" s="771"/>
      <c r="F18" s="807"/>
      <c r="G18" s="806" t="s">
        <v>506</v>
      </c>
      <c r="H18" s="771"/>
      <c r="I18" s="771"/>
      <c r="J18" s="771"/>
      <c r="K18" s="771"/>
      <c r="L18" s="807"/>
      <c r="M18" s="581"/>
      <c r="N18" s="583"/>
      <c r="O18" s="794"/>
      <c r="P18" s="795"/>
    </row>
    <row r="19" spans="2:17" ht="66" customHeight="1" thickBot="1" x14ac:dyDescent="0.3">
      <c r="B19" s="796" t="s">
        <v>507</v>
      </c>
      <c r="C19" s="797"/>
      <c r="D19" s="797"/>
      <c r="E19" s="797"/>
      <c r="F19" s="797"/>
      <c r="G19" s="797"/>
      <c r="H19" s="797"/>
      <c r="I19" s="797"/>
      <c r="J19" s="797"/>
      <c r="K19" s="797"/>
      <c r="L19" s="797"/>
      <c r="M19" s="797"/>
      <c r="N19" s="797"/>
      <c r="O19" s="797"/>
      <c r="P19" s="798"/>
    </row>
    <row r="20" spans="2:17" ht="24" customHeight="1" x14ac:dyDescent="0.25">
      <c r="B20" s="538"/>
      <c r="C20" s="801" t="s">
        <v>508</v>
      </c>
      <c r="D20" s="781"/>
      <c r="E20" s="603"/>
      <c r="F20" s="785" t="str">
        <f>CONCATENATE(輸入!$T$24,"  ",輸入!$U$24,)</f>
        <v>警員  蘇詠棠</v>
      </c>
      <c r="G20" s="721"/>
      <c r="H20" s="721"/>
      <c r="I20" s="721"/>
      <c r="J20" s="786"/>
      <c r="K20" s="485" t="s">
        <v>509</v>
      </c>
      <c r="L20" s="809" t="str">
        <f>輸入!$T$21</f>
        <v>(02)27398997</v>
      </c>
      <c r="M20" s="574"/>
      <c r="N20" s="574"/>
      <c r="O20" s="575"/>
      <c r="P20" s="538"/>
    </row>
    <row r="21" spans="2:17" ht="25.5" customHeight="1" x14ac:dyDescent="0.25">
      <c r="B21" s="538"/>
      <c r="C21" s="581"/>
      <c r="D21" s="582"/>
      <c r="E21" s="583"/>
      <c r="F21" s="581"/>
      <c r="G21" s="582"/>
      <c r="H21" s="582"/>
      <c r="I21" s="582"/>
      <c r="J21" s="583"/>
      <c r="K21" s="485" t="s">
        <v>510</v>
      </c>
      <c r="L21" s="809" t="str">
        <f>輸入!$T$22</f>
        <v>(02)27398997</v>
      </c>
      <c r="M21" s="574"/>
      <c r="N21" s="574"/>
      <c r="O21" s="575"/>
      <c r="P21" s="538"/>
    </row>
    <row r="22" spans="2:17" ht="24" customHeight="1" x14ac:dyDescent="0.25">
      <c r="B22" s="538"/>
      <c r="C22" s="777" t="s">
        <v>511</v>
      </c>
      <c r="D22" s="574"/>
      <c r="E22" s="575"/>
      <c r="F22" s="765" t="s">
        <v>512</v>
      </c>
      <c r="G22" s="574"/>
      <c r="H22" s="574"/>
      <c r="I22" s="574"/>
      <c r="J22" s="574"/>
      <c r="K22" s="574"/>
      <c r="L22" s="574"/>
      <c r="M22" s="574"/>
      <c r="N22" s="574"/>
      <c r="O22" s="575"/>
      <c r="P22" s="538"/>
    </row>
    <row r="23" spans="2:17" ht="36.75" customHeight="1" x14ac:dyDescent="0.25">
      <c r="B23" s="538"/>
      <c r="C23" s="777" t="s">
        <v>513</v>
      </c>
      <c r="D23" s="574"/>
      <c r="E23" s="575"/>
      <c r="F23" s="660" t="s">
        <v>514</v>
      </c>
      <c r="G23" s="574"/>
      <c r="H23" s="574"/>
      <c r="I23" s="574"/>
      <c r="J23" s="574"/>
      <c r="K23" s="574"/>
      <c r="L23" s="574"/>
      <c r="M23" s="574"/>
      <c r="N23" s="574"/>
      <c r="O23" s="575"/>
      <c r="P23" s="538"/>
    </row>
    <row r="24" spans="2:17" ht="18.75" customHeight="1" x14ac:dyDescent="0.25">
      <c r="B24" s="538"/>
      <c r="C24" s="446"/>
      <c r="D24" s="446"/>
      <c r="E24" s="446"/>
      <c r="F24" s="422"/>
      <c r="G24" s="422"/>
      <c r="H24" s="422"/>
      <c r="I24" s="422"/>
      <c r="J24" s="422"/>
      <c r="K24" s="422"/>
      <c r="L24" s="422"/>
      <c r="M24" s="422"/>
      <c r="N24" s="422"/>
      <c r="O24" s="422"/>
      <c r="P24" s="538"/>
    </row>
    <row r="25" spans="2:17" ht="20.25" customHeight="1" x14ac:dyDescent="0.25">
      <c r="B25" s="401" t="s">
        <v>431</v>
      </c>
      <c r="C25" s="423"/>
      <c r="D25" s="423"/>
      <c r="E25" s="423"/>
      <c r="F25" s="423"/>
      <c r="G25" s="424" t="s">
        <v>515</v>
      </c>
      <c r="H25" s="424"/>
      <c r="I25" s="424"/>
      <c r="J25" s="424"/>
      <c r="K25" s="424"/>
      <c r="L25" s="424"/>
      <c r="M25" s="424"/>
      <c r="N25" s="424"/>
      <c r="O25" s="424"/>
      <c r="P25" s="401"/>
    </row>
    <row r="26" spans="2:17" ht="29.25" customHeight="1" x14ac:dyDescent="0.25">
      <c r="C26" s="790" t="s">
        <v>516</v>
      </c>
      <c r="D26" s="579"/>
      <c r="E26" s="580"/>
      <c r="F26" s="784" t="s">
        <v>517</v>
      </c>
      <c r="G26" s="579"/>
      <c r="H26" s="579"/>
      <c r="I26" s="579"/>
      <c r="J26" s="579"/>
      <c r="K26" s="579"/>
      <c r="L26" s="579"/>
      <c r="M26" s="579"/>
      <c r="N26" s="579"/>
      <c r="O26" s="580"/>
    </row>
    <row r="27" spans="2:17" ht="21.75" customHeight="1" x14ac:dyDescent="0.25">
      <c r="C27" s="777" t="s">
        <v>518</v>
      </c>
      <c r="D27" s="574"/>
      <c r="E27" s="575"/>
      <c r="F27" s="818" t="s">
        <v>519</v>
      </c>
      <c r="G27" s="574"/>
      <c r="H27" s="574"/>
      <c r="I27" s="574"/>
      <c r="J27" s="574"/>
      <c r="K27" s="574"/>
      <c r="L27" s="574"/>
      <c r="M27" s="574"/>
      <c r="N27" s="574"/>
      <c r="O27" s="575"/>
    </row>
    <row r="28" spans="2:17" ht="33.75" customHeight="1" x14ac:dyDescent="0.25">
      <c r="C28" s="787" t="s">
        <v>520</v>
      </c>
      <c r="D28" s="574"/>
      <c r="E28" s="575"/>
      <c r="F28" s="592"/>
      <c r="G28" s="574"/>
      <c r="H28" s="574"/>
      <c r="I28" s="574"/>
      <c r="J28" s="575"/>
      <c r="K28" s="787" t="s">
        <v>521</v>
      </c>
      <c r="L28" s="575"/>
      <c r="M28" s="594"/>
      <c r="N28" s="574"/>
      <c r="O28" s="575"/>
    </row>
    <row r="29" spans="2:17" ht="21" customHeight="1" x14ac:dyDescent="0.25">
      <c r="C29" s="790" t="s">
        <v>522</v>
      </c>
      <c r="D29" s="579"/>
      <c r="E29" s="580"/>
      <c r="F29" s="592"/>
      <c r="G29" s="575"/>
      <c r="H29" s="485" t="s">
        <v>509</v>
      </c>
      <c r="I29" s="783" t="s">
        <v>523</v>
      </c>
      <c r="J29" s="574"/>
      <c r="K29" s="574"/>
      <c r="L29" s="574"/>
      <c r="M29" s="575"/>
      <c r="N29" s="486" t="s">
        <v>510</v>
      </c>
      <c r="O29" s="421" t="s">
        <v>524</v>
      </c>
      <c r="P29" s="419"/>
      <c r="Q29" s="420"/>
    </row>
    <row r="30" spans="2:17" ht="22.5" customHeight="1" x14ac:dyDescent="0.25">
      <c r="C30" s="777" t="s">
        <v>525</v>
      </c>
      <c r="D30" s="574"/>
      <c r="E30" s="575"/>
      <c r="F30" s="765" t="s">
        <v>519</v>
      </c>
      <c r="G30" s="574"/>
      <c r="H30" s="574"/>
      <c r="I30" s="574"/>
      <c r="J30" s="574"/>
      <c r="K30" s="574"/>
      <c r="L30" s="574"/>
      <c r="M30" s="574"/>
      <c r="N30" s="574"/>
      <c r="O30" s="575"/>
    </row>
  </sheetData>
  <mergeCells count="54">
    <mergeCell ref="F22:O22"/>
    <mergeCell ref="A5:D5"/>
    <mergeCell ref="E2:Q2"/>
    <mergeCell ref="D15:F18"/>
    <mergeCell ref="F27:O27"/>
    <mergeCell ref="K6:Q7"/>
    <mergeCell ref="F29:G29"/>
    <mergeCell ref="A8:D10"/>
    <mergeCell ref="E8:H9"/>
    <mergeCell ref="M15:N18"/>
    <mergeCell ref="A2:D4"/>
    <mergeCell ref="G18:L18"/>
    <mergeCell ref="C22:E22"/>
    <mergeCell ref="I6:J10"/>
    <mergeCell ref="L21:O21"/>
    <mergeCell ref="G13:P14"/>
    <mergeCell ref="E7:H7"/>
    <mergeCell ref="A11:Q11"/>
    <mergeCell ref="L20:O20"/>
    <mergeCell ref="C29:E29"/>
    <mergeCell ref="K8:Q8"/>
    <mergeCell ref="F23:O23"/>
    <mergeCell ref="A1:Q1"/>
    <mergeCell ref="B13:C18"/>
    <mergeCell ref="M28:O28"/>
    <mergeCell ref="G15:L15"/>
    <mergeCell ref="O17:P18"/>
    <mergeCell ref="C27:E27"/>
    <mergeCell ref="C23:E23"/>
    <mergeCell ref="B19:P19"/>
    <mergeCell ref="E3:Q3"/>
    <mergeCell ref="E5:H5"/>
    <mergeCell ref="C20:E21"/>
    <mergeCell ref="K5:Q5"/>
    <mergeCell ref="C28:E28"/>
    <mergeCell ref="G16:L16"/>
    <mergeCell ref="A6:D6"/>
    <mergeCell ref="A12:Q12"/>
    <mergeCell ref="F30:O30"/>
    <mergeCell ref="F28:J28"/>
    <mergeCell ref="A7:D7"/>
    <mergeCell ref="I5:J5"/>
    <mergeCell ref="E4:Q4"/>
    <mergeCell ref="C30:E30"/>
    <mergeCell ref="D13:F14"/>
    <mergeCell ref="E10:H10"/>
    <mergeCell ref="I29:M29"/>
    <mergeCell ref="F26:O26"/>
    <mergeCell ref="F20:J21"/>
    <mergeCell ref="K28:L28"/>
    <mergeCell ref="K9:Q10"/>
    <mergeCell ref="E6:H6"/>
    <mergeCell ref="G17:L17"/>
    <mergeCell ref="C26:E26"/>
  </mergeCells>
  <phoneticPr fontId="1" type="noConversion"/>
  <pageMargins left="0.23622047244094491" right="0.23622047244094491" top="0.74803149606299213" bottom="0.74803149606299213" header="0.31496062992125978" footer="0.31496062992125978"/>
  <pageSetup paperSize="9" scale="93"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工作表16">
    <tabColor rgb="FF92D050"/>
  </sheetPr>
  <dimension ref="A1:G16"/>
  <sheetViews>
    <sheetView view="pageBreakPreview" zoomScale="85" zoomScaleNormal="100" zoomScaleSheetLayoutView="85" zoomScalePageLayoutView="85" workbookViewId="0">
      <selection activeCell="G4" sqref="G4:G5"/>
    </sheetView>
  </sheetViews>
  <sheetFormatPr defaultRowHeight="16.5" x14ac:dyDescent="0.25"/>
  <cols>
    <col min="6" max="6" width="10.75" style="545" customWidth="1"/>
    <col min="7" max="7" width="30.125" style="545" customWidth="1"/>
  </cols>
  <sheetData>
    <row r="1" spans="1:7" ht="26.25" customHeight="1" thickTop="1" x14ac:dyDescent="0.25">
      <c r="A1" s="825" t="str">
        <f>CONCATENATE(輸入!$S$18,輸入!$T$18,輸入!$S$19,輸入!$T$19)</f>
        <v>臺北市政府警察局信義分局</v>
      </c>
      <c r="B1" s="826"/>
      <c r="C1" s="826"/>
      <c r="D1" s="826"/>
      <c r="E1" s="826"/>
      <c r="F1" s="826"/>
      <c r="G1" s="827"/>
    </row>
    <row r="2" spans="1:7" ht="49.5" customHeight="1" thickBot="1" x14ac:dyDescent="0.3">
      <c r="A2" s="841" t="s">
        <v>526</v>
      </c>
      <c r="B2" s="670"/>
      <c r="C2" s="670"/>
      <c r="D2" s="670"/>
      <c r="E2" s="670"/>
      <c r="F2" s="670"/>
      <c r="G2" s="671"/>
    </row>
    <row r="3" spans="1:7" ht="32.25" customHeight="1" thickBot="1" x14ac:dyDescent="0.3">
      <c r="A3" s="820" t="s">
        <v>527</v>
      </c>
      <c r="B3" s="798"/>
      <c r="C3" s="833" t="str">
        <f>word用!H2</f>
        <v>顏文祥</v>
      </c>
      <c r="D3" s="797"/>
      <c r="E3" s="798"/>
      <c r="F3" s="490" t="s">
        <v>528</v>
      </c>
      <c r="G3" s="119" t="str">
        <f>調閱用!$G$24</f>
        <v>114年05月05日05時05分</v>
      </c>
    </row>
    <row r="4" spans="1:7" ht="16.5" customHeight="1" x14ac:dyDescent="0.25">
      <c r="A4" s="850" t="s">
        <v>529</v>
      </c>
      <c r="B4" s="851"/>
      <c r="C4" s="842">
        <f>IF(ISBLANK(輸入!$H$8),"    時    分",輸入!$H$8)</f>
        <v>400</v>
      </c>
      <c r="D4" s="721"/>
      <c r="E4" s="843"/>
      <c r="F4" s="833" t="s">
        <v>242</v>
      </c>
      <c r="G4" s="835" t="s">
        <v>530</v>
      </c>
    </row>
    <row r="5" spans="1:7" ht="16.5" customHeight="1" thickBot="1" x14ac:dyDescent="0.3">
      <c r="A5" s="840" t="s">
        <v>531</v>
      </c>
      <c r="B5" s="795"/>
      <c r="C5" s="839"/>
      <c r="D5" s="670"/>
      <c r="E5" s="795"/>
      <c r="F5" s="834"/>
      <c r="G5" s="836"/>
    </row>
    <row r="6" spans="1:7" ht="16.5" customHeight="1" x14ac:dyDescent="0.25">
      <c r="A6" s="828" t="s">
        <v>532</v>
      </c>
      <c r="B6" s="829"/>
      <c r="C6" s="831" t="s">
        <v>533</v>
      </c>
      <c r="D6" s="721"/>
      <c r="E6" s="721"/>
      <c r="F6" s="721"/>
      <c r="G6" s="832"/>
    </row>
    <row r="7" spans="1:7" ht="16.5" customHeight="1" x14ac:dyDescent="0.25">
      <c r="A7" s="665"/>
      <c r="B7" s="727"/>
      <c r="C7" s="821" t="s">
        <v>534</v>
      </c>
      <c r="D7" s="781"/>
      <c r="E7" s="781"/>
      <c r="F7" s="681"/>
      <c r="G7" s="669"/>
    </row>
    <row r="8" spans="1:7" ht="33" customHeight="1" x14ac:dyDescent="0.25">
      <c r="A8" s="665"/>
      <c r="B8" s="727"/>
      <c r="C8" s="821" t="s">
        <v>535</v>
      </c>
      <c r="D8" s="781"/>
      <c r="E8" s="781"/>
      <c r="F8" s="681"/>
      <c r="G8" s="669"/>
    </row>
    <row r="9" spans="1:7" ht="33" customHeight="1" thickBot="1" x14ac:dyDescent="0.3">
      <c r="A9" s="830"/>
      <c r="B9" s="795"/>
      <c r="C9" s="848" t="s">
        <v>536</v>
      </c>
      <c r="D9" s="771"/>
      <c r="E9" s="771"/>
      <c r="F9" s="771"/>
      <c r="G9" s="849"/>
    </row>
    <row r="10" spans="1:7" ht="212.25" customHeight="1" x14ac:dyDescent="0.25">
      <c r="A10" s="828" t="s">
        <v>537</v>
      </c>
      <c r="B10" s="829"/>
      <c r="C10" s="837" t="s">
        <v>538</v>
      </c>
      <c r="D10" s="721"/>
      <c r="E10" s="721"/>
      <c r="F10" s="721"/>
      <c r="G10" s="838"/>
    </row>
    <row r="11" spans="1:7" ht="261.75" customHeight="1" thickBot="1" x14ac:dyDescent="0.3">
      <c r="A11" s="830"/>
      <c r="B11" s="795"/>
      <c r="C11" s="839"/>
      <c r="D11" s="670"/>
      <c r="E11" s="670"/>
      <c r="F11" s="670"/>
      <c r="G11" s="671"/>
    </row>
    <row r="12" spans="1:7" x14ac:dyDescent="0.25">
      <c r="A12" s="118" t="s">
        <v>539</v>
      </c>
      <c r="B12" s="822"/>
      <c r="C12" s="722"/>
      <c r="D12" s="489" t="s">
        <v>540</v>
      </c>
      <c r="E12" s="844"/>
      <c r="F12" s="721"/>
      <c r="G12" s="832"/>
    </row>
    <row r="13" spans="1:7" x14ac:dyDescent="0.25">
      <c r="A13" s="118" t="s">
        <v>541</v>
      </c>
      <c r="B13" s="731"/>
      <c r="C13" s="811"/>
      <c r="D13" s="489"/>
      <c r="E13" s="731"/>
      <c r="F13" s="681"/>
      <c r="G13" s="845"/>
    </row>
    <row r="14" spans="1:7" ht="17.25" customHeight="1" thickBot="1" x14ac:dyDescent="0.3">
      <c r="A14" s="117" t="s">
        <v>542</v>
      </c>
      <c r="B14" s="823"/>
      <c r="C14" s="824"/>
      <c r="D14" s="116" t="s">
        <v>543</v>
      </c>
      <c r="E14" s="823"/>
      <c r="F14" s="846"/>
      <c r="G14" s="847"/>
    </row>
    <row r="15" spans="1:7" ht="17.25" customHeight="1" thickTop="1" x14ac:dyDescent="0.25">
      <c r="A15" s="115"/>
      <c r="B15" s="115"/>
      <c r="C15" s="115"/>
      <c r="D15" s="115"/>
      <c r="E15" s="115"/>
      <c r="F15" s="115"/>
      <c r="G15" s="115"/>
    </row>
    <row r="16" spans="1:7" x14ac:dyDescent="0.25">
      <c r="A16" s="108"/>
    </row>
  </sheetData>
  <mergeCells count="18">
    <mergeCell ref="C9:G9"/>
    <mergeCell ref="A4:B4"/>
    <mergeCell ref="A3:B3"/>
    <mergeCell ref="C7:G7"/>
    <mergeCell ref="B12:C14"/>
    <mergeCell ref="A1:G1"/>
    <mergeCell ref="A6:B9"/>
    <mergeCell ref="C6:G6"/>
    <mergeCell ref="F4:F5"/>
    <mergeCell ref="G4:G5"/>
    <mergeCell ref="C10:G11"/>
    <mergeCell ref="A5:B5"/>
    <mergeCell ref="A10:B11"/>
    <mergeCell ref="A2:G2"/>
    <mergeCell ref="C4:E5"/>
    <mergeCell ref="C3:E3"/>
    <mergeCell ref="E12:G14"/>
    <mergeCell ref="C8:G8"/>
  </mergeCells>
  <phoneticPr fontId="1"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工作表17">
    <tabColor rgb="FF92D050"/>
  </sheetPr>
  <dimension ref="A1:AP25"/>
  <sheetViews>
    <sheetView showGridLines="0" view="pageBreakPreview" topLeftCell="A13" zoomScaleNormal="100" zoomScaleSheetLayoutView="100" workbookViewId="0">
      <selection activeCell="A3" sqref="A3:U6"/>
    </sheetView>
  </sheetViews>
  <sheetFormatPr defaultRowHeight="16.5" x14ac:dyDescent="0.25"/>
  <cols>
    <col min="1" max="42" width="4.125" style="545" customWidth="1"/>
  </cols>
  <sheetData>
    <row r="1" spans="1:21" ht="36.75" customHeight="1" x14ac:dyDescent="0.25">
      <c r="A1" s="852" t="s">
        <v>544</v>
      </c>
      <c r="B1" s="681"/>
      <c r="C1" s="681"/>
      <c r="D1" s="681"/>
      <c r="E1" s="681"/>
      <c r="F1" s="681"/>
      <c r="G1" s="681"/>
      <c r="H1" s="681"/>
      <c r="I1" s="681"/>
      <c r="J1" s="681"/>
      <c r="K1" s="681"/>
      <c r="L1" s="681"/>
      <c r="M1" s="681"/>
      <c r="N1" s="681"/>
      <c r="O1" s="681"/>
      <c r="P1" s="681"/>
      <c r="Q1" s="681"/>
      <c r="R1" s="681"/>
      <c r="S1" s="681"/>
      <c r="T1" s="681"/>
      <c r="U1" s="681"/>
    </row>
    <row r="2" spans="1:21" ht="36.75" customHeight="1" x14ac:dyDescent="0.25">
      <c r="A2" s="492"/>
      <c r="B2" s="492"/>
      <c r="C2" s="492"/>
      <c r="D2" s="492"/>
      <c r="E2" s="492"/>
      <c r="F2" s="492"/>
      <c r="G2" s="492"/>
      <c r="H2" s="492"/>
      <c r="I2" s="492"/>
      <c r="J2" s="492"/>
      <c r="K2" s="492"/>
      <c r="L2" s="492"/>
      <c r="M2" s="492"/>
      <c r="N2" s="492"/>
      <c r="O2" s="492"/>
      <c r="P2" s="492"/>
      <c r="Q2" s="492"/>
      <c r="R2" s="492"/>
      <c r="S2" s="492"/>
      <c r="T2" s="492"/>
      <c r="U2" s="492"/>
    </row>
    <row r="3" spans="1:21" ht="39" customHeight="1" x14ac:dyDescent="0.25">
      <c r="A3" s="855" t="str">
        <f>CONCATENATE("　　本人",IF(ISNUMBER(SEARCH("涉嫌人",輸入!$M$17)),輸入!$B$17,
IF(ISNUMBER(SEARCH("涉嫌人",輸入!$M$18)),輸入!$B$18,
IF(ISNUMBER(SEARCH("涉嫌人",輸入!$M$19)),輸入!$B$19,
IF(ISNUMBER(SEARCH("涉嫌人",輸入!$M$20)),輸入!$B$20,
IF(ISNUMBER(SEARCH("涉嫌人",輸入!$M$21)),輸入!$B$21,
IF(ISNUMBER(SEARCH("涉嫌人",輸入!$M$22)),輸入!$B$22,
IF(ISNUMBER(SEARCH("涉嫌人",輸入!$M$23)),輸入!$B$23,
IF(ISNUMBER(SEARCH("涉嫌人",輸入!$M$24)),輸入!$B$24,
IF(ISNUMBER(SEARCH("涉嫌人",輸入!$M$25)),輸入!$B$25,
IF(ISNUMBER(SEARCH("涉嫌人",輸入!$M$26)),輸入!$B$26,"")))))))))),"所駕之",word用!$Z$2,"（車號：",UPPER(word用!$AA$2),"號）一部，於",LEFT(下拉用!$J$10,10),"為貴單位代保管，經委託（受託人）代為領回該車輛，其所生之權利義務由本人負責，特立本委託書為憑。")</f>
        <v>　　本人所駕之輕機（車號：EWJ-8123號）一部，於日期：中華民國 年月為貴單位代保管，經委託（受託人）代為領回該車輛，其所生之權利義務由本人負責，特立本委託書為憑。</v>
      </c>
      <c r="B3" s="681"/>
      <c r="C3" s="681"/>
      <c r="D3" s="681"/>
      <c r="E3" s="681"/>
      <c r="F3" s="681"/>
      <c r="G3" s="681"/>
      <c r="H3" s="681"/>
      <c r="I3" s="681"/>
      <c r="J3" s="681"/>
      <c r="K3" s="681"/>
      <c r="L3" s="681"/>
      <c r="M3" s="681"/>
      <c r="N3" s="681"/>
      <c r="O3" s="681"/>
      <c r="P3" s="681"/>
      <c r="Q3" s="681"/>
      <c r="R3" s="681"/>
      <c r="S3" s="681"/>
      <c r="T3" s="681"/>
      <c r="U3" s="681"/>
    </row>
    <row r="4" spans="1:21" ht="39" customHeight="1" x14ac:dyDescent="0.25">
      <c r="A4" s="681"/>
      <c r="B4" s="681"/>
      <c r="C4" s="681"/>
      <c r="D4" s="681"/>
      <c r="E4" s="681"/>
      <c r="F4" s="681"/>
      <c r="G4" s="681"/>
      <c r="H4" s="681"/>
      <c r="I4" s="681"/>
      <c r="J4" s="681"/>
      <c r="K4" s="681"/>
      <c r="L4" s="681"/>
      <c r="M4" s="681"/>
      <c r="N4" s="681"/>
      <c r="O4" s="681"/>
      <c r="P4" s="681"/>
      <c r="Q4" s="681"/>
      <c r="R4" s="681"/>
      <c r="S4" s="681"/>
      <c r="T4" s="681"/>
      <c r="U4" s="681"/>
    </row>
    <row r="5" spans="1:21" ht="39" customHeight="1" x14ac:dyDescent="0.25">
      <c r="A5" s="681"/>
      <c r="B5" s="681"/>
      <c r="C5" s="681"/>
      <c r="D5" s="681"/>
      <c r="E5" s="681"/>
      <c r="F5" s="681"/>
      <c r="G5" s="681"/>
      <c r="H5" s="681"/>
      <c r="I5" s="681"/>
      <c r="J5" s="681"/>
      <c r="K5" s="681"/>
      <c r="L5" s="681"/>
      <c r="M5" s="681"/>
      <c r="N5" s="681"/>
      <c r="O5" s="681"/>
      <c r="P5" s="681"/>
      <c r="Q5" s="681"/>
      <c r="R5" s="681"/>
      <c r="S5" s="681"/>
      <c r="T5" s="681"/>
      <c r="U5" s="681"/>
    </row>
    <row r="6" spans="1:21" ht="30" customHeight="1" x14ac:dyDescent="0.25">
      <c r="A6" s="681"/>
      <c r="B6" s="681"/>
      <c r="C6" s="681"/>
      <c r="D6" s="681"/>
      <c r="E6" s="681"/>
      <c r="F6" s="681"/>
      <c r="G6" s="681"/>
      <c r="H6" s="681"/>
      <c r="I6" s="681"/>
      <c r="J6" s="681"/>
      <c r="K6" s="681"/>
      <c r="L6" s="681"/>
      <c r="M6" s="681"/>
      <c r="N6" s="681"/>
      <c r="O6" s="681"/>
      <c r="P6" s="681"/>
      <c r="Q6" s="681"/>
      <c r="R6" s="681"/>
      <c r="S6" s="681"/>
      <c r="T6" s="681"/>
      <c r="U6" s="681"/>
    </row>
    <row r="7" spans="1:21" ht="30" customHeight="1" x14ac:dyDescent="0.25">
      <c r="A7" s="493"/>
      <c r="B7" s="493"/>
      <c r="C7" s="493"/>
      <c r="D7" s="493"/>
      <c r="E7" s="493"/>
      <c r="F7" s="493"/>
      <c r="G7" s="493"/>
      <c r="H7" s="493"/>
      <c r="I7" s="493"/>
      <c r="J7" s="493"/>
      <c r="K7" s="493"/>
      <c r="L7" s="493"/>
      <c r="M7" s="493"/>
      <c r="N7" s="493"/>
      <c r="O7" s="493"/>
      <c r="P7" s="493"/>
      <c r="Q7" s="493"/>
      <c r="R7" s="493"/>
      <c r="S7" s="493"/>
      <c r="T7" s="493"/>
      <c r="U7" s="493"/>
    </row>
    <row r="8" spans="1:21" ht="39" customHeight="1" x14ac:dyDescent="0.25">
      <c r="A8" s="162" t="s">
        <v>545</v>
      </c>
    </row>
    <row r="9" spans="1:21" ht="18.75" customHeight="1" x14ac:dyDescent="0.25">
      <c r="A9" s="162"/>
    </row>
    <row r="10" spans="1:21" ht="39" customHeight="1" x14ac:dyDescent="0.25">
      <c r="A10" s="162" t="str">
        <f>CONCATENATE(輸入!$S$18,輸入!$T$18,輸入!$S$19,輸入!$T$19)</f>
        <v>臺北市政府警察局信義分局</v>
      </c>
    </row>
    <row r="11" spans="1:21" ht="39" customHeight="1" x14ac:dyDescent="0.25">
      <c r="A11" s="162"/>
    </row>
    <row r="12" spans="1:21" ht="30.75" customHeight="1" x14ac:dyDescent="0.25">
      <c r="A12" s="853" t="str">
        <f>CONCATENATE("委託人：       　　　　       　　　(簽章或法人印鑑)")</f>
        <v>委託人：       　　　　       　　　(簽章或法人印鑑)</v>
      </c>
      <c r="B12" s="681"/>
      <c r="C12" s="681"/>
      <c r="D12" s="681"/>
      <c r="E12" s="681"/>
      <c r="F12" s="681"/>
      <c r="G12" s="681"/>
      <c r="H12" s="681"/>
      <c r="I12" s="681"/>
      <c r="J12" s="681"/>
      <c r="K12" s="681"/>
      <c r="L12" s="681"/>
      <c r="M12" s="681"/>
      <c r="N12" s="681"/>
      <c r="O12" s="681"/>
      <c r="P12" s="681"/>
      <c r="Q12" s="681"/>
      <c r="R12" s="681"/>
      <c r="S12" s="681"/>
      <c r="T12" s="681"/>
      <c r="U12" s="681"/>
    </row>
    <row r="13" spans="1:21" ht="30.75" customHeight="1" x14ac:dyDescent="0.25">
      <c r="A13" s="161" t="str">
        <f>CONCATENATE("身分證號碼：")</f>
        <v>身分證號碼：</v>
      </c>
    </row>
    <row r="14" spans="1:21" ht="30.75" customHeight="1" x14ac:dyDescent="0.25">
      <c r="A14" s="161" t="str">
        <f>CONCATENATE("出生年月日：")</f>
        <v>出生年月日：</v>
      </c>
    </row>
    <row r="15" spans="1:21" ht="30.75" customHeight="1" x14ac:dyDescent="0.25">
      <c r="A15" s="161" t="str">
        <f>CONCATENATE("地址：")</f>
        <v>地址：</v>
      </c>
    </row>
    <row r="16" spans="1:21" ht="30.75" customHeight="1" x14ac:dyDescent="0.25">
      <c r="A16" s="161" t="str">
        <f>CONCATENATE("聯絡電話：",輸入!AK29)</f>
        <v>聯絡電話：</v>
      </c>
    </row>
    <row r="17" spans="1:21" ht="6.75" customHeight="1" x14ac:dyDescent="0.25">
      <c r="A17" s="161"/>
    </row>
    <row r="18" spans="1:21" ht="30.75" customHeight="1" x14ac:dyDescent="0.25">
      <c r="A18" s="161" t="str">
        <f>CONCATENATE("受委託人：")</f>
        <v>受委託人：</v>
      </c>
    </row>
    <row r="19" spans="1:21" ht="30.75" customHeight="1" x14ac:dyDescent="0.25">
      <c r="A19" s="161" t="str">
        <f>CONCATENATE("身分證號碼：")</f>
        <v>身分證號碼：</v>
      </c>
    </row>
    <row r="20" spans="1:21" ht="30.75" customHeight="1" x14ac:dyDescent="0.25">
      <c r="A20" s="161" t="str">
        <f>CONCATENATE("出生年月日：")</f>
        <v>出生年月日：</v>
      </c>
    </row>
    <row r="21" spans="1:21" ht="30.75" customHeight="1" x14ac:dyDescent="0.25">
      <c r="A21" s="161" t="str">
        <f>CONCATENATE("地址：")</f>
        <v>地址：</v>
      </c>
    </row>
    <row r="22" spans="1:21" ht="30.75" customHeight="1" x14ac:dyDescent="0.25">
      <c r="A22" s="161" t="str">
        <f>CONCATENATE("聯絡電話：")</f>
        <v>聯絡電話：</v>
      </c>
    </row>
    <row r="23" spans="1:21" ht="13.5" customHeight="1" x14ac:dyDescent="0.25">
      <c r="A23" s="505"/>
    </row>
    <row r="24" spans="1:21" ht="13.5" customHeight="1" x14ac:dyDescent="0.25">
      <c r="A24" s="505"/>
    </row>
    <row r="25" spans="1:21" ht="27.75" customHeight="1" x14ac:dyDescent="0.25">
      <c r="A25" s="854" t="s">
        <v>546</v>
      </c>
      <c r="B25" s="681"/>
      <c r="C25" s="681"/>
      <c r="D25" s="681"/>
      <c r="E25" s="681"/>
      <c r="F25" s="681"/>
      <c r="G25" s="681"/>
      <c r="H25" s="681"/>
      <c r="I25" s="681"/>
      <c r="J25" s="681"/>
      <c r="K25" s="681"/>
      <c r="L25" s="681"/>
      <c r="M25" s="681"/>
      <c r="N25" s="681"/>
      <c r="O25" s="681"/>
      <c r="P25" s="681"/>
      <c r="Q25" s="681"/>
      <c r="R25" s="681"/>
      <c r="S25" s="681"/>
      <c r="T25" s="681"/>
      <c r="U25" s="681"/>
    </row>
  </sheetData>
  <mergeCells count="4">
    <mergeCell ref="A1:U1"/>
    <mergeCell ref="A12:U12"/>
    <mergeCell ref="A25:U25"/>
    <mergeCell ref="A3:U6"/>
  </mergeCells>
  <phoneticPr fontId="1" type="noConversion"/>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工作表18">
    <tabColor rgb="FF92D050"/>
  </sheetPr>
  <dimension ref="A1:BJ27"/>
  <sheetViews>
    <sheetView view="pageBreakPreview" topLeftCell="A10" zoomScale="70" zoomScaleNormal="100" zoomScaleSheetLayoutView="70" workbookViewId="0">
      <selection activeCell="A12" sqref="A12:F14"/>
    </sheetView>
  </sheetViews>
  <sheetFormatPr defaultRowHeight="16.5" x14ac:dyDescent="0.25"/>
  <cols>
    <col min="1" max="1" width="25.25" style="545" customWidth="1"/>
    <col min="2" max="3" width="6.125" style="545" customWidth="1"/>
    <col min="4" max="4" width="19.25" style="545" customWidth="1"/>
    <col min="5" max="5" width="16.125" style="545" customWidth="1"/>
    <col min="6" max="6" width="14.5" style="545" customWidth="1"/>
    <col min="7" max="62" width="2.75" style="545" customWidth="1"/>
  </cols>
  <sheetData>
    <row r="1" spans="1:6" ht="30" customHeight="1" thickBot="1" x14ac:dyDescent="0.3">
      <c r="A1" s="856" t="str">
        <f>CONCATENATE(輸入!F7,輸入!X6,輸入!AO7,輸入!AV7,"酒扣保管汽(機)車領回單")</f>
        <v>酒扣保管汽(機)車領回單</v>
      </c>
      <c r="B1" s="846"/>
      <c r="C1" s="846"/>
      <c r="D1" s="846"/>
      <c r="E1" s="846"/>
      <c r="F1" s="846"/>
    </row>
    <row r="2" spans="1:6" ht="21" customHeight="1" thickTop="1" thickBot="1" x14ac:dyDescent="0.3">
      <c r="A2" s="65" t="s">
        <v>547</v>
      </c>
      <c r="B2" s="64" t="s">
        <v>67</v>
      </c>
      <c r="C2" s="64" t="s">
        <v>548</v>
      </c>
      <c r="D2" s="64" t="s">
        <v>549</v>
      </c>
      <c r="E2" s="64" t="s">
        <v>299</v>
      </c>
      <c r="F2" s="63" t="s">
        <v>472</v>
      </c>
    </row>
    <row r="3" spans="1:6" ht="41.25" customHeight="1" thickTop="1" thickBot="1" x14ac:dyDescent="0.3">
      <c r="A3" s="62" t="str">
        <f>CONCATENATE(輸入!$K$3,"(",UPPER(輸入!$K$4),")")</f>
        <v>輕機(EWJ-8123)</v>
      </c>
      <c r="B3" s="61" t="s">
        <v>550</v>
      </c>
      <c r="C3" s="61" t="s">
        <v>551</v>
      </c>
      <c r="D3" s="61"/>
      <c r="E3" s="60"/>
      <c r="F3" s="57"/>
    </row>
    <row r="4" spans="1:6" ht="41.25" customHeight="1" thickTop="1" thickBot="1" x14ac:dyDescent="0.3">
      <c r="A4" s="59"/>
      <c r="B4" s="58"/>
      <c r="C4" s="58"/>
      <c r="D4" s="58"/>
      <c r="E4" s="58"/>
      <c r="F4" s="57"/>
    </row>
    <row r="5" spans="1:6" ht="41.25" customHeight="1" thickTop="1" thickBot="1" x14ac:dyDescent="0.3">
      <c r="A5" s="59"/>
      <c r="B5" s="58"/>
      <c r="C5" s="58"/>
      <c r="D5" s="58"/>
      <c r="E5" s="58"/>
      <c r="F5" s="57"/>
    </row>
    <row r="6" spans="1:6" ht="41.25" customHeight="1" thickTop="1" thickBot="1" x14ac:dyDescent="0.3">
      <c r="A6" s="59"/>
      <c r="B6" s="58"/>
      <c r="C6" s="58"/>
      <c r="D6" s="58"/>
      <c r="E6" s="58"/>
      <c r="F6" s="57"/>
    </row>
    <row r="7" spans="1:6" ht="41.25" customHeight="1" thickTop="1" thickBot="1" x14ac:dyDescent="0.3">
      <c r="A7" s="59"/>
      <c r="B7" s="58"/>
      <c r="C7" s="58"/>
      <c r="D7" s="58"/>
      <c r="E7" s="58"/>
      <c r="F7" s="57"/>
    </row>
    <row r="8" spans="1:6" ht="41.25" customHeight="1" thickTop="1" thickBot="1" x14ac:dyDescent="0.3">
      <c r="A8" s="59"/>
      <c r="B8" s="58"/>
      <c r="C8" s="58"/>
      <c r="D8" s="58"/>
      <c r="E8" s="58"/>
      <c r="F8" s="57"/>
    </row>
    <row r="9" spans="1:6" ht="41.25" customHeight="1" thickTop="1" thickBot="1" x14ac:dyDescent="0.3">
      <c r="A9" s="59"/>
      <c r="B9" s="58"/>
      <c r="C9" s="58"/>
      <c r="D9" s="58"/>
      <c r="E9" s="58"/>
      <c r="F9" s="57"/>
    </row>
    <row r="10" spans="1:6" ht="41.25" customHeight="1" thickTop="1" thickBot="1" x14ac:dyDescent="0.3">
      <c r="A10" s="59"/>
      <c r="B10" s="58"/>
      <c r="C10" s="58"/>
      <c r="D10" s="58"/>
      <c r="E10" s="58"/>
      <c r="F10" s="57"/>
    </row>
    <row r="11" spans="1:6" ht="8.25" customHeight="1" thickTop="1" x14ac:dyDescent="0.25">
      <c r="A11" s="56"/>
      <c r="B11" s="56"/>
      <c r="C11" s="56"/>
      <c r="D11" s="56"/>
      <c r="E11" s="56"/>
      <c r="F11" s="56"/>
    </row>
    <row r="12" spans="1:6" ht="23.25" customHeight="1" x14ac:dyDescent="0.25">
      <c r="A12" s="857" t="str">
        <f>CONCATENATE("上列物品係於民國",LEFT(下拉用!$J$5,10),"因",呈報單!$G$15,"查扣，現經領回，現將物品發還，與扣車時外觀相符並無損壞，確認無誤後領回，如有冒領情事願負法律責任。")</f>
        <v>上列物品係於民國年月日時分因毀損查扣，現經領回，現將物品發還，與扣車時外觀相符並無損壞，確認無誤後領回，如有冒領情事願負法律責任。</v>
      </c>
      <c r="B12" s="681"/>
      <c r="C12" s="681"/>
      <c r="D12" s="681"/>
      <c r="E12" s="681"/>
      <c r="F12" s="681"/>
    </row>
    <row r="13" spans="1:6" ht="23.25" customHeight="1" x14ac:dyDescent="0.25">
      <c r="A13" s="681"/>
      <c r="B13" s="681"/>
      <c r="C13" s="681"/>
      <c r="D13" s="681"/>
      <c r="E13" s="681"/>
      <c r="F13" s="681"/>
    </row>
    <row r="14" spans="1:6" ht="23.25" customHeight="1" x14ac:dyDescent="0.25">
      <c r="A14" s="681"/>
      <c r="B14" s="681"/>
      <c r="C14" s="681"/>
      <c r="D14" s="681"/>
      <c r="E14" s="681"/>
      <c r="F14" s="681"/>
    </row>
    <row r="15" spans="1:6" ht="12" customHeight="1" x14ac:dyDescent="0.25">
      <c r="A15" s="494"/>
      <c r="B15" s="494"/>
      <c r="C15" s="494"/>
      <c r="D15" s="494"/>
      <c r="E15" s="494"/>
      <c r="F15" s="494"/>
    </row>
    <row r="16" spans="1:6" ht="23.25" customHeight="1" x14ac:dyDescent="0.25">
      <c r="A16" s="52" t="s">
        <v>552</v>
      </c>
    </row>
    <row r="17" spans="1:6" ht="33" customHeight="1" x14ac:dyDescent="0.25">
      <c r="A17" s="53" t="str">
        <f>CONCATENATE(輸入!$S$18,輸入!$T$18,輸入!$S$19,輸入!$T$19)</f>
        <v>臺北市政府警察局信義分局</v>
      </c>
    </row>
    <row r="18" spans="1:6" ht="30" customHeight="1" x14ac:dyDescent="0.25">
      <c r="A18" s="858" t="str">
        <f>CONCATENATE("　　　　　　具領人：    　　　　(簽名)","　年齡：      　　職業：")</f>
        <v>　　　　　　具領人：    　　　　(簽名)　年齡：      　　職業：</v>
      </c>
      <c r="B18" s="681"/>
      <c r="C18" s="681"/>
      <c r="D18" s="681"/>
      <c r="E18" s="681"/>
      <c r="F18" s="681"/>
    </row>
    <row r="19" spans="1:6" ht="30" customHeight="1" x14ac:dyDescent="0.25">
      <c r="A19" s="52" t="str">
        <f>CONCATENATE("　　　　　　身分證統一編號：")</f>
        <v>　　　　　　身分證統一編號：</v>
      </c>
    </row>
    <row r="20" spans="1:6" ht="30" customHeight="1" x14ac:dyDescent="0.25">
      <c r="A20" s="52" t="str">
        <f>CONCATENATE("　　　　　　住址：")</f>
        <v>　　　　　　住址：</v>
      </c>
    </row>
    <row r="21" spans="1:6" ht="30" customHeight="1" x14ac:dyDescent="0.25">
      <c r="A21" s="55"/>
    </row>
    <row r="22" spans="1:6" ht="30" customHeight="1" x14ac:dyDescent="0.25">
      <c r="A22" s="52" t="s">
        <v>553</v>
      </c>
    </row>
    <row r="23" spans="1:6" ht="30" customHeight="1" x14ac:dyDescent="0.25">
      <c r="A23" s="55" t="s">
        <v>554</v>
      </c>
    </row>
    <row r="24" spans="1:6" ht="30" customHeight="1" x14ac:dyDescent="0.25">
      <c r="A24" s="52" t="s">
        <v>555</v>
      </c>
    </row>
    <row r="25" spans="1:6" ht="22.5" customHeight="1" x14ac:dyDescent="0.25">
      <c r="A25" s="54"/>
    </row>
    <row r="26" spans="1:6" ht="22.5" customHeight="1" x14ac:dyDescent="0.25">
      <c r="A26" s="54"/>
    </row>
    <row r="27" spans="1:6" ht="25.5" customHeight="1" x14ac:dyDescent="0.25">
      <c r="A27" s="53" t="s">
        <v>556</v>
      </c>
      <c r="B27" s="53"/>
      <c r="C27" s="53"/>
      <c r="D27" s="53"/>
      <c r="E27" s="53"/>
      <c r="F27" s="53"/>
    </row>
  </sheetData>
  <mergeCells count="3">
    <mergeCell ref="A1:F1"/>
    <mergeCell ref="A12:F14"/>
    <mergeCell ref="A18:F18"/>
  </mergeCells>
  <phoneticPr fontId="1" type="noConversion"/>
  <pageMargins left="0.7" right="0.7" top="0.75" bottom="0.75" header="0.3" footer="0.3"/>
  <pageSetup paperSize="9" scale="95"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工作表42">
    <tabColor theme="9" tint="-0.249977111117893"/>
  </sheetPr>
  <dimension ref="A1:Z18"/>
  <sheetViews>
    <sheetView showGridLines="0" view="pageBreakPreview" topLeftCell="A10" zoomScaleNormal="100" zoomScaleSheetLayoutView="100" workbookViewId="0">
      <selection activeCell="F8" sqref="F8:H8"/>
    </sheetView>
  </sheetViews>
  <sheetFormatPr defaultRowHeight="16.5" x14ac:dyDescent="0.25"/>
  <cols>
    <col min="1" max="26" width="4" style="545" customWidth="1"/>
  </cols>
  <sheetData>
    <row r="1" spans="1:21" ht="33.75" customHeight="1" x14ac:dyDescent="0.25">
      <c r="A1" s="859" t="str">
        <f>CONCATENATE(輸入!$S$18,輸入!$T$18,輸入!$S$19,輸入!$T$19)</f>
        <v>臺北市政府警察局信義分局</v>
      </c>
      <c r="B1" s="681"/>
      <c r="C1" s="681"/>
      <c r="D1" s="681"/>
      <c r="E1" s="681"/>
      <c r="F1" s="681"/>
      <c r="G1" s="681"/>
      <c r="H1" s="681"/>
      <c r="I1" s="681"/>
      <c r="J1" s="681"/>
      <c r="K1" s="681"/>
      <c r="L1" s="681"/>
      <c r="M1" s="681"/>
      <c r="N1" s="681"/>
      <c r="O1" s="681"/>
      <c r="P1" s="681"/>
      <c r="Q1" s="681"/>
      <c r="R1" s="681"/>
      <c r="S1" s="681"/>
      <c r="T1" s="681"/>
      <c r="U1" s="681"/>
    </row>
    <row r="2" spans="1:21" ht="33.75" customHeight="1" x14ac:dyDescent="0.25">
      <c r="A2" s="859" t="s">
        <v>557</v>
      </c>
      <c r="B2" s="681"/>
      <c r="C2" s="681"/>
      <c r="D2" s="681"/>
      <c r="E2" s="681"/>
      <c r="F2" s="681"/>
      <c r="G2" s="681"/>
      <c r="H2" s="681"/>
      <c r="I2" s="681"/>
      <c r="J2" s="681"/>
      <c r="K2" s="681"/>
      <c r="L2" s="681"/>
      <c r="M2" s="681"/>
      <c r="N2" s="681"/>
      <c r="O2" s="681"/>
      <c r="P2" s="681"/>
      <c r="Q2" s="681"/>
      <c r="R2" s="681"/>
      <c r="S2" s="681"/>
      <c r="T2" s="681"/>
      <c r="U2" s="681"/>
    </row>
    <row r="3" spans="1:21" ht="33.75" customHeight="1" x14ac:dyDescent="0.25">
      <c r="A3" s="759" t="str">
        <f>CONCATENATE("查獲時間:",下拉用!$J$5)</f>
        <v>查獲時間:年月日時分</v>
      </c>
      <c r="B3" s="681"/>
      <c r="C3" s="681"/>
      <c r="D3" s="681"/>
      <c r="E3" s="681"/>
      <c r="F3" s="681"/>
      <c r="G3" s="681"/>
      <c r="H3" s="681"/>
      <c r="I3" s="681"/>
      <c r="J3" s="681"/>
      <c r="K3" s="681"/>
      <c r="L3" s="681"/>
      <c r="M3" s="681"/>
      <c r="N3" s="681"/>
      <c r="O3" s="681"/>
      <c r="P3" s="681"/>
      <c r="Q3" s="681"/>
      <c r="R3" s="681"/>
      <c r="S3" s="681"/>
      <c r="T3" s="681"/>
      <c r="U3" s="681"/>
    </row>
    <row r="4" spans="1:21" ht="33.75" customHeight="1" x14ac:dyDescent="0.25">
      <c r="A4" s="759" t="str">
        <f>CONCATENATE("查獲地點:",輸入!$C$7)</f>
        <v>查獲地點:臺北市信義區吳興街206號</v>
      </c>
      <c r="B4" s="681"/>
      <c r="C4" s="681"/>
      <c r="D4" s="681"/>
      <c r="E4" s="681"/>
      <c r="F4" s="681"/>
      <c r="G4" s="681"/>
      <c r="H4" s="681"/>
      <c r="I4" s="681"/>
      <c r="J4" s="681"/>
      <c r="K4" s="681"/>
      <c r="L4" s="681"/>
      <c r="M4" s="681"/>
      <c r="N4" s="681"/>
      <c r="O4" s="681"/>
      <c r="P4" s="681"/>
      <c r="Q4" s="681"/>
      <c r="R4" s="681"/>
      <c r="S4" s="681"/>
      <c r="T4" s="681"/>
      <c r="U4" s="681"/>
    </row>
    <row r="5" spans="1:21" ht="33.75" customHeight="1" x14ac:dyDescent="0.25">
      <c r="A5" s="759" t="str">
        <f>CONCATENATE("查獲單位:",輸入!$S$20,輸入!$T$20)</f>
        <v>查獲單位:吳興街派出所</v>
      </c>
      <c r="B5" s="681"/>
      <c r="C5" s="681"/>
      <c r="D5" s="681"/>
      <c r="E5" s="681"/>
      <c r="F5" s="681"/>
      <c r="G5" s="681"/>
      <c r="H5" s="681"/>
      <c r="I5" s="681"/>
      <c r="J5" s="681"/>
      <c r="K5" s="681"/>
      <c r="L5" s="681"/>
      <c r="M5" s="681"/>
      <c r="N5" s="681"/>
      <c r="O5" s="681"/>
      <c r="P5" s="681"/>
      <c r="Q5" s="681"/>
      <c r="R5" s="681"/>
      <c r="S5" s="681"/>
      <c r="T5" s="681"/>
      <c r="U5" s="681"/>
    </row>
    <row r="6" spans="1:21" ht="33.75" customHeight="1" x14ac:dyDescent="0.25">
      <c r="A6" s="162" t="s">
        <v>558</v>
      </c>
      <c r="B6" s="162"/>
      <c r="C6" s="162"/>
      <c r="D6" s="162"/>
      <c r="E6" s="162"/>
      <c r="F6" s="162"/>
      <c r="G6" s="162"/>
      <c r="H6" s="162"/>
      <c r="I6" s="162"/>
      <c r="J6" s="162"/>
      <c r="K6" s="162"/>
      <c r="L6" s="162"/>
      <c r="M6" s="162"/>
      <c r="N6" s="162"/>
      <c r="O6" s="162"/>
      <c r="P6" s="162"/>
      <c r="Q6" s="162"/>
      <c r="R6" s="162"/>
      <c r="S6" s="162"/>
      <c r="T6" s="162"/>
      <c r="U6" s="162"/>
    </row>
    <row r="7" spans="1:21" ht="33.75" customHeight="1" x14ac:dyDescent="0.25">
      <c r="A7" s="861" t="s">
        <v>547</v>
      </c>
      <c r="B7" s="574"/>
      <c r="C7" s="574"/>
      <c r="D7" s="574"/>
      <c r="E7" s="575"/>
      <c r="F7" s="861" t="s">
        <v>67</v>
      </c>
      <c r="G7" s="574"/>
      <c r="H7" s="575"/>
      <c r="I7" s="861" t="s">
        <v>548</v>
      </c>
      <c r="J7" s="574"/>
      <c r="K7" s="575"/>
      <c r="L7" s="861" t="s">
        <v>559</v>
      </c>
      <c r="M7" s="574"/>
      <c r="N7" s="574"/>
      <c r="O7" s="574"/>
      <c r="P7" s="574"/>
      <c r="Q7" s="575"/>
      <c r="R7" s="861" t="s">
        <v>472</v>
      </c>
      <c r="S7" s="574"/>
      <c r="T7" s="574"/>
      <c r="U7" s="575"/>
    </row>
    <row r="8" spans="1:21" ht="48.75" customHeight="1" x14ac:dyDescent="0.25">
      <c r="A8" s="860" t="str">
        <f>CONCATENATE(輸入!$H$7)</f>
        <v>0.67</v>
      </c>
      <c r="B8" s="574"/>
      <c r="C8" s="574"/>
      <c r="D8" s="574"/>
      <c r="E8" s="575"/>
      <c r="F8" s="683" t="str">
        <f>輸入!$H$11</f>
        <v>自小客</v>
      </c>
      <c r="G8" s="574"/>
      <c r="H8" s="575"/>
      <c r="I8" s="860">
        <f>輸入!$H$10</f>
        <v>0</v>
      </c>
      <c r="J8" s="574"/>
      <c r="K8" s="575"/>
      <c r="L8" s="862"/>
      <c r="M8" s="574"/>
      <c r="N8" s="574"/>
      <c r="O8" s="574"/>
      <c r="P8" s="574"/>
      <c r="Q8" s="575"/>
      <c r="R8" s="660" t="str">
        <f>CONCATENATE("毛重：",IF(輸入!$H$8&gt;0,輸入!$H$8&amp;"公克","殘渣無法磅秤"),CHAR(10),"淨重：",IF(輸入!$H$9&gt;0,輸入!$H$9&amp;"公克","殘渣無法磅秤"))</f>
        <v>毛重：400公克
淨重：殘渣無法磅秤</v>
      </c>
      <c r="S8" s="574"/>
      <c r="T8" s="574"/>
      <c r="U8" s="575"/>
    </row>
    <row r="9" spans="1:21" ht="48.75" customHeight="1" x14ac:dyDescent="0.25">
      <c r="A9" s="860"/>
      <c r="B9" s="574"/>
      <c r="C9" s="574"/>
      <c r="D9" s="574"/>
      <c r="E9" s="575"/>
      <c r="F9" s="683"/>
      <c r="G9" s="574"/>
      <c r="H9" s="575"/>
      <c r="I9" s="860"/>
      <c r="J9" s="574"/>
      <c r="K9" s="575"/>
      <c r="L9" s="862"/>
      <c r="M9" s="574"/>
      <c r="N9" s="574"/>
      <c r="O9" s="574"/>
      <c r="P9" s="574"/>
      <c r="Q9" s="575"/>
      <c r="R9" s="584"/>
      <c r="S9" s="574"/>
      <c r="T9" s="574"/>
      <c r="U9" s="575"/>
    </row>
    <row r="10" spans="1:21" ht="48.75" customHeight="1" x14ac:dyDescent="0.25">
      <c r="A10" s="860" t="str">
        <f>IF(被害人筆錄!B9=FALSE,IF(下拉用!#REF!=FALSE,CONCATENATE(輸入!H33)," ")," ")</f>
        <v xml:space="preserve"> </v>
      </c>
      <c r="B10" s="574"/>
      <c r="C10" s="574"/>
      <c r="D10" s="574"/>
      <c r="E10" s="575"/>
      <c r="F10" s="683" t="str">
        <f>IF(被害人筆錄!B9=FALSE,IF(下拉用!#REF!=FALSE,CONCATENATE(輸入!T34)," ")," ")</f>
        <v xml:space="preserve"> </v>
      </c>
      <c r="G10" s="574"/>
      <c r="H10" s="575"/>
      <c r="I10" s="860" t="str">
        <f>IF(被害人筆錄!B9=FALSE,IF(下拉用!#REF!=FALSE,CONCATENATE(輸入!T33)," ")," ")</f>
        <v xml:space="preserve"> </v>
      </c>
      <c r="J10" s="574"/>
      <c r="K10" s="575"/>
      <c r="L10" s="862"/>
      <c r="M10" s="574"/>
      <c r="N10" s="574"/>
      <c r="O10" s="574"/>
      <c r="P10" s="574"/>
      <c r="Q10" s="575"/>
      <c r="R10" s="660" t="str">
        <f>IF(被害人筆錄!B9=FALSE,IF(下拉用!#REF!=FALSE,CONCATENATE(IF(輸入!T33&gt;1,IF(下拉用!#REF!=TRUE,"殘渣無法磅秤",IF(下拉用!#REF!=TRUE,CONCATENATE("總毛重：",輸入!AD33,輸入!#REF!,"、總淨重：殘渣無法磅秤"),CONCATENATE("總毛重：",輸入!AD33,輸入!#REF!,"、總淨重：",輸入!AD34,輸入!#REF!))),IF(下拉用!#REF!=TRUE,"殘渣無法磅秤",IF(下拉用!#REF!=TRUE,CONCATENATE("毛重：",輸入!AD33,輸入!#REF!,"、淨重：殘渣無法磅秤"),CONCATENATE("毛重：",輸入!AD33,輸入!#REF!,"、淨重：",輸入!AD34,輸入!#REF!)))))," ")," ")</f>
        <v xml:space="preserve"> </v>
      </c>
      <c r="S10" s="574"/>
      <c r="T10" s="574"/>
      <c r="U10" s="575"/>
    </row>
    <row r="11" spans="1:21" ht="48.75" customHeight="1" x14ac:dyDescent="0.25">
      <c r="A11" s="860" t="str">
        <f>IF(被害人筆錄!B9=FALSE,IF(下拉用!#REF!=FALSE,IF(下拉用!#REF!=FALSE,CONCATENATE(輸入!H35)," ")," ")," ")</f>
        <v xml:space="preserve"> </v>
      </c>
      <c r="B11" s="574"/>
      <c r="C11" s="574"/>
      <c r="D11" s="574"/>
      <c r="E11" s="575"/>
      <c r="F11" s="683" t="str">
        <f>IF(被害人筆錄!B9=FALSE,IF(下拉用!#REF!=FALSE,IF(下拉用!#REF!=FALSE,CONCATENATE(輸入!T36)," ")," ")," ")</f>
        <v xml:space="preserve"> </v>
      </c>
      <c r="G11" s="574"/>
      <c r="H11" s="575"/>
      <c r="I11" s="860" t="str">
        <f>IF(被害人筆錄!B9=FALSE,IF(下拉用!#REF!=FALSE,IF(下拉用!#REF!=FALSE,CONCATENATE(輸入!T35)," ")," ")," ")</f>
        <v xml:space="preserve"> </v>
      </c>
      <c r="J11" s="574"/>
      <c r="K11" s="575"/>
      <c r="L11" s="862"/>
      <c r="M11" s="574"/>
      <c r="N11" s="574"/>
      <c r="O11" s="574"/>
      <c r="P11" s="574"/>
      <c r="Q11" s="575"/>
      <c r="R11" s="584" t="str">
        <f>IF(被害人筆錄!B9=FALSE,IF(下拉用!#REF!=FALSE,IF(下拉用!#REF!=FALSE,CONCATENATE(IF(輸入!T35&gt;1,IF(下拉用!#REF!=TRUE,"殘渣無法磅秤",IF(下拉用!#REF!=TRUE,CONCATENATE("總毛重：",輸入!AD35,輸入!#REF!,"、總淨重：殘渣無法磅秤"),CONCATENATE("總毛重：",輸入!AD35,輸入!#REF!,"、總淨重：",輸入!AD36,輸入!#REF!))),IF(下拉用!#REF!=TRUE,"殘渣無法磅秤",IF(下拉用!#REF!=TRUE,CONCATENATE("毛重：",輸入!AD35,輸入!#REF!,"、淨重：殘渣無法磅秤"),CONCATENATE("毛重：",輸入!AD35,輸入!#REF!,"、淨重：",輸入!AD36,輸入!#REF!)))))," ")," ")," ")</f>
        <v xml:space="preserve"> </v>
      </c>
      <c r="S11" s="574"/>
      <c r="T11" s="574"/>
      <c r="U11" s="575"/>
    </row>
    <row r="12" spans="1:21" ht="37.5" customHeight="1" x14ac:dyDescent="0.25">
      <c r="A12" s="162"/>
    </row>
    <row r="13" spans="1:21" ht="37.5" customHeight="1" x14ac:dyDescent="0.25">
      <c r="A13" s="162"/>
    </row>
    <row r="14" spans="1:21" ht="33.75" customHeight="1" x14ac:dyDescent="0.25">
      <c r="A14" s="759" t="s">
        <v>560</v>
      </c>
      <c r="B14" s="681"/>
      <c r="C14" s="681"/>
      <c r="D14" s="681"/>
      <c r="E14" s="681"/>
      <c r="F14" s="681"/>
      <c r="G14" s="681"/>
      <c r="H14" s="681"/>
      <c r="I14" s="681"/>
      <c r="J14" s="681"/>
      <c r="K14" s="681"/>
      <c r="L14" s="681"/>
      <c r="M14" s="681"/>
      <c r="N14" s="681"/>
      <c r="O14" s="681"/>
      <c r="P14" s="681"/>
      <c r="Q14" s="681"/>
      <c r="R14" s="681"/>
      <c r="S14" s="681"/>
      <c r="T14" s="681"/>
      <c r="U14" s="681"/>
    </row>
    <row r="15" spans="1:21" ht="33.75" customHeight="1" x14ac:dyDescent="0.25">
      <c r="A15" s="759" t="s">
        <v>561</v>
      </c>
      <c r="B15" s="681"/>
      <c r="C15" s="681"/>
      <c r="D15" s="681"/>
      <c r="E15" s="681"/>
      <c r="F15" s="681"/>
      <c r="G15" s="681"/>
      <c r="H15" s="681"/>
      <c r="I15" s="681"/>
      <c r="J15" s="681"/>
      <c r="K15" s="681"/>
      <c r="L15" s="681"/>
      <c r="M15" s="681"/>
      <c r="N15" s="681"/>
      <c r="O15" s="681"/>
      <c r="P15" s="681"/>
      <c r="Q15" s="681"/>
      <c r="R15" s="681"/>
      <c r="S15" s="681"/>
      <c r="T15" s="681"/>
      <c r="U15" s="681"/>
    </row>
    <row r="16" spans="1:21" ht="74.25" customHeight="1" x14ac:dyDescent="0.25">
      <c r="A16" s="162"/>
    </row>
    <row r="17" spans="1:21" ht="33.75" customHeight="1" x14ac:dyDescent="0.25">
      <c r="A17" s="759" t="s">
        <v>562</v>
      </c>
      <c r="B17" s="681"/>
      <c r="C17" s="681"/>
      <c r="D17" s="681"/>
      <c r="E17" s="681"/>
      <c r="F17" s="681"/>
      <c r="G17" s="681"/>
      <c r="H17" s="681"/>
      <c r="I17" s="681"/>
      <c r="J17" s="681"/>
      <c r="K17" s="681"/>
      <c r="L17" s="681"/>
      <c r="M17" s="681"/>
      <c r="N17" s="681"/>
      <c r="O17" s="681"/>
      <c r="P17" s="681"/>
      <c r="Q17" s="681"/>
      <c r="R17" s="681"/>
      <c r="S17" s="681"/>
      <c r="T17" s="681"/>
      <c r="U17" s="681"/>
    </row>
    <row r="18" spans="1:21" ht="33.75" customHeight="1" x14ac:dyDescent="0.25">
      <c r="A18" s="759" t="s">
        <v>563</v>
      </c>
      <c r="B18" s="681"/>
      <c r="C18" s="681"/>
      <c r="D18" s="681"/>
      <c r="E18" s="681"/>
      <c r="F18" s="681"/>
      <c r="G18" s="681"/>
      <c r="H18" s="681"/>
      <c r="I18" s="681"/>
      <c r="J18" s="681"/>
      <c r="K18" s="681"/>
      <c r="L18" s="681"/>
      <c r="M18" s="681"/>
      <c r="N18" s="681"/>
      <c r="O18" s="681"/>
      <c r="P18" s="681"/>
      <c r="Q18" s="681"/>
      <c r="R18" s="681"/>
      <c r="S18" s="681"/>
      <c r="T18" s="681"/>
      <c r="U18" s="681"/>
    </row>
  </sheetData>
  <mergeCells count="34">
    <mergeCell ref="A11:E11"/>
    <mergeCell ref="F8:H8"/>
    <mergeCell ref="L8:Q8"/>
    <mergeCell ref="A18:U18"/>
    <mergeCell ref="A3:U3"/>
    <mergeCell ref="R9:U9"/>
    <mergeCell ref="R11:U11"/>
    <mergeCell ref="A14:U14"/>
    <mergeCell ref="A17:U17"/>
    <mergeCell ref="L11:Q11"/>
    <mergeCell ref="F11:H11"/>
    <mergeCell ref="I11:K11"/>
    <mergeCell ref="A15:U15"/>
    <mergeCell ref="A10:E10"/>
    <mergeCell ref="F7:H7"/>
    <mergeCell ref="L10:Q10"/>
    <mergeCell ref="R10:U10"/>
    <mergeCell ref="I10:K10"/>
    <mergeCell ref="I9:K9"/>
    <mergeCell ref="R7:U7"/>
    <mergeCell ref="A8:E8"/>
    <mergeCell ref="L7:Q7"/>
    <mergeCell ref="F10:H10"/>
    <mergeCell ref="A7:E7"/>
    <mergeCell ref="I8:K8"/>
    <mergeCell ref="L9:Q9"/>
    <mergeCell ref="F9:H9"/>
    <mergeCell ref="A1:U1"/>
    <mergeCell ref="A9:E9"/>
    <mergeCell ref="I7:K7"/>
    <mergeCell ref="A2:U2"/>
    <mergeCell ref="R8:U8"/>
    <mergeCell ref="A4:U4"/>
    <mergeCell ref="A5:U5"/>
  </mergeCells>
  <phoneticPr fontId="1" type="noConversion"/>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工作表39">
    <tabColor theme="9" tint="-0.249977111117893"/>
  </sheetPr>
  <dimension ref="A1:D28"/>
  <sheetViews>
    <sheetView showGridLines="0" view="pageBreakPreview" topLeftCell="A4" zoomScaleNormal="100" zoomScaleSheetLayoutView="100" workbookViewId="0">
      <selection activeCell="C12" sqref="C12:C15"/>
    </sheetView>
  </sheetViews>
  <sheetFormatPr defaultRowHeight="16.5" x14ac:dyDescent="0.25"/>
  <cols>
    <col min="1" max="1" width="12.875" style="545" customWidth="1"/>
    <col min="2" max="3" width="23.875" style="545" customWidth="1"/>
    <col min="4" max="4" width="29.875" style="545" customWidth="1"/>
  </cols>
  <sheetData>
    <row r="1" spans="1:4" ht="73.5" customHeight="1" thickTop="1" x14ac:dyDescent="0.25">
      <c r="A1" s="879" t="str">
        <f>CONCATENATE(輸入!$S$18,輸入!$T$18,輸入!$S$19,輸入!$T$19)</f>
        <v>臺北市政府警察局信義分局</v>
      </c>
      <c r="B1" s="875"/>
      <c r="C1" s="875"/>
      <c r="D1" s="876"/>
    </row>
    <row r="2" spans="1:4" ht="49.5" customHeight="1" thickBot="1" x14ac:dyDescent="0.3">
      <c r="A2" s="868" t="s">
        <v>564</v>
      </c>
      <c r="B2" s="864"/>
      <c r="C2" s="864"/>
      <c r="D2" s="865"/>
    </row>
    <row r="3" spans="1:4" ht="9.75" customHeight="1" thickTop="1" x14ac:dyDescent="0.25">
      <c r="A3" s="887" t="s">
        <v>333</v>
      </c>
      <c r="B3" s="498" t="s">
        <v>565</v>
      </c>
      <c r="C3" s="869" t="s">
        <v>80</v>
      </c>
      <c r="D3" s="869" t="s">
        <v>566</v>
      </c>
    </row>
    <row r="4" spans="1:4" ht="9.75" customHeight="1" x14ac:dyDescent="0.25">
      <c r="A4" s="870"/>
      <c r="B4" s="499"/>
      <c r="C4" s="870"/>
      <c r="D4" s="870"/>
    </row>
    <row r="5" spans="1:4" ht="9.75" customHeight="1" thickBot="1" x14ac:dyDescent="0.3">
      <c r="A5" s="870"/>
      <c r="B5" s="499"/>
      <c r="C5" s="871"/>
      <c r="D5" s="871"/>
    </row>
    <row r="6" spans="1:4" ht="29.25" customHeight="1" thickTop="1" x14ac:dyDescent="0.25">
      <c r="A6" s="870"/>
      <c r="B6" s="499" t="str">
        <f>IF(輸入!$H$7=下拉用!$F$2," V一、海洛因","□一、海洛因")</f>
        <v>□一、海洛因</v>
      </c>
      <c r="C6" s="873" t="str">
        <f>word用!$H$2</f>
        <v>顏文祥</v>
      </c>
      <c r="D6" s="872" t="str">
        <f>CONCATENATE("查獲時間：",下拉用!$J$5)</f>
        <v>查獲時間：年月日時分</v>
      </c>
    </row>
    <row r="7" spans="1:4" ht="29.25" customHeight="1" x14ac:dyDescent="0.25">
      <c r="A7" s="870"/>
      <c r="B7" s="499" t="str">
        <f>IF(輸入!$H$7=下拉用!$F$3," V二、安非他命","□二、安非他命")</f>
        <v>□二、安非他命</v>
      </c>
      <c r="C7" s="870"/>
      <c r="D7" s="870"/>
    </row>
    <row r="8" spans="1:4" ht="29.25" customHeight="1" x14ac:dyDescent="0.25">
      <c r="A8" s="870"/>
      <c r="B8" s="499" t="str">
        <f>IF(輸入!$H$7=下拉用!$F$4," V三、愷他命","□三、愷他命")</f>
        <v>□三、愷他命</v>
      </c>
      <c r="C8" s="870"/>
      <c r="D8" s="881" t="str">
        <f>CONCATENATE("查獲地點：",輸入!$C$7)</f>
        <v>查獲地點：臺北市信義區吳興街206號</v>
      </c>
    </row>
    <row r="9" spans="1:4" ht="29.25" customHeight="1" thickBot="1" x14ac:dyDescent="0.3">
      <c r="A9" s="871"/>
      <c r="B9" s="500" t="str">
        <f>IF(輸入!$H$7=下拉用!$F$5," V四、一粒眠","□四、一粒眠")</f>
        <v>□四、一粒眠</v>
      </c>
      <c r="C9" s="871"/>
      <c r="D9" s="871"/>
    </row>
    <row r="10" spans="1:4" ht="15" customHeight="1" thickTop="1" x14ac:dyDescent="0.25">
      <c r="A10" s="877" t="s">
        <v>567</v>
      </c>
      <c r="B10" s="886" t="str">
        <f>CONCATENATE(輸入!$S$18,輸入!$T$18,CHAR(10),輸入!$S$19,輸入!$T$19,CHAR(10),輸入!$S$20,輸入!$T$20)</f>
        <v>臺北市政府警察局
信義分局
吳興街派出所</v>
      </c>
      <c r="C10" s="888" t="s">
        <v>568</v>
      </c>
      <c r="D10" s="884" t="s">
        <v>569</v>
      </c>
    </row>
    <row r="11" spans="1:4" ht="15" customHeight="1" thickBot="1" x14ac:dyDescent="0.3">
      <c r="A11" s="870"/>
      <c r="B11" s="870"/>
      <c r="C11" s="871"/>
      <c r="D11" s="871"/>
    </row>
    <row r="12" spans="1:4" ht="36.75" customHeight="1" thickTop="1" x14ac:dyDescent="0.25">
      <c r="A12" s="870"/>
      <c r="B12" s="870"/>
      <c r="C12" s="878" t="s">
        <v>431</v>
      </c>
      <c r="D12" s="872" t="str">
        <f>CONCATENATE("鑑驗時間：",下拉用!$J$6)</f>
        <v>鑑驗時間：114年05月05日05時05分</v>
      </c>
    </row>
    <row r="13" spans="1:4" ht="12.75" customHeight="1" x14ac:dyDescent="0.25">
      <c r="A13" s="870"/>
      <c r="B13" s="870"/>
      <c r="C13" s="870"/>
      <c r="D13" s="870"/>
    </row>
    <row r="14" spans="1:4" ht="52.5" customHeight="1" x14ac:dyDescent="0.25">
      <c r="A14" s="870"/>
      <c r="B14" s="870"/>
      <c r="C14" s="870"/>
      <c r="D14" s="881" t="str">
        <f>CONCATENATE("鑑驗地點：",IF(輸入!$H$6=輸入!$C$7,輸入!$H$6,輸入!$S$23&amp;"("&amp;輸入!$S$20&amp;輸入!$T$20&amp;")"))</f>
        <v>鑑驗地點：台北市信義區吳興街262號(吳興街派出所)</v>
      </c>
    </row>
    <row r="15" spans="1:4" ht="7.5" customHeight="1" thickBot="1" x14ac:dyDescent="0.3">
      <c r="A15" s="188"/>
      <c r="B15" s="501"/>
      <c r="C15" s="871"/>
      <c r="D15" s="871"/>
    </row>
    <row r="16" spans="1:4" ht="45.75" customHeight="1" thickTop="1" x14ac:dyDescent="0.25">
      <c r="A16" s="889" t="s">
        <v>570</v>
      </c>
      <c r="B16" s="883" t="str">
        <f>CONCATENATE("種　　類：",輸入!$H$7)</f>
        <v>種　　類：0.67</v>
      </c>
      <c r="C16" s="875"/>
      <c r="D16" s="876"/>
    </row>
    <row r="17" spans="1:4" ht="45.75" customHeight="1" x14ac:dyDescent="0.25">
      <c r="A17" s="870"/>
      <c r="B17" s="885" t="str">
        <f>CONCATENATE("重　　量：毛重：",IF(輸入!$H$8&gt;0,輸入!$H$8&amp;"公克","殘渣無法磅秤"),"、淨重：",IF(輸入!$H$9&gt;0,輸入!$H$9&amp;"公克","殘渣無法磅秤"))</f>
        <v>重　　量：毛重：400公克、淨重：殘渣無法磅秤</v>
      </c>
      <c r="C17" s="623"/>
      <c r="D17" s="867"/>
    </row>
    <row r="18" spans="1:4" ht="45.75" customHeight="1" x14ac:dyDescent="0.25">
      <c r="A18" s="870"/>
      <c r="B18" s="885" t="str">
        <f>CONCATENATE("數　　量：",輸入!$H$10,輸入!$H$11)</f>
        <v>數　　量：自小客</v>
      </c>
      <c r="C18" s="623"/>
      <c r="D18" s="867"/>
    </row>
    <row r="19" spans="1:4" ht="17.25" customHeight="1" thickBot="1" x14ac:dyDescent="0.3">
      <c r="A19" s="871"/>
      <c r="B19" s="890"/>
      <c r="C19" s="864"/>
      <c r="D19" s="865"/>
    </row>
    <row r="20" spans="1:4" ht="45" customHeight="1" thickTop="1" x14ac:dyDescent="0.25">
      <c r="A20" s="186" t="s">
        <v>571</v>
      </c>
      <c r="B20" s="874" t="str">
        <f>CONCATENATE("一、經本分局依",輸入!$T$16,"之毒品原物二合一測試劑初步檢驗結果：")</f>
        <v>一、經本分局依臺灣尖端先進生技醫藥股份有限公司之毒品原物二合一測試劑初步檢驗結果：</v>
      </c>
      <c r="C20" s="875"/>
      <c r="D20" s="876"/>
    </row>
    <row r="21" spans="1:4" ht="27.75" customHeight="1" x14ac:dyDescent="0.25">
      <c r="A21" s="187"/>
      <c r="B21" s="866" t="str">
        <f>IF(輸入!$H$7=下拉用!$F$2," V 呈嗎啡、海洛因反應","□ 呈嗎啡、海洛因反應")</f>
        <v>□ 呈嗎啡、海洛因反應</v>
      </c>
      <c r="C21" s="623"/>
      <c r="D21" s="867"/>
    </row>
    <row r="22" spans="1:4" ht="27.75" customHeight="1" x14ac:dyDescent="0.25">
      <c r="A22" s="186" t="s">
        <v>572</v>
      </c>
      <c r="B22" s="866" t="str">
        <f>IF(輸入!$H$7=下拉用!$F$3," V 呈安非他命反應","□ 呈安非他命反應")</f>
        <v>□ 呈安非他命反應</v>
      </c>
      <c r="C22" s="623"/>
      <c r="D22" s="867"/>
    </row>
    <row r="23" spans="1:4" ht="27.75" customHeight="1" x14ac:dyDescent="0.25">
      <c r="A23" s="187"/>
      <c r="B23" s="866" t="str">
        <f>IF(輸入!$H$7=下拉用!$F$4," V 呈愷他命反應","□ 呈愷他命反應")</f>
        <v>□ 呈愷他命反應</v>
      </c>
      <c r="C23" s="623"/>
      <c r="D23" s="867"/>
    </row>
    <row r="24" spans="1:4" ht="27.75" customHeight="1" x14ac:dyDescent="0.25">
      <c r="A24" s="186" t="s">
        <v>573</v>
      </c>
      <c r="B24" s="866" t="str">
        <f>IF(輸入!$H$7=下拉用!$F$4,"V 呈一粒眠反應","□ 呈一粒眠反應")</f>
        <v>□ 呈一粒眠反應</v>
      </c>
      <c r="C24" s="623"/>
      <c r="D24" s="867"/>
    </row>
    <row r="25" spans="1:4" ht="3" customHeight="1" x14ac:dyDescent="0.25">
      <c r="A25" s="185"/>
      <c r="B25" s="882"/>
      <c r="C25" s="623"/>
      <c r="D25" s="867"/>
    </row>
    <row r="26" spans="1:4" ht="21.75" customHeight="1" x14ac:dyDescent="0.25">
      <c r="A26" s="185"/>
      <c r="B26" s="880" t="s">
        <v>574</v>
      </c>
      <c r="C26" s="623"/>
      <c r="D26" s="867"/>
    </row>
    <row r="27" spans="1:4" ht="30.75" customHeight="1" thickBot="1" x14ac:dyDescent="0.3">
      <c r="A27" s="184"/>
      <c r="B27" s="863" t="s">
        <v>575</v>
      </c>
      <c r="C27" s="864"/>
      <c r="D27" s="865"/>
    </row>
    <row r="28" spans="1:4" ht="17.25" customHeight="1" thickTop="1" x14ac:dyDescent="0.25"/>
  </sheetData>
  <mergeCells count="28">
    <mergeCell ref="A1:D1"/>
    <mergeCell ref="B26:D26"/>
    <mergeCell ref="D8:D9"/>
    <mergeCell ref="B25:D25"/>
    <mergeCell ref="D14:D15"/>
    <mergeCell ref="B16:D16"/>
    <mergeCell ref="D10:D11"/>
    <mergeCell ref="B22:D22"/>
    <mergeCell ref="B18:D18"/>
    <mergeCell ref="B10:B14"/>
    <mergeCell ref="B23:D23"/>
    <mergeCell ref="A3:A9"/>
    <mergeCell ref="B17:D17"/>
    <mergeCell ref="C10:C11"/>
    <mergeCell ref="A16:A19"/>
    <mergeCell ref="B19:D19"/>
    <mergeCell ref="B27:D27"/>
    <mergeCell ref="B21:D21"/>
    <mergeCell ref="A2:D2"/>
    <mergeCell ref="D3:D5"/>
    <mergeCell ref="D6:D7"/>
    <mergeCell ref="C6:C9"/>
    <mergeCell ref="B24:D24"/>
    <mergeCell ref="B20:D20"/>
    <mergeCell ref="C3:C5"/>
    <mergeCell ref="A10:A14"/>
    <mergeCell ref="C12:C15"/>
    <mergeCell ref="D12:D13"/>
  </mergeCells>
  <phoneticPr fontId="1" type="noConversion"/>
  <pageMargins left="0.40625" right="0.30208333333333331"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工作表29">
    <tabColor theme="9" tint="-0.249977111117893"/>
  </sheetPr>
  <dimension ref="A1:AS37"/>
  <sheetViews>
    <sheetView showGridLines="0" showRuler="0" view="pageLayout" topLeftCell="A20" zoomScaleNormal="85" workbookViewId="0">
      <selection activeCell="D11" sqref="D11:J11"/>
    </sheetView>
  </sheetViews>
  <sheetFormatPr defaultColWidth="9" defaultRowHeight="16.5" x14ac:dyDescent="0.25"/>
  <cols>
    <col min="1" max="1" width="15.75" style="505" customWidth="1"/>
    <col min="2" max="2" width="4.5" style="505" customWidth="1"/>
    <col min="3" max="3" width="0.375" style="505" customWidth="1"/>
    <col min="4" max="4" width="0.5" style="505" customWidth="1"/>
    <col min="5" max="5" width="1.75" style="505" customWidth="1"/>
    <col min="6" max="6" width="1.25" style="505" customWidth="1"/>
    <col min="7" max="7" width="2.625" style="505" customWidth="1"/>
    <col min="8" max="8" width="3.375" style="505" customWidth="1"/>
    <col min="9" max="9" width="1.75" style="505" customWidth="1"/>
    <col min="10" max="10" width="12.25" style="505" customWidth="1"/>
    <col min="11" max="11" width="1.125" style="505" customWidth="1"/>
    <col min="12" max="12" width="1.625" style="505" customWidth="1"/>
    <col min="13" max="13" width="0.875" style="505" customWidth="1"/>
    <col min="14" max="14" width="0.5" style="505" customWidth="1"/>
    <col min="15" max="15" width="1.375" style="505" customWidth="1"/>
    <col min="16" max="16" width="1.125" style="505" customWidth="1"/>
    <col min="17" max="17" width="1.25" style="505" customWidth="1"/>
    <col min="18" max="18" width="2.125" style="505" customWidth="1"/>
    <col min="19" max="19" width="2.75" style="505" customWidth="1"/>
    <col min="20" max="20" width="3.5" style="505" customWidth="1"/>
    <col min="21" max="21" width="1.5" style="505" customWidth="1"/>
    <col min="22" max="23" width="0.875" style="505" customWidth="1"/>
    <col min="24" max="24" width="0.75" style="505" customWidth="1"/>
    <col min="25" max="26" width="1.625" style="505" customWidth="1"/>
    <col min="27" max="27" width="2.5" style="505" customWidth="1"/>
    <col min="28" max="29" width="2" style="505" customWidth="1"/>
    <col min="30" max="30" width="1.875" style="505" customWidth="1"/>
    <col min="31" max="32" width="1.625" style="505" customWidth="1"/>
    <col min="33" max="33" width="2.5" style="505" customWidth="1"/>
    <col min="34" max="34" width="3" style="505" customWidth="1"/>
    <col min="35" max="35" width="6.25" style="505" customWidth="1"/>
    <col min="36" max="36" width="9" style="505" customWidth="1"/>
    <col min="37" max="16384" width="9" style="505"/>
  </cols>
  <sheetData>
    <row r="1" spans="1:45" ht="25.5" customHeight="1" x14ac:dyDescent="0.25">
      <c r="A1" s="854" t="s">
        <v>576</v>
      </c>
      <c r="B1" s="596"/>
      <c r="C1" s="596"/>
      <c r="D1" s="596"/>
      <c r="E1" s="596"/>
      <c r="F1" s="596"/>
      <c r="G1" s="596"/>
      <c r="H1" s="596"/>
      <c r="I1" s="596"/>
      <c r="J1" s="596"/>
      <c r="K1" s="596"/>
      <c r="L1" s="596"/>
      <c r="M1" s="596"/>
      <c r="N1" s="596"/>
      <c r="O1" s="596"/>
      <c r="P1" s="596"/>
      <c r="Q1" s="596"/>
      <c r="R1" s="596"/>
      <c r="S1" s="596"/>
      <c r="T1" s="596"/>
      <c r="U1" s="596"/>
      <c r="V1" s="596"/>
      <c r="W1" s="596"/>
      <c r="X1" s="596"/>
      <c r="Y1" s="596"/>
      <c r="Z1" s="596"/>
      <c r="AA1" s="596"/>
      <c r="AB1" s="596"/>
      <c r="AC1" s="596"/>
      <c r="AD1" s="596"/>
      <c r="AE1" s="596"/>
      <c r="AF1" s="596"/>
      <c r="AG1" s="596"/>
      <c r="AH1" s="596"/>
      <c r="AI1" s="596"/>
    </row>
    <row r="2" spans="1:45" ht="36.75" customHeight="1" x14ac:dyDescent="0.25">
      <c r="A2" s="906" t="s">
        <v>577</v>
      </c>
      <c r="B2" s="596"/>
      <c r="C2" s="596"/>
      <c r="D2" s="596"/>
      <c r="E2" s="596"/>
      <c r="F2" s="596"/>
      <c r="G2" s="596"/>
      <c r="H2" s="596"/>
      <c r="I2" s="596"/>
      <c r="J2" s="596"/>
      <c r="K2" s="596"/>
      <c r="L2" s="596"/>
      <c r="M2" s="596"/>
      <c r="N2" s="596"/>
      <c r="O2" s="596"/>
      <c r="P2" s="596"/>
      <c r="Q2" s="596"/>
      <c r="R2" s="596"/>
      <c r="S2" s="596"/>
      <c r="T2" s="596"/>
      <c r="U2" s="596"/>
      <c r="V2" s="596"/>
      <c r="W2" s="596"/>
      <c r="X2" s="596"/>
      <c r="Y2" s="596"/>
      <c r="Z2" s="596"/>
      <c r="AA2" s="596"/>
      <c r="AB2" s="596"/>
      <c r="AC2" s="596"/>
      <c r="AD2" s="596"/>
      <c r="AE2" s="596"/>
      <c r="AF2" s="596"/>
      <c r="AG2" s="596"/>
      <c r="AH2" s="596"/>
      <c r="AI2" s="596"/>
    </row>
    <row r="3" spans="1:45" ht="2.25" hidden="1" customHeight="1" x14ac:dyDescent="0.25"/>
    <row r="4" spans="1:45" ht="1.5" customHeight="1" x14ac:dyDescent="0.25">
      <c r="A4" s="49"/>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row>
    <row r="5" spans="1:45" s="50" customFormat="1" ht="45.2" customHeight="1" x14ac:dyDescent="0.25">
      <c r="A5" s="206" t="s">
        <v>578</v>
      </c>
      <c r="AI5" s="270"/>
      <c r="AJ5" s="505"/>
      <c r="AK5" s="505"/>
      <c r="AL5" s="505"/>
      <c r="AM5" s="505"/>
      <c r="AN5" s="505"/>
      <c r="AO5" s="505"/>
      <c r="AP5" s="505"/>
      <c r="AQ5" s="505"/>
      <c r="AR5" s="505"/>
      <c r="AS5" s="505"/>
    </row>
    <row r="6" spans="1:45" ht="9.75" hidden="1" customHeight="1" x14ac:dyDescent="0.25">
      <c r="A6" s="504"/>
      <c r="AI6" s="91"/>
    </row>
    <row r="7" spans="1:45" s="268" customFormat="1" ht="17.100000000000001" customHeight="1" x14ac:dyDescent="0.25">
      <c r="A7" s="305" t="s">
        <v>579</v>
      </c>
      <c r="B7" s="306"/>
      <c r="C7" s="306"/>
      <c r="D7" s="306"/>
      <c r="E7" s="306"/>
      <c r="F7" s="306"/>
      <c r="G7" s="306"/>
      <c r="H7" s="306"/>
      <c r="I7" s="306"/>
      <c r="J7" s="306"/>
      <c r="AI7" s="272"/>
    </row>
    <row r="8" spans="1:45" ht="3" hidden="1" customHeight="1" x14ac:dyDescent="0.25">
      <c r="A8" s="275"/>
      <c r="B8" s="276"/>
      <c r="C8" s="276"/>
      <c r="AI8" s="91"/>
    </row>
    <row r="9" spans="1:45" ht="25.5" customHeight="1" x14ac:dyDescent="0.25">
      <c r="A9" s="279" t="s">
        <v>580</v>
      </c>
      <c r="B9" s="280"/>
      <c r="C9" s="280"/>
      <c r="D9" s="895" t="str">
        <f>word用!$H$2</f>
        <v>顏文祥</v>
      </c>
      <c r="E9" s="896"/>
      <c r="F9" s="896"/>
      <c r="G9" s="896"/>
      <c r="H9" s="896"/>
      <c r="I9" s="896"/>
      <c r="J9" s="897"/>
      <c r="K9" s="315" t="s">
        <v>183</v>
      </c>
      <c r="L9" s="316"/>
      <c r="M9" s="316"/>
      <c r="N9" s="316"/>
      <c r="O9" s="316"/>
      <c r="P9" s="316"/>
      <c r="Q9" s="316"/>
      <c r="R9" s="316"/>
      <c r="S9" s="296"/>
      <c r="T9" s="296"/>
      <c r="U9" s="905" t="str">
        <f>IF(word用!$R$2=下拉用!$E$2,"■男 □女","□男 ■女")</f>
        <v>■男 □女</v>
      </c>
      <c r="V9" s="893"/>
      <c r="W9" s="893"/>
      <c r="X9" s="893"/>
      <c r="Y9" s="893"/>
      <c r="Z9" s="893"/>
      <c r="AA9" s="893"/>
      <c r="AB9" s="893"/>
      <c r="AC9" s="893"/>
      <c r="AD9" s="893"/>
      <c r="AE9" s="893"/>
      <c r="AF9" s="893"/>
      <c r="AG9" s="893"/>
      <c r="AH9" s="893"/>
      <c r="AI9" s="894"/>
    </row>
    <row r="10" spans="1:45" ht="3.75" hidden="1" customHeight="1" x14ac:dyDescent="0.25">
      <c r="A10" s="275"/>
      <c r="B10" s="276"/>
      <c r="C10" s="276"/>
      <c r="D10" s="284"/>
      <c r="E10" s="276"/>
      <c r="F10" s="276"/>
      <c r="G10" s="281"/>
      <c r="H10" s="281"/>
      <c r="I10" s="281"/>
      <c r="J10" s="283"/>
      <c r="K10" s="281"/>
      <c r="L10" s="281"/>
      <c r="M10" s="285"/>
      <c r="N10" s="282"/>
      <c r="O10" s="282"/>
      <c r="P10" s="282"/>
      <c r="Q10" s="282"/>
      <c r="R10" s="282"/>
      <c r="S10" s="282"/>
      <c r="T10" s="282"/>
      <c r="U10" s="299"/>
      <c r="V10" s="282"/>
      <c r="W10" s="282"/>
      <c r="X10" s="282"/>
      <c r="Y10" s="282"/>
      <c r="Z10" s="282"/>
      <c r="AA10" s="282"/>
      <c r="AB10" s="282"/>
      <c r="AC10" s="282"/>
      <c r="AD10" s="282"/>
      <c r="AE10" s="282"/>
      <c r="AF10" s="282"/>
      <c r="AG10" s="282"/>
      <c r="AH10" s="282"/>
      <c r="AI10" s="297"/>
    </row>
    <row r="11" spans="1:45" ht="25.5" customHeight="1" x14ac:dyDescent="0.25">
      <c r="A11" s="279" t="s">
        <v>51</v>
      </c>
      <c r="B11" s="280"/>
      <c r="C11" s="280"/>
      <c r="D11" s="908" t="str">
        <f>CONCATENATE(LEFT(word用!$L$2,2),"年",MID(word用!$L$2,4,2),"月",RIGHT(word用!$L$2,2),"日")</f>
        <v>84年03月06日</v>
      </c>
      <c r="E11" s="596"/>
      <c r="F11" s="596"/>
      <c r="G11" s="596"/>
      <c r="H11" s="596"/>
      <c r="I11" s="596"/>
      <c r="J11" s="909"/>
      <c r="K11" s="290" t="s">
        <v>48</v>
      </c>
      <c r="L11" s="291"/>
      <c r="M11" s="292"/>
      <c r="N11" s="296"/>
      <c r="O11" s="296"/>
      <c r="P11" s="296"/>
      <c r="Q11" s="296"/>
      <c r="R11" s="296"/>
      <c r="S11" s="296"/>
      <c r="T11" s="296"/>
      <c r="U11" s="892" t="str">
        <f>UPPER(word用!$I$2)</f>
        <v>A126819564</v>
      </c>
      <c r="V11" s="893"/>
      <c r="W11" s="893"/>
      <c r="X11" s="893"/>
      <c r="Y11" s="893"/>
      <c r="Z11" s="893"/>
      <c r="AA11" s="893"/>
      <c r="AB11" s="893"/>
      <c r="AC11" s="893"/>
      <c r="AD11" s="893"/>
      <c r="AE11" s="893"/>
      <c r="AF11" s="893"/>
      <c r="AG11" s="893"/>
      <c r="AH11" s="893"/>
      <c r="AI11" s="894"/>
    </row>
    <row r="12" spans="1:45" ht="0.75" hidden="1" customHeight="1" x14ac:dyDescent="0.25">
      <c r="A12" s="275"/>
      <c r="B12" s="276"/>
      <c r="C12" s="276"/>
      <c r="D12" s="314"/>
      <c r="I12" s="291"/>
      <c r="J12" s="289"/>
      <c r="K12" s="293"/>
      <c r="L12" s="293"/>
      <c r="M12" s="294"/>
      <c r="N12" s="293"/>
      <c r="O12" s="293"/>
      <c r="P12" s="293"/>
      <c r="Q12" s="293"/>
      <c r="R12" s="293"/>
      <c r="S12" s="293"/>
      <c r="T12" s="293"/>
      <c r="U12" s="282"/>
      <c r="V12" s="282"/>
      <c r="W12" s="282"/>
      <c r="X12" s="282"/>
      <c r="Y12" s="282"/>
      <c r="Z12" s="282"/>
      <c r="AA12" s="282"/>
      <c r="AB12" s="282"/>
      <c r="AC12" s="282"/>
      <c r="AD12" s="297"/>
      <c r="AE12" s="282"/>
      <c r="AF12" s="282"/>
      <c r="AG12" s="282"/>
      <c r="AH12" s="282"/>
      <c r="AI12" s="297"/>
    </row>
    <row r="13" spans="1:45" ht="45.2" customHeight="1" x14ac:dyDescent="0.25">
      <c r="A13" s="277" t="s">
        <v>581</v>
      </c>
      <c r="B13" s="278"/>
      <c r="C13" s="278"/>
      <c r="D13" s="899" t="str">
        <f>CONCATENATE(輸入!$S$18,輸入!$T$18,CHAR(10),輸入!$S$19,輸入!$T$19,輸入!$S$20,輸入!$T$20)</f>
        <v>臺北市政府警察局
信義分局吳興街派出所</v>
      </c>
      <c r="E13" s="896"/>
      <c r="F13" s="896"/>
      <c r="G13" s="896"/>
      <c r="H13" s="896"/>
      <c r="I13" s="896"/>
      <c r="J13" s="900"/>
      <c r="K13" s="300" t="s">
        <v>582</v>
      </c>
      <c r="L13" s="301"/>
      <c r="M13" s="302"/>
      <c r="N13" s="302"/>
      <c r="O13" s="302"/>
      <c r="P13" s="302"/>
      <c r="Q13" s="302"/>
      <c r="R13" s="302"/>
      <c r="S13" s="302"/>
      <c r="T13" s="302"/>
      <c r="U13" s="902" t="s">
        <v>583</v>
      </c>
      <c r="V13" s="903"/>
      <c r="W13" s="903"/>
      <c r="X13" s="903"/>
      <c r="Y13" s="903"/>
      <c r="Z13" s="903"/>
      <c r="AA13" s="903"/>
      <c r="AB13" s="903"/>
      <c r="AC13" s="903"/>
      <c r="AD13" s="903"/>
      <c r="AE13" s="903"/>
      <c r="AF13" s="903"/>
      <c r="AG13" s="903"/>
      <c r="AH13" s="903"/>
      <c r="AI13" s="904"/>
    </row>
    <row r="14" spans="1:45" ht="1.5" customHeight="1" x14ac:dyDescent="0.25">
      <c r="A14" s="504"/>
      <c r="AI14" s="91"/>
    </row>
    <row r="15" spans="1:45" ht="25.5" customHeight="1" x14ac:dyDescent="0.25">
      <c r="A15" s="267" t="s">
        <v>584</v>
      </c>
      <c r="B15" s="907" t="str">
        <f>輸入!$S$23</f>
        <v>台北市信義區吳興街262號</v>
      </c>
      <c r="C15" s="582"/>
      <c r="D15" s="582"/>
      <c r="E15" s="582"/>
      <c r="F15" s="582"/>
      <c r="G15" s="582"/>
      <c r="H15" s="582"/>
      <c r="I15" s="582"/>
      <c r="J15" s="582"/>
      <c r="K15" s="582"/>
      <c r="L15" s="582"/>
      <c r="M15" s="582"/>
      <c r="N15" s="582"/>
      <c r="O15" s="582"/>
      <c r="P15" s="582"/>
      <c r="Q15" s="582"/>
      <c r="R15" s="582"/>
      <c r="S15" s="582"/>
      <c r="T15" s="582"/>
      <c r="U15" s="582"/>
      <c r="V15" s="582"/>
      <c r="W15" s="582"/>
      <c r="X15" s="582"/>
      <c r="Y15" s="582"/>
      <c r="Z15" s="582"/>
      <c r="AA15" s="582"/>
      <c r="AB15" s="582"/>
      <c r="AC15" s="582"/>
      <c r="AD15" s="582"/>
      <c r="AE15" s="582"/>
      <c r="AF15" s="582"/>
      <c r="AG15" s="582"/>
      <c r="AH15" s="582"/>
      <c r="AI15" s="583"/>
    </row>
    <row r="16" spans="1:45" ht="2.25" customHeight="1" x14ac:dyDescent="0.25">
      <c r="A16" s="269"/>
      <c r="B16" s="50"/>
      <c r="C16" s="50"/>
      <c r="D16" s="50"/>
      <c r="E16" s="50"/>
      <c r="F16" s="50"/>
      <c r="G16" s="50"/>
      <c r="H16" s="50"/>
      <c r="I16" s="50"/>
      <c r="J16" s="50"/>
      <c r="K16" s="270"/>
      <c r="L16" s="50"/>
      <c r="M16" s="50"/>
      <c r="N16" s="50"/>
      <c r="O16" s="50"/>
      <c r="P16" s="50"/>
      <c r="Q16" s="50"/>
      <c r="R16" s="50"/>
      <c r="S16" s="50"/>
      <c r="T16" s="50"/>
      <c r="U16" s="50"/>
      <c r="V16" s="50"/>
      <c r="W16" s="50"/>
      <c r="X16" s="50"/>
      <c r="Y16" s="50"/>
      <c r="Z16" s="50"/>
      <c r="AA16" s="50"/>
      <c r="AI16" s="91"/>
    </row>
    <row r="17" spans="1:35" ht="39.6" customHeight="1" x14ac:dyDescent="0.25">
      <c r="A17" s="311" t="s">
        <v>585</v>
      </c>
      <c r="K17" s="298"/>
      <c r="L17" s="312" t="s">
        <v>586</v>
      </c>
      <c r="AI17" s="91"/>
    </row>
    <row r="18" spans="1:35" ht="20.85" hidden="1" customHeight="1" x14ac:dyDescent="0.25">
      <c r="A18" s="504"/>
      <c r="K18" s="91"/>
      <c r="AI18" s="91"/>
    </row>
    <row r="19" spans="1:35" ht="17.100000000000001" customHeight="1" x14ac:dyDescent="0.25">
      <c r="A19" s="313" t="s">
        <v>587</v>
      </c>
      <c r="B19" s="49"/>
      <c r="C19" s="49"/>
      <c r="D19" s="49"/>
      <c r="E19" s="49"/>
      <c r="F19" s="49"/>
      <c r="G19" s="49"/>
      <c r="H19" s="49"/>
      <c r="I19" s="49"/>
      <c r="J19" s="49"/>
      <c r="K19" s="93"/>
      <c r="AI19" s="91"/>
    </row>
    <row r="20" spans="1:35" s="242" customFormat="1" ht="36.75" customHeight="1" x14ac:dyDescent="0.25">
      <c r="A20" s="307" t="s">
        <v>588</v>
      </c>
      <c r="B20" s="308"/>
      <c r="C20" s="308"/>
      <c r="D20" s="308"/>
      <c r="E20" s="308"/>
      <c r="F20" s="308"/>
      <c r="G20" s="308"/>
      <c r="H20" s="308"/>
      <c r="I20" s="308"/>
      <c r="J20" s="308"/>
      <c r="K20" s="309"/>
      <c r="AI20" s="310"/>
    </row>
    <row r="21" spans="1:35" ht="24.95" hidden="1" customHeight="1" x14ac:dyDescent="0.25">
      <c r="A21" s="271"/>
      <c r="K21" s="91"/>
      <c r="AI21" s="91"/>
    </row>
    <row r="22" spans="1:35" ht="11.25" customHeight="1" x14ac:dyDescent="0.25">
      <c r="A22" s="504"/>
      <c r="K22" s="91"/>
      <c r="L22" s="901" t="s">
        <v>589</v>
      </c>
      <c r="M22" s="596"/>
      <c r="N22" s="596"/>
      <c r="O22" s="596"/>
      <c r="P22" s="596"/>
      <c r="Q22" s="596"/>
      <c r="R22" s="596"/>
      <c r="S22" s="596"/>
      <c r="T22" s="596"/>
      <c r="U22" s="596"/>
      <c r="V22" s="596"/>
      <c r="W22" s="596"/>
      <c r="X22" s="596"/>
      <c r="Y22" s="596"/>
      <c r="Z22" s="596"/>
      <c r="AA22" s="596"/>
      <c r="AB22" s="596"/>
      <c r="AC22" s="596"/>
      <c r="AD22" s="596"/>
      <c r="AE22" s="596"/>
      <c r="AF22" s="596"/>
      <c r="AG22" s="596"/>
      <c r="AH22" s="596"/>
      <c r="AI22" s="603"/>
    </row>
    <row r="23" spans="1:35" ht="11.25" customHeight="1" thickBot="1" x14ac:dyDescent="0.3">
      <c r="A23" s="504"/>
      <c r="K23" s="91"/>
      <c r="L23" s="303" t="s">
        <v>590</v>
      </c>
      <c r="M23" s="304"/>
      <c r="N23" s="304"/>
      <c r="O23" s="304"/>
      <c r="P23" s="304"/>
      <c r="Q23" s="304"/>
      <c r="R23" s="304"/>
      <c r="S23" s="304"/>
      <c r="T23" s="304"/>
      <c r="U23" s="268"/>
      <c r="V23" s="268"/>
      <c r="W23" s="268"/>
      <c r="X23" s="268"/>
      <c r="Y23" s="268"/>
      <c r="Z23" s="268"/>
      <c r="AA23" s="268"/>
      <c r="AB23" s="268"/>
      <c r="AC23" s="268"/>
      <c r="AD23" s="268"/>
      <c r="AI23" s="91"/>
    </row>
    <row r="24" spans="1:35" ht="22.5" customHeight="1" x14ac:dyDescent="0.25">
      <c r="A24" s="288" t="s">
        <v>591</v>
      </c>
      <c r="B24" s="287"/>
      <c r="C24" s="287"/>
      <c r="D24" s="287"/>
      <c r="E24" s="287"/>
      <c r="F24" s="287"/>
      <c r="G24" s="287"/>
      <c r="H24" s="287"/>
      <c r="I24" s="287"/>
      <c r="J24" s="287"/>
      <c r="K24" s="287"/>
      <c r="L24" s="287"/>
      <c r="M24" s="287"/>
      <c r="N24" s="287"/>
      <c r="O24" s="287"/>
      <c r="P24" s="287"/>
      <c r="Q24" s="287"/>
      <c r="R24" s="287"/>
      <c r="S24" s="287"/>
      <c r="T24" s="287"/>
      <c r="U24" s="287"/>
      <c r="V24" s="287"/>
      <c r="W24" s="287"/>
      <c r="X24" s="287"/>
      <c r="Y24" s="287"/>
      <c r="Z24" s="287"/>
      <c r="AA24" s="287"/>
      <c r="AB24" s="287"/>
      <c r="AC24" s="287"/>
      <c r="AD24" s="287"/>
      <c r="AE24" s="287"/>
      <c r="AF24" s="287"/>
      <c r="AG24" s="287"/>
      <c r="AH24" s="287"/>
      <c r="AI24" s="90"/>
    </row>
    <row r="25" spans="1:35" ht="16.7" customHeight="1" x14ac:dyDescent="0.25">
      <c r="A25" s="502" t="s">
        <v>592</v>
      </c>
      <c r="AI25" s="91"/>
    </row>
    <row r="26" spans="1:35" ht="16.7" customHeight="1" x14ac:dyDescent="0.25">
      <c r="A26" s="502" t="s">
        <v>593</v>
      </c>
      <c r="AI26" s="91"/>
    </row>
    <row r="27" spans="1:35" ht="16.7" customHeight="1" x14ac:dyDescent="0.25">
      <c r="A27" s="898" t="s">
        <v>594</v>
      </c>
      <c r="B27" s="596"/>
      <c r="C27" s="596"/>
      <c r="D27" s="596"/>
      <c r="E27" s="596"/>
      <c r="F27" s="596"/>
      <c r="G27" s="596"/>
      <c r="H27" s="596"/>
      <c r="I27" s="596"/>
      <c r="J27" s="596"/>
      <c r="K27" s="596"/>
      <c r="L27" s="596"/>
      <c r="M27" s="596"/>
      <c r="N27" s="596"/>
      <c r="O27" s="596"/>
      <c r="P27" s="596"/>
      <c r="Q27" s="596"/>
      <c r="R27" s="596"/>
      <c r="S27" s="596"/>
      <c r="T27" s="596"/>
      <c r="U27" s="596"/>
      <c r="V27" s="596"/>
      <c r="W27" s="596"/>
      <c r="X27" s="596"/>
      <c r="AI27" s="91"/>
    </row>
    <row r="28" spans="1:35" ht="16.7" customHeight="1" x14ac:dyDescent="0.25">
      <c r="A28" s="898" t="s">
        <v>595</v>
      </c>
      <c r="B28" s="596"/>
      <c r="C28" s="596"/>
      <c r="D28" s="596"/>
      <c r="E28" s="596"/>
      <c r="F28" s="596"/>
      <c r="G28" s="596"/>
      <c r="H28" s="596"/>
      <c r="I28" s="596"/>
      <c r="J28" s="596"/>
      <c r="K28" s="596"/>
      <c r="L28" s="596"/>
      <c r="M28" s="596"/>
      <c r="N28" s="596"/>
      <c r="O28" s="596"/>
      <c r="P28" s="596"/>
      <c r="Q28" s="596"/>
      <c r="R28" s="596"/>
      <c r="S28" s="596"/>
      <c r="T28" s="596"/>
      <c r="U28" s="596"/>
      <c r="V28" s="596"/>
      <c r="W28" s="596"/>
      <c r="X28" s="596"/>
      <c r="AI28" s="91"/>
    </row>
    <row r="29" spans="1:35" ht="16.7" customHeight="1" x14ac:dyDescent="0.25">
      <c r="A29" s="891" t="s">
        <v>596</v>
      </c>
      <c r="B29" s="596"/>
      <c r="C29" s="596"/>
      <c r="D29" s="596"/>
      <c r="E29" s="596"/>
      <c r="F29" s="596"/>
      <c r="G29" s="596"/>
      <c r="H29" s="596"/>
      <c r="I29" s="596"/>
      <c r="J29" s="596"/>
      <c r="K29" s="596"/>
      <c r="L29" s="596"/>
      <c r="M29" s="596"/>
      <c r="N29" s="596"/>
      <c r="O29" s="596"/>
      <c r="P29" s="596"/>
      <c r="Q29" s="596"/>
      <c r="R29" s="596"/>
      <c r="S29" s="596"/>
      <c r="T29" s="596"/>
      <c r="U29" s="596"/>
      <c r="V29" s="596"/>
      <c r="W29" s="596"/>
      <c r="X29" s="596"/>
      <c r="AI29" s="91"/>
    </row>
    <row r="30" spans="1:35" ht="16.7" customHeight="1" x14ac:dyDescent="0.25">
      <c r="A30" s="502" t="s">
        <v>597</v>
      </c>
      <c r="AI30" s="91"/>
    </row>
    <row r="31" spans="1:35" ht="2.25" customHeight="1" thickBot="1" x14ac:dyDescent="0.3">
      <c r="A31" s="504"/>
      <c r="O31" s="295"/>
      <c r="P31" s="295"/>
      <c r="Q31" s="295"/>
      <c r="R31" s="295"/>
      <c r="S31" s="295"/>
      <c r="T31" s="295"/>
      <c r="U31" s="295"/>
      <c r="V31" s="295"/>
      <c r="W31" s="295"/>
      <c r="X31" s="295"/>
      <c r="Y31" s="295"/>
      <c r="Z31" s="295"/>
      <c r="AA31" s="295"/>
      <c r="AB31" s="295"/>
      <c r="AC31" s="295"/>
      <c r="AI31" s="91"/>
    </row>
    <row r="32" spans="1:35" ht="22.5" customHeight="1" x14ac:dyDescent="0.25">
      <c r="A32" s="286" t="s">
        <v>598</v>
      </c>
      <c r="B32" s="287"/>
      <c r="C32" s="287"/>
      <c r="D32" s="287"/>
      <c r="E32" s="287"/>
      <c r="F32" s="287"/>
      <c r="G32" s="287"/>
      <c r="H32" s="287"/>
      <c r="I32" s="287"/>
      <c r="J32" s="287"/>
      <c r="K32" s="287"/>
      <c r="L32" s="287"/>
      <c r="M32" s="287"/>
      <c r="N32" s="287"/>
      <c r="AD32" s="287"/>
      <c r="AE32" s="287"/>
      <c r="AF32" s="287"/>
      <c r="AG32" s="287"/>
      <c r="AH32" s="287"/>
      <c r="AI32" s="90"/>
    </row>
    <row r="33" spans="1:35" ht="19.7" customHeight="1" x14ac:dyDescent="0.25">
      <c r="A33" s="502" t="str">
        <f>IF(輸入!$H$7=下拉用!$F$2,"■鴉片類（含海洛因）","□鴉片類（含海洛因）")</f>
        <v>□鴉片類（含海洛因）</v>
      </c>
      <c r="E33" s="161"/>
      <c r="I33" s="505" t="str">
        <f>IF(輸入!$H$7=下拉用!$F$3,"■安非他命類","□安非他命類")</f>
        <v>□安非他命類</v>
      </c>
      <c r="L33" s="503"/>
      <c r="V33" s="505" t="s">
        <v>599</v>
      </c>
      <c r="AI33" s="91"/>
    </row>
    <row r="34" spans="1:35" ht="14.1" customHeight="1" x14ac:dyDescent="0.25">
      <c r="A34" s="504"/>
      <c r="AI34" s="91"/>
    </row>
    <row r="35" spans="1:35" ht="17.100000000000001" customHeight="1" x14ac:dyDescent="0.25">
      <c r="A35" s="502" t="s">
        <v>600</v>
      </c>
      <c r="H35" s="503"/>
      <c r="I35" s="503"/>
      <c r="J35" s="503" t="str">
        <f>IF(輸入!$H$7=下拉用!$F$4,"■愷他命","□愷他命")</f>
        <v>□愷他命</v>
      </c>
      <c r="M35" s="503"/>
      <c r="Y35" s="505" t="str">
        <f>IF(輸入!$H$7=下拉用!$F$4,"■硝甲西泮（一粒眠）","□硝甲西泮（一粒眠）")</f>
        <v>□硝甲西泮（一粒眠）</v>
      </c>
      <c r="AI35" s="91"/>
    </row>
    <row r="36" spans="1:35" ht="11.25" customHeight="1" x14ac:dyDescent="0.25">
      <c r="A36" s="504"/>
      <c r="AI36" s="91"/>
    </row>
    <row r="37" spans="1:35" ht="17.100000000000001" customHeight="1" x14ac:dyDescent="0.25">
      <c r="A37" s="273" t="s">
        <v>601</v>
      </c>
      <c r="B37" s="49"/>
      <c r="C37" s="49"/>
      <c r="D37" s="49"/>
      <c r="E37" s="49"/>
      <c r="F37" s="49"/>
      <c r="G37" s="49"/>
      <c r="H37" s="274"/>
      <c r="I37" s="274"/>
      <c r="J37" s="274" t="s">
        <v>602</v>
      </c>
      <c r="K37" s="49"/>
      <c r="L37" s="49"/>
      <c r="M37" s="274"/>
      <c r="N37" s="49"/>
      <c r="O37" s="49"/>
      <c r="P37" s="49"/>
      <c r="Q37" s="49"/>
      <c r="R37" s="49"/>
      <c r="S37" s="49"/>
      <c r="T37" s="49"/>
      <c r="U37" s="49"/>
      <c r="V37" s="49"/>
      <c r="W37" s="49"/>
      <c r="X37" s="49"/>
      <c r="Y37" s="49" t="s">
        <v>603</v>
      </c>
      <c r="Z37" s="49"/>
      <c r="AA37" s="49"/>
      <c r="AB37" s="49"/>
      <c r="AC37" s="49"/>
      <c r="AD37" s="49"/>
      <c r="AE37" s="49"/>
      <c r="AF37" s="49"/>
      <c r="AG37" s="49"/>
      <c r="AH37" s="49"/>
      <c r="AI37" s="93"/>
    </row>
  </sheetData>
  <mergeCells count="13">
    <mergeCell ref="A29:X29"/>
    <mergeCell ref="U11:AI11"/>
    <mergeCell ref="D9:J9"/>
    <mergeCell ref="A1:AI1"/>
    <mergeCell ref="A28:X28"/>
    <mergeCell ref="D13:J13"/>
    <mergeCell ref="L22:AI22"/>
    <mergeCell ref="U13:AI13"/>
    <mergeCell ref="A27:X27"/>
    <mergeCell ref="U9:AI9"/>
    <mergeCell ref="A2:AI2"/>
    <mergeCell ref="B15:AI15"/>
    <mergeCell ref="D11:J11"/>
  </mergeCells>
  <phoneticPr fontId="1" type="noConversion"/>
  <pageMargins left="0.35433070866141742" right="0.74803149606299213" top="0.74803149606299213" bottom="0.74803149606299213" header="0.31496062992125978" footer="0.31496062992125978"/>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工作表10">
    <tabColor theme="9" tint="-0.249977111117893"/>
  </sheetPr>
  <dimension ref="A1:W27"/>
  <sheetViews>
    <sheetView view="pageLayout" topLeftCell="A16" zoomScaleNormal="100" zoomScaleSheetLayoutView="80" workbookViewId="0">
      <selection activeCell="A18" sqref="A18:W18"/>
    </sheetView>
  </sheetViews>
  <sheetFormatPr defaultRowHeight="16.5" x14ac:dyDescent="0.25"/>
  <cols>
    <col min="1" max="1" width="0.625" style="505" customWidth="1"/>
    <col min="2" max="2" width="0.375" style="505" customWidth="1"/>
    <col min="3" max="4" width="0.5" style="505" customWidth="1"/>
    <col min="5" max="5" width="1" style="505" customWidth="1"/>
    <col min="6" max="6" width="3.25" style="505" customWidth="1"/>
    <col min="7" max="8" width="1.25" style="505" customWidth="1"/>
    <col min="9" max="9" width="4.125" style="505" customWidth="1"/>
    <col min="10" max="10" width="5" style="505" customWidth="1"/>
    <col min="11" max="11" width="2.875" style="505" customWidth="1"/>
    <col min="12" max="12" width="3.375" style="505" customWidth="1"/>
    <col min="13" max="13" width="4.625" style="505" customWidth="1"/>
    <col min="14" max="14" width="3.375" style="505" customWidth="1"/>
    <col min="15" max="16" width="2.875" style="505" customWidth="1"/>
    <col min="17" max="17" width="3.25" style="505" customWidth="1"/>
    <col min="18" max="18" width="2.375" style="505" customWidth="1"/>
    <col min="19" max="19" width="1.625" style="505" customWidth="1"/>
    <col min="20" max="20" width="3.375" style="505" customWidth="1"/>
    <col min="21" max="21" width="9" style="505" customWidth="1"/>
    <col min="22" max="22" width="7.125" style="505" customWidth="1"/>
    <col min="23" max="23" width="12.125" style="505" customWidth="1"/>
    <col min="24" max="25" width="9" style="505" customWidth="1"/>
    <col min="26" max="16384" width="9" style="505"/>
  </cols>
  <sheetData>
    <row r="1" spans="1:23" ht="30" customHeight="1" x14ac:dyDescent="0.25">
      <c r="A1" s="246"/>
      <c r="B1" s="246"/>
      <c r="C1" s="246"/>
      <c r="D1" s="911" t="s">
        <v>604</v>
      </c>
      <c r="E1" s="596"/>
      <c r="F1" s="596"/>
      <c r="G1" s="596"/>
      <c r="H1" s="596"/>
      <c r="I1" s="596"/>
      <c r="J1" s="596"/>
      <c r="K1" s="596"/>
      <c r="L1" s="596"/>
      <c r="M1" s="596"/>
      <c r="N1" s="596"/>
      <c r="O1" s="596"/>
      <c r="P1" s="596"/>
      <c r="Q1" s="596"/>
      <c r="R1" s="596"/>
      <c r="S1" s="596"/>
      <c r="T1" s="596"/>
      <c r="U1" s="596"/>
      <c r="V1" s="596"/>
      <c r="W1" s="596"/>
    </row>
    <row r="2" spans="1:23" ht="60.75" customHeight="1" x14ac:dyDescent="0.25"/>
    <row r="3" spans="1:23" ht="25.5" customHeight="1" x14ac:dyDescent="0.25">
      <c r="A3" s="910" t="str">
        <f>CONCATENATE("本人  ",word用!$H$2,"  出於自願，同意 ",下拉用!$J$6," 接")</f>
        <v>本人  顏文祥  出於自願，同意 114年05月05日05時05分 接</v>
      </c>
      <c r="B3" s="596"/>
      <c r="C3" s="596"/>
      <c r="D3" s="596"/>
      <c r="E3" s="596"/>
      <c r="F3" s="596"/>
      <c r="G3" s="596"/>
      <c r="H3" s="596"/>
      <c r="I3" s="596"/>
      <c r="J3" s="596"/>
      <c r="K3" s="596"/>
      <c r="L3" s="596"/>
      <c r="M3" s="596"/>
      <c r="N3" s="596"/>
      <c r="O3" s="596"/>
      <c r="P3" s="596"/>
      <c r="Q3" s="596"/>
      <c r="R3" s="596"/>
      <c r="S3" s="596"/>
      <c r="T3" s="596"/>
      <c r="U3" s="596"/>
      <c r="V3" s="596"/>
      <c r="W3" s="596"/>
    </row>
    <row r="4" spans="1:23" ht="17.100000000000001" customHeight="1" x14ac:dyDescent="0.25"/>
    <row r="5" spans="1:23" s="507" customFormat="1" ht="24.95" customHeight="1" x14ac:dyDescent="0.25">
      <c r="A5" s="162"/>
      <c r="B5" s="162" t="str">
        <f>CONCATENATE("受",輸入!$S$18,輸入!$T$18,輸入!$S$19,輸入!$T$19,"人員")</f>
        <v>受臺北市政府警察局信義分局人員</v>
      </c>
      <c r="C5" s="162"/>
      <c r="D5" s="162"/>
      <c r="E5" s="162"/>
      <c r="F5" s="162"/>
      <c r="G5" s="162"/>
      <c r="H5" s="162"/>
      <c r="I5" s="162"/>
      <c r="J5" s="162"/>
      <c r="K5" s="162"/>
      <c r="L5" s="162"/>
      <c r="M5" s="162"/>
      <c r="N5" s="162"/>
      <c r="O5" s="162"/>
      <c r="P5" s="162"/>
      <c r="Q5" s="162"/>
      <c r="R5" s="162"/>
      <c r="S5" s="162"/>
      <c r="T5" s="162"/>
      <c r="U5" s="162"/>
      <c r="V5" s="162"/>
      <c r="W5" s="162" t="s">
        <v>605</v>
      </c>
    </row>
    <row r="6" spans="1:23" ht="17.100000000000001" customHeight="1" x14ac:dyDescent="0.25"/>
    <row r="7" spans="1:23" ht="25.5" customHeight="1" x14ac:dyDescent="0.25">
      <c r="A7" s="162" t="s">
        <v>606</v>
      </c>
      <c r="B7" s="88"/>
      <c r="C7" s="88"/>
      <c r="D7" s="88"/>
      <c r="E7" s="88"/>
    </row>
    <row r="8" spans="1:23" ht="17.100000000000001" customHeight="1" x14ac:dyDescent="0.25"/>
    <row r="9" spans="1:23" ht="25.5" customHeight="1" x14ac:dyDescent="0.25">
      <c r="A9" s="162" t="s">
        <v>607</v>
      </c>
      <c r="B9" s="162"/>
      <c r="C9" s="162"/>
      <c r="D9" s="162"/>
      <c r="E9" s="162"/>
      <c r="F9" s="162"/>
      <c r="G9" s="162"/>
      <c r="H9" s="162"/>
    </row>
    <row r="10" spans="1:23" ht="18.75" customHeight="1" x14ac:dyDescent="0.25">
      <c r="A10" s="162"/>
      <c r="B10" s="162"/>
      <c r="C10" s="162"/>
      <c r="D10" s="162"/>
      <c r="E10" s="162"/>
      <c r="F10" s="162"/>
      <c r="G10" s="162"/>
      <c r="H10" s="162"/>
    </row>
    <row r="11" spans="1:23" ht="19.5" customHeight="1" x14ac:dyDescent="0.25">
      <c r="I11" s="912" t="s">
        <v>608</v>
      </c>
      <c r="J11" s="596"/>
      <c r="K11" s="596"/>
      <c r="L11" s="596"/>
    </row>
    <row r="12" spans="1:23" ht="21" customHeight="1" x14ac:dyDescent="0.25">
      <c r="I12" s="508"/>
      <c r="J12" s="508"/>
      <c r="K12" s="508"/>
      <c r="L12" s="87"/>
    </row>
    <row r="13" spans="1:23" ht="19.5" customHeight="1" x14ac:dyDescent="0.25">
      <c r="I13" s="87" t="s">
        <v>609</v>
      </c>
      <c r="J13" s="87"/>
      <c r="K13" s="87" t="s">
        <v>610</v>
      </c>
    </row>
    <row r="14" spans="1:23" ht="21" customHeight="1" x14ac:dyDescent="0.25">
      <c r="I14" s="87"/>
      <c r="J14" s="87"/>
      <c r="K14" s="87"/>
      <c r="L14" s="87"/>
    </row>
    <row r="15" spans="1:23" ht="19.5" customHeight="1" x14ac:dyDescent="0.25">
      <c r="I15" s="87" t="s">
        <v>611</v>
      </c>
      <c r="J15" s="87"/>
      <c r="K15" s="87" t="s">
        <v>612</v>
      </c>
    </row>
    <row r="16" spans="1:23" ht="25.5" customHeight="1" x14ac:dyDescent="0.25">
      <c r="I16" s="87"/>
      <c r="J16" s="87"/>
      <c r="K16" s="87"/>
      <c r="L16" s="87"/>
    </row>
    <row r="17" spans="1:23" s="87" customFormat="1" ht="19.5" customHeight="1" x14ac:dyDescent="0.25">
      <c r="A17" s="912" t="s">
        <v>613</v>
      </c>
      <c r="B17" s="913"/>
      <c r="C17" s="913"/>
      <c r="D17" s="913"/>
      <c r="E17" s="913"/>
      <c r="F17" s="913"/>
      <c r="G17" s="913"/>
      <c r="H17" s="913"/>
      <c r="I17" s="913"/>
      <c r="J17" s="913"/>
      <c r="M17" s="912" t="str">
        <f>下拉用!$J$6</f>
        <v>114年05月05日05時05分</v>
      </c>
      <c r="N17" s="913"/>
      <c r="O17" s="913"/>
      <c r="P17" s="913"/>
      <c r="Q17" s="913"/>
      <c r="R17" s="913"/>
      <c r="S17" s="913"/>
      <c r="T17" s="913"/>
      <c r="U17" s="913"/>
      <c r="V17" s="913"/>
      <c r="W17" s="913"/>
    </row>
    <row r="18" spans="1:23" ht="26.25" customHeight="1" x14ac:dyDescent="0.25">
      <c r="A18" s="914" t="s">
        <v>614</v>
      </c>
      <c r="B18" s="596"/>
      <c r="C18" s="596"/>
      <c r="D18" s="596"/>
      <c r="E18" s="596"/>
      <c r="F18" s="596"/>
      <c r="G18" s="596"/>
      <c r="H18" s="596"/>
      <c r="I18" s="596"/>
      <c r="J18" s="596"/>
      <c r="K18" s="596"/>
      <c r="L18" s="596"/>
      <c r="M18" s="596"/>
      <c r="N18" s="596"/>
      <c r="O18" s="596"/>
      <c r="P18" s="596"/>
      <c r="Q18" s="596"/>
      <c r="R18" s="596"/>
      <c r="S18" s="596"/>
      <c r="T18" s="596"/>
      <c r="U18" s="596"/>
      <c r="V18" s="596"/>
      <c r="W18" s="596"/>
    </row>
    <row r="19" spans="1:23" ht="21" customHeight="1" x14ac:dyDescent="0.25">
      <c r="C19" s="243"/>
      <c r="F19" s="245" t="s">
        <v>615</v>
      </c>
      <c r="G19" s="244"/>
      <c r="H19" s="244"/>
      <c r="I19" s="244"/>
      <c r="J19" s="244"/>
      <c r="K19" s="244"/>
    </row>
    <row r="20" spans="1:23" ht="30.75" customHeight="1" x14ac:dyDescent="0.25"/>
    <row r="21" spans="1:23" ht="19.5" customHeight="1" x14ac:dyDescent="0.25">
      <c r="A21" s="505" t="s">
        <v>616</v>
      </c>
    </row>
    <row r="22" spans="1:23" ht="19.5" customHeight="1" x14ac:dyDescent="0.25">
      <c r="A22" s="505" t="s">
        <v>617</v>
      </c>
      <c r="F22" s="87"/>
      <c r="G22" s="763" t="s">
        <v>618</v>
      </c>
      <c r="H22" s="596"/>
      <c r="I22" s="596"/>
      <c r="J22" s="596"/>
      <c r="K22" s="596"/>
      <c r="L22" s="596"/>
      <c r="M22" s="596"/>
      <c r="N22" s="596"/>
      <c r="O22" s="596"/>
      <c r="P22" s="596"/>
      <c r="Q22" s="596"/>
      <c r="R22" s="596"/>
      <c r="S22" s="596"/>
      <c r="T22" s="596"/>
      <c r="U22" s="596"/>
      <c r="V22" s="596"/>
      <c r="W22" s="596"/>
    </row>
    <row r="23" spans="1:23" ht="19.5" customHeight="1" x14ac:dyDescent="0.25">
      <c r="G23" s="763" t="s">
        <v>619</v>
      </c>
      <c r="H23" s="596"/>
      <c r="I23" s="596"/>
      <c r="J23" s="596"/>
      <c r="K23" s="596"/>
      <c r="L23" s="596"/>
      <c r="M23" s="596"/>
      <c r="N23" s="596"/>
      <c r="O23" s="596"/>
      <c r="P23" s="596"/>
      <c r="Q23" s="596"/>
      <c r="R23" s="596"/>
      <c r="S23" s="596"/>
      <c r="T23" s="596"/>
      <c r="U23" s="596"/>
      <c r="V23" s="596"/>
      <c r="W23" s="596"/>
    </row>
    <row r="24" spans="1:23" ht="19.5" customHeight="1" x14ac:dyDescent="0.25">
      <c r="G24" s="87" t="s">
        <v>620</v>
      </c>
      <c r="H24" s="87"/>
      <c r="I24" s="87"/>
      <c r="J24" s="87"/>
      <c r="K24" s="87"/>
      <c r="L24" s="87"/>
      <c r="M24" s="87"/>
      <c r="N24" s="87"/>
      <c r="O24" s="87"/>
      <c r="P24" s="87"/>
      <c r="Q24" s="87"/>
      <c r="R24" s="87"/>
      <c r="S24" s="87"/>
      <c r="T24" s="87"/>
      <c r="U24" s="87"/>
      <c r="V24" s="87"/>
    </row>
    <row r="25" spans="1:23" ht="19.5" customHeight="1" x14ac:dyDescent="0.25">
      <c r="A25" s="505" t="s">
        <v>385</v>
      </c>
      <c r="G25" s="912" t="s">
        <v>621</v>
      </c>
      <c r="H25" s="596"/>
      <c r="I25" s="596"/>
      <c r="J25" s="596"/>
      <c r="K25" s="596"/>
      <c r="L25" s="596"/>
      <c r="M25" s="596"/>
      <c r="N25" s="596"/>
      <c r="O25" s="596"/>
      <c r="P25" s="596"/>
      <c r="Q25" s="596"/>
      <c r="R25" s="596"/>
      <c r="S25" s="596"/>
      <c r="T25" s="596"/>
      <c r="U25" s="596"/>
      <c r="V25" s="596"/>
      <c r="W25" s="596"/>
    </row>
    <row r="26" spans="1:23" ht="19.5" customHeight="1" x14ac:dyDescent="0.25">
      <c r="G26" s="763" t="s">
        <v>622</v>
      </c>
      <c r="H26" s="596"/>
      <c r="I26" s="596"/>
      <c r="J26" s="596"/>
      <c r="K26" s="596"/>
      <c r="L26" s="596"/>
      <c r="M26" s="596"/>
      <c r="N26" s="596"/>
      <c r="O26" s="596"/>
      <c r="P26" s="596"/>
      <c r="Q26" s="596"/>
      <c r="R26" s="596"/>
      <c r="S26" s="596"/>
      <c r="T26" s="596"/>
      <c r="U26" s="596"/>
      <c r="V26" s="596"/>
    </row>
    <row r="27" spans="1:23" ht="19.5" customHeight="1" x14ac:dyDescent="0.25">
      <c r="A27" s="505" t="s">
        <v>386</v>
      </c>
      <c r="G27" s="87" t="s">
        <v>623</v>
      </c>
      <c r="H27" s="477"/>
      <c r="I27" s="87"/>
      <c r="J27" s="87"/>
      <c r="K27" s="87"/>
      <c r="L27" s="87"/>
      <c r="M27" s="87"/>
      <c r="N27" s="87"/>
      <c r="O27" s="87"/>
      <c r="P27" s="87"/>
      <c r="Q27" s="87"/>
      <c r="R27" s="87"/>
      <c r="S27" s="87"/>
      <c r="T27" s="87"/>
      <c r="U27" s="87"/>
      <c r="V27" s="87"/>
    </row>
  </sheetData>
  <mergeCells count="10">
    <mergeCell ref="A3:W3"/>
    <mergeCell ref="G26:V26"/>
    <mergeCell ref="D1:W1"/>
    <mergeCell ref="G25:W25"/>
    <mergeCell ref="I11:L11"/>
    <mergeCell ref="G23:W23"/>
    <mergeCell ref="G22:W22"/>
    <mergeCell ref="M17:W17"/>
    <mergeCell ref="A18:W18"/>
    <mergeCell ref="A17:J17"/>
  </mergeCells>
  <phoneticPr fontId="1" type="noConversion"/>
  <printOptions horizontalCentered="1"/>
  <pageMargins left="0.98425196850393704" right="0.98425196850393704" top="1.2204724409448819" bottom="1.181102362204725" header="0.51181102362204722" footer="0.51181102362204722"/>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工作表41">
    <tabColor theme="9"/>
  </sheetPr>
  <dimension ref="A1:V14"/>
  <sheetViews>
    <sheetView view="pageLayout" topLeftCell="A3" zoomScale="85" zoomScaleNormal="100" zoomScalePageLayoutView="85" workbookViewId="0">
      <selection activeCell="A8" sqref="A8"/>
    </sheetView>
  </sheetViews>
  <sheetFormatPr defaultColWidth="9" defaultRowHeight="16.5" x14ac:dyDescent="0.25"/>
  <cols>
    <col min="1" max="1" width="6" style="545" customWidth="1"/>
    <col min="2" max="3" width="4.875" style="545" customWidth="1"/>
    <col min="4" max="4" width="7.875" style="545" customWidth="1"/>
    <col min="5" max="5" width="10.25" style="545" customWidth="1"/>
    <col min="6" max="6" width="10.875" style="545" customWidth="1"/>
    <col min="7" max="7" width="5.5" style="545" customWidth="1"/>
    <col min="8" max="8" width="14.25" style="545" customWidth="1"/>
    <col min="9" max="9" width="4.875" style="545" hidden="1" customWidth="1"/>
    <col min="10" max="10" width="7.5" style="545" hidden="1" customWidth="1"/>
    <col min="11" max="11" width="20.125" style="545" customWidth="1"/>
    <col min="12" max="12" width="6" style="545" customWidth="1"/>
    <col min="13" max="14" width="4.875" style="545" customWidth="1"/>
    <col min="15" max="15" width="8.375" style="545" customWidth="1"/>
    <col min="16" max="16" width="10.25" style="545" customWidth="1"/>
    <col min="17" max="17" width="10.5" style="545" customWidth="1"/>
    <col min="18" max="18" width="5.5" style="545" customWidth="1"/>
    <col min="19" max="19" width="18.125" style="545" customWidth="1"/>
    <col min="20" max="20" width="3" style="545" customWidth="1"/>
    <col min="21" max="21" width="8.375" style="545" customWidth="1"/>
    <col min="22" max="22" width="8.75" style="545" customWidth="1"/>
  </cols>
  <sheetData>
    <row r="1" spans="1:22" ht="50.25" customHeight="1" thickBot="1" x14ac:dyDescent="0.3">
      <c r="A1" s="856" t="str">
        <f>CONCATENATE(輸入!$S$18,輸入!$T$18,輸入!$S$19,輸入!$T$19,輸入!$S$20,輸入!$T$20,"毒品案件蒐證照片")</f>
        <v>臺北市政府警察局信義分局吳興街派出所毒品案件蒐證照片</v>
      </c>
      <c r="B1" s="846"/>
      <c r="C1" s="846"/>
      <c r="D1" s="846"/>
      <c r="E1" s="846"/>
      <c r="F1" s="846"/>
      <c r="G1" s="846"/>
      <c r="H1" s="846"/>
      <c r="I1" s="846"/>
      <c r="J1" s="846"/>
      <c r="K1" s="846"/>
      <c r="L1" s="856" t="str">
        <f>CONCATENATE(輸入!$S$18,輸入!$T$18,輸入!$S$19,輸入!$T$19,輸入!$S$20,輸入!$T$20,"毒品案件蒐證照片")</f>
        <v>臺北市政府警察局信義分局吳興街派出所毒品案件蒐證照片</v>
      </c>
      <c r="M1" s="846"/>
      <c r="N1" s="846"/>
      <c r="O1" s="846"/>
      <c r="P1" s="846"/>
      <c r="Q1" s="846"/>
      <c r="R1" s="846"/>
      <c r="S1" s="846"/>
      <c r="T1" s="846"/>
      <c r="U1" s="846"/>
      <c r="V1" s="846"/>
    </row>
    <row r="2" spans="1:22" ht="326.10000000000002" customHeight="1" thickTop="1" thickBot="1" x14ac:dyDescent="0.3">
      <c r="A2" s="921"/>
      <c r="B2" s="918"/>
      <c r="C2" s="918"/>
      <c r="D2" s="918"/>
      <c r="E2" s="918"/>
      <c r="F2" s="918"/>
      <c r="G2" s="918"/>
      <c r="H2" s="918"/>
      <c r="I2" s="918"/>
      <c r="J2" s="918"/>
      <c r="K2" s="919"/>
      <c r="L2" s="921"/>
      <c r="M2" s="918"/>
      <c r="N2" s="918"/>
      <c r="O2" s="918"/>
      <c r="P2" s="918"/>
      <c r="Q2" s="918"/>
      <c r="R2" s="918"/>
      <c r="S2" s="918"/>
      <c r="T2" s="918"/>
      <c r="U2" s="918"/>
      <c r="V2" s="919"/>
    </row>
    <row r="3" spans="1:22" ht="19.7" customHeight="1" thickTop="1" thickBot="1" x14ac:dyDescent="0.3">
      <c r="A3" s="915" t="str">
        <f>CONCATENATE("說明：犯罪嫌疑人",word用!$H$2,"(",word用!$I$2,")。")</f>
        <v>說明：犯罪嫌疑人顏文祥(A126819564)。</v>
      </c>
      <c r="B3" s="826"/>
      <c r="C3" s="826"/>
      <c r="D3" s="826"/>
      <c r="E3" s="826"/>
      <c r="F3" s="826"/>
      <c r="G3" s="826"/>
      <c r="H3" s="826"/>
      <c r="I3" s="826"/>
      <c r="J3" s="826"/>
      <c r="K3" s="827"/>
      <c r="L3" s="915" t="s">
        <v>624</v>
      </c>
      <c r="M3" s="826"/>
      <c r="N3" s="826"/>
      <c r="O3" s="826"/>
      <c r="P3" s="826"/>
      <c r="Q3" s="826"/>
      <c r="R3" s="826"/>
      <c r="S3" s="826"/>
      <c r="T3" s="826"/>
      <c r="U3" s="826"/>
      <c r="V3" s="827"/>
    </row>
    <row r="4" spans="1:22" ht="19.7" customHeight="1" thickTop="1" thickBot="1" x14ac:dyDescent="0.3">
      <c r="A4" s="916"/>
      <c r="B4" s="846"/>
      <c r="C4" s="846"/>
      <c r="D4" s="846"/>
      <c r="E4" s="846"/>
      <c r="F4" s="846"/>
      <c r="G4" s="846"/>
      <c r="H4" s="846"/>
      <c r="I4" s="846"/>
      <c r="J4" s="846"/>
      <c r="K4" s="847"/>
      <c r="L4" s="916"/>
      <c r="M4" s="846"/>
      <c r="N4" s="846"/>
      <c r="O4" s="846"/>
      <c r="P4" s="846"/>
      <c r="Q4" s="846"/>
      <c r="R4" s="846"/>
      <c r="S4" s="846"/>
      <c r="T4" s="846"/>
      <c r="U4" s="846"/>
      <c r="V4" s="847"/>
    </row>
    <row r="5" spans="1:22" ht="326.10000000000002" customHeight="1" thickTop="1" thickBot="1" x14ac:dyDescent="0.3">
      <c r="A5" s="917"/>
      <c r="B5" s="918"/>
      <c r="C5" s="918"/>
      <c r="D5" s="918"/>
      <c r="E5" s="918"/>
      <c r="F5" s="918"/>
      <c r="G5" s="918"/>
      <c r="H5" s="918"/>
      <c r="I5" s="918"/>
      <c r="J5" s="918"/>
      <c r="K5" s="919"/>
      <c r="L5" s="920"/>
      <c r="M5" s="681"/>
      <c r="N5" s="681"/>
      <c r="O5" s="681"/>
      <c r="P5" s="681"/>
      <c r="Q5" s="681"/>
      <c r="R5" s="681"/>
      <c r="S5" s="681"/>
      <c r="T5" s="681"/>
      <c r="U5" s="681"/>
      <c r="V5" s="681"/>
    </row>
    <row r="6" spans="1:22" ht="19.7" customHeight="1" thickTop="1" thickBot="1" x14ac:dyDescent="0.3">
      <c r="A6" s="915" t="s">
        <v>625</v>
      </c>
      <c r="B6" s="826"/>
      <c r="C6" s="826"/>
      <c r="D6" s="826"/>
      <c r="E6" s="826"/>
      <c r="F6" s="826"/>
      <c r="G6" s="826"/>
      <c r="H6" s="826"/>
      <c r="I6" s="826"/>
      <c r="J6" s="826"/>
      <c r="K6" s="827"/>
      <c r="L6" s="681"/>
      <c r="M6" s="681"/>
      <c r="N6" s="681"/>
      <c r="O6" s="681"/>
      <c r="P6" s="681"/>
      <c r="Q6" s="681"/>
      <c r="R6" s="681"/>
      <c r="S6" s="681"/>
      <c r="T6" s="681"/>
      <c r="U6" s="681"/>
      <c r="V6" s="681"/>
    </row>
    <row r="7" spans="1:22" ht="19.5" customHeight="1" thickTop="1" thickBot="1" x14ac:dyDescent="0.3">
      <c r="A7" s="916"/>
      <c r="B7" s="846"/>
      <c r="C7" s="846"/>
      <c r="D7" s="846"/>
      <c r="E7" s="846"/>
      <c r="F7" s="846"/>
      <c r="G7" s="846"/>
      <c r="H7" s="846"/>
      <c r="I7" s="846"/>
      <c r="J7" s="846"/>
      <c r="K7" s="847"/>
      <c r="L7" s="709"/>
      <c r="M7" s="681"/>
      <c r="N7" s="681"/>
      <c r="O7" s="681"/>
      <c r="P7" s="681"/>
      <c r="Q7" s="681"/>
      <c r="R7" s="681"/>
      <c r="S7" s="681"/>
      <c r="T7" s="681"/>
      <c r="U7" s="681"/>
      <c r="V7" s="681"/>
    </row>
    <row r="8" spans="1:22" ht="17.25" customHeight="1" thickTop="1" x14ac:dyDescent="0.25"/>
    <row r="14" spans="1:22" ht="16.5" customHeight="1" x14ac:dyDescent="0.25"/>
  </sheetData>
  <mergeCells count="10">
    <mergeCell ref="L7:V7"/>
    <mergeCell ref="L1:V1"/>
    <mergeCell ref="A6:K7"/>
    <mergeCell ref="A5:K5"/>
    <mergeCell ref="L5:V6"/>
    <mergeCell ref="L3:V4"/>
    <mergeCell ref="A3:K4"/>
    <mergeCell ref="L2:V2"/>
    <mergeCell ref="A2:K2"/>
    <mergeCell ref="A1:K1"/>
  </mergeCells>
  <phoneticPr fontId="1" type="noConversion"/>
  <printOptions horizontalCentered="1"/>
  <pageMargins left="0.78740157480314965" right="0.39370078740157483" top="0.59055118110236227" bottom="0.70866141732283472" header="0" footer="0.39370078740157483"/>
  <pageSetup paperSize="9" orientation="portrait" r:id="rId1"/>
  <headerFooter>
    <oddFooter>&amp;C第 &amp;P 頁，共 &amp;N 頁</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工作表43">
    <tabColor theme="9"/>
  </sheetPr>
  <dimension ref="A1:AG24"/>
  <sheetViews>
    <sheetView showGridLines="0" view="pageBreakPreview" topLeftCell="A7" zoomScaleNormal="327" zoomScaleSheetLayoutView="100" zoomScalePageLayoutView="85" workbookViewId="0">
      <selection activeCell="A2" sqref="A2:AG2"/>
    </sheetView>
  </sheetViews>
  <sheetFormatPr defaultRowHeight="16.5" x14ac:dyDescent="0.25"/>
  <cols>
    <col min="1" max="33" width="2.625" style="545" customWidth="1"/>
  </cols>
  <sheetData>
    <row r="1" spans="1:33" ht="30" customHeight="1" x14ac:dyDescent="0.25">
      <c r="A1" s="923" t="s">
        <v>626</v>
      </c>
      <c r="B1" s="681"/>
      <c r="C1" s="681"/>
      <c r="D1" s="681"/>
      <c r="E1" s="681"/>
      <c r="F1" s="681"/>
      <c r="G1" s="681"/>
      <c r="H1" s="681"/>
      <c r="I1" s="681"/>
      <c r="J1" s="681"/>
      <c r="K1" s="681"/>
      <c r="L1" s="681"/>
      <c r="M1" s="681"/>
      <c r="N1" s="681"/>
      <c r="O1" s="681"/>
      <c r="P1" s="681"/>
      <c r="Q1" s="681"/>
      <c r="R1" s="681"/>
      <c r="S1" s="681"/>
      <c r="T1" s="681"/>
      <c r="U1" s="681"/>
      <c r="V1" s="681"/>
      <c r="W1" s="681"/>
      <c r="X1" s="681"/>
      <c r="Y1" s="681"/>
      <c r="Z1" s="681"/>
      <c r="AA1" s="681"/>
      <c r="AB1" s="681"/>
      <c r="AC1" s="681"/>
      <c r="AD1" s="681"/>
      <c r="AE1" s="681"/>
      <c r="AF1" s="681"/>
      <c r="AG1" s="681"/>
    </row>
    <row r="2" spans="1:33" ht="19.5" customHeight="1" x14ac:dyDescent="0.25">
      <c r="A2" s="924" t="s">
        <v>627</v>
      </c>
      <c r="B2" s="681"/>
      <c r="C2" s="681"/>
      <c r="D2" s="681"/>
      <c r="E2" s="681"/>
      <c r="F2" s="681"/>
      <c r="G2" s="681"/>
      <c r="H2" s="681"/>
      <c r="I2" s="681"/>
      <c r="J2" s="681"/>
      <c r="K2" s="681"/>
      <c r="L2" s="681"/>
      <c r="M2" s="681"/>
      <c r="N2" s="681"/>
      <c r="O2" s="681"/>
      <c r="P2" s="681"/>
      <c r="Q2" s="681"/>
      <c r="R2" s="681"/>
      <c r="S2" s="681"/>
      <c r="T2" s="681"/>
      <c r="U2" s="681"/>
      <c r="V2" s="681"/>
      <c r="W2" s="681"/>
      <c r="X2" s="681"/>
      <c r="Y2" s="681"/>
      <c r="Z2" s="681"/>
      <c r="AA2" s="681"/>
      <c r="AB2" s="681"/>
      <c r="AC2" s="681"/>
      <c r="AD2" s="681"/>
      <c r="AE2" s="681"/>
      <c r="AF2" s="681"/>
      <c r="AG2" s="681"/>
    </row>
    <row r="3" spans="1:33" ht="19.5" customHeight="1" x14ac:dyDescent="0.25">
      <c r="A3" s="924" t="s">
        <v>628</v>
      </c>
      <c r="B3" s="681"/>
      <c r="C3" s="681"/>
      <c r="D3" s="681"/>
      <c r="E3" s="681"/>
      <c r="F3" s="681"/>
      <c r="G3" s="681"/>
      <c r="H3" s="681"/>
      <c r="I3" s="681"/>
      <c r="J3" s="681"/>
      <c r="K3" s="681"/>
      <c r="L3" s="681"/>
      <c r="M3" s="681"/>
      <c r="N3" s="681"/>
      <c r="O3" s="681"/>
      <c r="P3" s="681"/>
      <c r="Q3" s="681"/>
      <c r="R3" s="681"/>
      <c r="S3" s="681"/>
      <c r="T3" s="681"/>
      <c r="U3" s="681"/>
      <c r="V3" s="681"/>
      <c r="W3" s="681"/>
      <c r="X3" s="681"/>
      <c r="Y3" s="681"/>
      <c r="Z3" s="681"/>
      <c r="AA3" s="681"/>
      <c r="AB3" s="681"/>
      <c r="AC3" s="681"/>
      <c r="AD3" s="681"/>
      <c r="AE3" s="681"/>
      <c r="AF3" s="681"/>
      <c r="AG3" s="681"/>
    </row>
    <row r="4" spans="1:33" ht="33.75" customHeight="1" x14ac:dyDescent="0.25">
      <c r="A4" s="759" t="s">
        <v>629</v>
      </c>
      <c r="B4" s="681"/>
      <c r="C4" s="681"/>
      <c r="D4" s="681"/>
      <c r="E4" s="681"/>
      <c r="F4" s="681"/>
      <c r="G4" s="681"/>
      <c r="H4" s="681"/>
      <c r="I4" s="681"/>
      <c r="J4" s="681"/>
      <c r="K4" s="681"/>
      <c r="L4" s="681"/>
      <c r="M4" s="681"/>
      <c r="N4" s="681"/>
      <c r="O4" s="681"/>
      <c r="P4" s="681"/>
      <c r="Q4" s="681"/>
      <c r="R4" s="681"/>
      <c r="S4" s="681"/>
      <c r="T4" s="681"/>
      <c r="U4" s="681"/>
      <c r="V4" s="681"/>
      <c r="W4" s="681"/>
      <c r="X4" s="681"/>
      <c r="Y4" s="681"/>
      <c r="Z4" s="681"/>
      <c r="AA4" s="681"/>
      <c r="AB4" s="681"/>
      <c r="AC4" s="681"/>
      <c r="AD4" s="681"/>
      <c r="AE4" s="681"/>
      <c r="AF4" s="681"/>
      <c r="AG4" s="681"/>
    </row>
    <row r="5" spans="1:33" ht="33.75" customHeight="1" x14ac:dyDescent="0.25">
      <c r="A5" s="759" t="s">
        <v>630</v>
      </c>
      <c r="B5" s="681"/>
      <c r="C5" s="681"/>
      <c r="D5" s="681"/>
      <c r="E5" s="681"/>
      <c r="F5" s="681"/>
      <c r="G5" s="681"/>
      <c r="H5" s="681"/>
      <c r="I5" s="681"/>
      <c r="J5" s="681"/>
      <c r="K5" s="681"/>
      <c r="L5" s="681"/>
      <c r="M5" s="681"/>
      <c r="N5" s="681"/>
      <c r="O5" s="681"/>
      <c r="P5" s="681"/>
      <c r="Q5" s="681"/>
      <c r="R5" s="681"/>
      <c r="S5" s="681"/>
      <c r="T5" s="681"/>
      <c r="U5" s="681"/>
      <c r="V5" s="681"/>
      <c r="W5" s="681"/>
      <c r="X5" s="681"/>
      <c r="Y5" s="681"/>
      <c r="Z5" s="681"/>
      <c r="AA5" s="681"/>
      <c r="AB5" s="681"/>
      <c r="AC5" s="681"/>
      <c r="AD5" s="681"/>
      <c r="AE5" s="681"/>
      <c r="AF5" s="681"/>
      <c r="AG5" s="681"/>
    </row>
    <row r="6" spans="1:33" ht="33.75" customHeight="1" x14ac:dyDescent="0.25">
      <c r="A6" s="759" t="s">
        <v>631</v>
      </c>
      <c r="B6" s="681"/>
      <c r="C6" s="681"/>
      <c r="D6" s="681"/>
      <c r="E6" s="681"/>
      <c r="F6" s="681"/>
      <c r="G6" s="681"/>
      <c r="H6" s="681"/>
      <c r="I6" s="681"/>
      <c r="J6" s="681"/>
      <c r="K6" s="681"/>
      <c r="L6" s="681"/>
      <c r="M6" s="681"/>
      <c r="N6" s="681"/>
      <c r="O6" s="681"/>
      <c r="P6" s="681"/>
      <c r="Q6" s="681"/>
      <c r="R6" s="681"/>
      <c r="S6" s="681"/>
      <c r="T6" s="681"/>
      <c r="U6" s="681"/>
      <c r="V6" s="681"/>
      <c r="W6" s="681"/>
      <c r="X6" s="681"/>
      <c r="Y6" s="681"/>
      <c r="Z6" s="681"/>
      <c r="AA6" s="681"/>
      <c r="AB6" s="681"/>
      <c r="AC6" s="681"/>
      <c r="AD6" s="681"/>
      <c r="AE6" s="681"/>
      <c r="AF6" s="681"/>
      <c r="AG6" s="681"/>
    </row>
    <row r="7" spans="1:33" ht="33.75" customHeight="1" x14ac:dyDescent="0.25">
      <c r="A7" s="759" t="s">
        <v>632</v>
      </c>
      <c r="B7" s="681"/>
      <c r="C7" s="681"/>
      <c r="D7" s="681"/>
      <c r="E7" s="681"/>
      <c r="F7" s="681"/>
      <c r="G7" s="681"/>
      <c r="H7" s="681"/>
      <c r="I7" s="681"/>
      <c r="J7" s="681"/>
      <c r="K7" s="681"/>
      <c r="L7" s="681"/>
      <c r="M7" s="681"/>
      <c r="N7" s="681"/>
      <c r="O7" s="681"/>
      <c r="P7" s="681"/>
      <c r="Q7" s="681"/>
      <c r="R7" s="681"/>
      <c r="S7" s="681"/>
      <c r="T7" s="681"/>
      <c r="U7" s="681"/>
      <c r="V7" s="681"/>
      <c r="W7" s="681"/>
      <c r="X7" s="681"/>
      <c r="Y7" s="681"/>
      <c r="Z7" s="681"/>
      <c r="AA7" s="681"/>
      <c r="AB7" s="681"/>
      <c r="AC7" s="681"/>
      <c r="AD7" s="681"/>
      <c r="AE7" s="681"/>
      <c r="AF7" s="681"/>
      <c r="AG7" s="681"/>
    </row>
    <row r="8" spans="1:33" ht="33.75" customHeight="1" x14ac:dyDescent="0.25">
      <c r="A8" s="759" t="s">
        <v>633</v>
      </c>
      <c r="B8" s="681"/>
      <c r="C8" s="681"/>
      <c r="D8" s="681"/>
      <c r="E8" s="681"/>
      <c r="F8" s="681"/>
      <c r="G8" s="681"/>
      <c r="H8" s="681"/>
      <c r="I8" s="681"/>
      <c r="J8" s="681"/>
      <c r="K8" s="681"/>
      <c r="L8" s="681"/>
      <c r="M8" s="681"/>
      <c r="N8" s="681"/>
      <c r="O8" s="681"/>
      <c r="P8" s="681"/>
      <c r="Q8" s="681"/>
      <c r="R8" s="681"/>
      <c r="S8" s="681"/>
      <c r="T8" s="681"/>
      <c r="U8" s="681"/>
      <c r="V8" s="681"/>
      <c r="W8" s="681"/>
      <c r="X8" s="681"/>
      <c r="Y8" s="681"/>
      <c r="Z8" s="681"/>
      <c r="AA8" s="681"/>
      <c r="AB8" s="681"/>
      <c r="AC8" s="681"/>
      <c r="AD8" s="681"/>
      <c r="AE8" s="681"/>
      <c r="AF8" s="681"/>
      <c r="AG8" s="681"/>
    </row>
    <row r="9" spans="1:33" ht="33.75" customHeight="1" x14ac:dyDescent="0.25">
      <c r="A9" s="759" t="s">
        <v>634</v>
      </c>
      <c r="B9" s="681"/>
      <c r="C9" s="681"/>
      <c r="D9" s="681"/>
      <c r="E9" s="681"/>
      <c r="F9" s="681"/>
      <c r="G9" s="681"/>
      <c r="H9" s="681"/>
      <c r="I9" s="681"/>
      <c r="J9" s="681"/>
      <c r="K9" s="681"/>
      <c r="L9" s="681"/>
      <c r="M9" s="681"/>
      <c r="N9" s="681"/>
      <c r="O9" s="681"/>
      <c r="P9" s="681"/>
      <c r="Q9" s="681"/>
      <c r="R9" s="681"/>
      <c r="S9" s="681"/>
      <c r="T9" s="681"/>
      <c r="U9" s="681"/>
      <c r="V9" s="681"/>
      <c r="W9" s="681"/>
      <c r="X9" s="681"/>
      <c r="Y9" s="681"/>
      <c r="Z9" s="681"/>
      <c r="AA9" s="681"/>
      <c r="AB9" s="681"/>
      <c r="AC9" s="681"/>
      <c r="AD9" s="681"/>
      <c r="AE9" s="681"/>
      <c r="AF9" s="681"/>
      <c r="AG9" s="681"/>
    </row>
    <row r="10" spans="1:33" ht="33.75" customHeight="1" x14ac:dyDescent="0.25">
      <c r="A10" s="759" t="s">
        <v>635</v>
      </c>
      <c r="B10" s="681"/>
      <c r="C10" s="681"/>
      <c r="D10" s="681"/>
      <c r="E10" s="681"/>
      <c r="F10" s="681"/>
      <c r="G10" s="681"/>
      <c r="H10" s="681"/>
      <c r="I10" s="681"/>
      <c r="J10" s="681"/>
      <c r="K10" s="681"/>
      <c r="L10" s="681"/>
      <c r="M10" s="681"/>
      <c r="N10" s="681"/>
      <c r="O10" s="681"/>
      <c r="P10" s="681"/>
      <c r="Q10" s="681"/>
      <c r="R10" s="681"/>
      <c r="S10" s="681"/>
      <c r="T10" s="681"/>
      <c r="U10" s="681"/>
      <c r="V10" s="681"/>
      <c r="W10" s="681"/>
      <c r="X10" s="681"/>
      <c r="Y10" s="681"/>
      <c r="Z10" s="681"/>
      <c r="AA10" s="681"/>
      <c r="AB10" s="681"/>
      <c r="AC10" s="681"/>
      <c r="AD10" s="681"/>
      <c r="AE10" s="681"/>
      <c r="AF10" s="681"/>
      <c r="AG10" s="681"/>
    </row>
    <row r="11" spans="1:33" ht="33.75" customHeight="1" x14ac:dyDescent="0.25">
      <c r="A11" s="759" t="s">
        <v>636</v>
      </c>
      <c r="B11" s="681"/>
      <c r="C11" s="681"/>
      <c r="D11" s="681"/>
      <c r="E11" s="681"/>
      <c r="F11" s="681"/>
      <c r="G11" s="681"/>
      <c r="H11" s="681"/>
      <c r="I11" s="681"/>
      <c r="J11" s="681"/>
      <c r="K11" s="681"/>
      <c r="L11" s="681"/>
      <c r="M11" s="681"/>
      <c r="N11" s="681"/>
      <c r="O11" s="681"/>
      <c r="P11" s="681"/>
      <c r="Q11" s="681"/>
      <c r="R11" s="681"/>
      <c r="S11" s="681"/>
      <c r="T11" s="681"/>
      <c r="U11" s="681"/>
      <c r="V11" s="681"/>
      <c r="W11" s="681"/>
      <c r="X11" s="681"/>
      <c r="Y11" s="681"/>
      <c r="Z11" s="681"/>
      <c r="AA11" s="681"/>
      <c r="AB11" s="681"/>
      <c r="AC11" s="681"/>
      <c r="AD11" s="681"/>
      <c r="AE11" s="681"/>
      <c r="AF11" s="681"/>
      <c r="AG11" s="681"/>
    </row>
    <row r="12" spans="1:33" ht="33.75" customHeight="1" x14ac:dyDescent="0.25">
      <c r="A12" s="759" t="s">
        <v>637</v>
      </c>
      <c r="B12" s="681"/>
      <c r="C12" s="681"/>
      <c r="D12" s="681"/>
      <c r="E12" s="681"/>
      <c r="F12" s="681"/>
      <c r="G12" s="681"/>
      <c r="H12" s="681"/>
      <c r="I12" s="681"/>
      <c r="J12" s="681"/>
      <c r="K12" s="681"/>
      <c r="L12" s="681"/>
      <c r="M12" s="681"/>
      <c r="N12" s="681"/>
      <c r="O12" s="681"/>
      <c r="P12" s="681"/>
      <c r="Q12" s="681"/>
      <c r="R12" s="681"/>
      <c r="S12" s="681"/>
      <c r="T12" s="681"/>
      <c r="U12" s="681"/>
      <c r="V12" s="681"/>
      <c r="W12" s="681"/>
      <c r="X12" s="681"/>
      <c r="Y12" s="681"/>
      <c r="Z12" s="681"/>
      <c r="AA12" s="681"/>
      <c r="AB12" s="681"/>
      <c r="AC12" s="681"/>
      <c r="AD12" s="681"/>
      <c r="AE12" s="681"/>
      <c r="AF12" s="681"/>
      <c r="AG12" s="681"/>
    </row>
    <row r="13" spans="1:33" ht="33.75" customHeight="1" x14ac:dyDescent="0.25">
      <c r="A13" s="759" t="str">
        <f>CONCATENATE(" ",IF(輸入!AQ29="愷他命","V 毋須處方簽(非FM2、一粒眠、佐沛眠等管制藥品)","□毋須處方簽(非FM2、一粒眠、佐沛眠等管制藥品"))</f>
        <v xml:space="preserve"> □毋須處方簽(非FM2、一粒眠、佐沛眠等管制藥品</v>
      </c>
      <c r="B13" s="681"/>
      <c r="C13" s="681"/>
      <c r="D13" s="681"/>
      <c r="E13" s="681"/>
      <c r="F13" s="681"/>
      <c r="G13" s="681"/>
      <c r="H13" s="681"/>
      <c r="I13" s="681"/>
      <c r="J13" s="681"/>
      <c r="K13" s="681"/>
      <c r="L13" s="681"/>
      <c r="M13" s="681"/>
      <c r="N13" s="681"/>
      <c r="O13" s="681"/>
      <c r="P13" s="681"/>
      <c r="Q13" s="681"/>
      <c r="R13" s="681"/>
      <c r="S13" s="681"/>
      <c r="T13" s="681"/>
      <c r="U13" s="681"/>
      <c r="V13" s="681"/>
      <c r="W13" s="681"/>
      <c r="X13" s="681"/>
      <c r="Y13" s="681"/>
      <c r="Z13" s="681"/>
      <c r="AA13" s="681"/>
      <c r="AB13" s="681"/>
      <c r="AC13" s="681"/>
      <c r="AD13" s="681"/>
      <c r="AE13" s="681"/>
      <c r="AF13" s="681"/>
      <c r="AG13" s="681"/>
    </row>
    <row r="14" spans="1:33" ht="33.75" customHeight="1" x14ac:dyDescent="0.25">
      <c r="A14" s="759" t="str">
        <f>CONCATENATE(" ",IF(輸入!AQ29="愷他命","□無處方簽","□無處方簽"))</f>
        <v xml:space="preserve"> □無處方簽</v>
      </c>
      <c r="B14" s="681"/>
      <c r="C14" s="681"/>
      <c r="D14" s="681"/>
      <c r="E14" s="681"/>
      <c r="F14" s="681"/>
      <c r="G14" s="681"/>
      <c r="H14" s="681"/>
      <c r="I14" s="681"/>
      <c r="J14" s="681"/>
      <c r="K14" s="681"/>
      <c r="L14" s="681"/>
      <c r="M14" s="681"/>
      <c r="N14" s="681"/>
      <c r="O14" s="681"/>
      <c r="P14" s="681"/>
      <c r="Q14" s="681"/>
      <c r="R14" s="681"/>
      <c r="S14" s="681"/>
      <c r="T14" s="681"/>
      <c r="U14" s="681"/>
      <c r="V14" s="681"/>
      <c r="W14" s="681"/>
      <c r="X14" s="681"/>
      <c r="Y14" s="681"/>
      <c r="Z14" s="681"/>
      <c r="AA14" s="681"/>
      <c r="AB14" s="681"/>
      <c r="AC14" s="681"/>
      <c r="AD14" s="681"/>
      <c r="AE14" s="681"/>
      <c r="AF14" s="681"/>
      <c r="AG14" s="681"/>
    </row>
    <row r="15" spans="1:33" ht="33.75" customHeight="1" x14ac:dyDescent="0.25">
      <c r="A15" s="759" t="s">
        <v>638</v>
      </c>
      <c r="B15" s="681"/>
      <c r="C15" s="681"/>
      <c r="D15" s="681"/>
      <c r="E15" s="681"/>
      <c r="F15" s="681"/>
      <c r="G15" s="681"/>
      <c r="H15" s="681"/>
      <c r="I15" s="681"/>
      <c r="J15" s="681"/>
      <c r="K15" s="681"/>
      <c r="L15" s="681"/>
      <c r="M15" s="681"/>
      <c r="N15" s="681"/>
      <c r="O15" s="681"/>
      <c r="P15" s="681"/>
      <c r="Q15" s="681"/>
      <c r="R15" s="681"/>
      <c r="S15" s="681"/>
      <c r="T15" s="681"/>
      <c r="U15" s="681"/>
      <c r="V15" s="681"/>
      <c r="W15" s="681"/>
      <c r="X15" s="681"/>
      <c r="Y15" s="681"/>
      <c r="Z15" s="681"/>
      <c r="AA15" s="681"/>
      <c r="AB15" s="681"/>
      <c r="AC15" s="681"/>
      <c r="AD15" s="681"/>
      <c r="AE15" s="681"/>
      <c r="AF15" s="681"/>
      <c r="AG15" s="681"/>
    </row>
    <row r="16" spans="1:33" ht="33.75" customHeight="1" x14ac:dyDescent="0.25">
      <c r="A16" s="759" t="s">
        <v>639</v>
      </c>
      <c r="B16" s="681"/>
      <c r="C16" s="681"/>
      <c r="D16" s="681"/>
      <c r="E16" s="681"/>
      <c r="F16" s="681"/>
      <c r="G16" s="681"/>
      <c r="H16" s="681"/>
      <c r="I16" s="681"/>
      <c r="J16" s="681"/>
      <c r="K16" s="681"/>
      <c r="L16" s="681"/>
      <c r="M16" s="681"/>
      <c r="N16" s="681"/>
      <c r="O16" s="681"/>
      <c r="P16" s="681"/>
      <c r="Q16" s="681"/>
      <c r="R16" s="681"/>
      <c r="S16" s="681"/>
      <c r="T16" s="681"/>
      <c r="U16" s="681"/>
      <c r="V16" s="681"/>
      <c r="W16" s="681"/>
      <c r="X16" s="681"/>
      <c r="Y16" s="681"/>
      <c r="Z16" s="681"/>
      <c r="AA16" s="681"/>
      <c r="AB16" s="681"/>
      <c r="AC16" s="681"/>
      <c r="AD16" s="681"/>
      <c r="AE16" s="681"/>
      <c r="AF16" s="681"/>
      <c r="AG16" s="681"/>
    </row>
    <row r="17" spans="1:33" ht="33.75" customHeight="1" x14ac:dyDescent="0.25">
      <c r="A17" s="759" t="s">
        <v>640</v>
      </c>
      <c r="B17" s="681"/>
      <c r="C17" s="681"/>
      <c r="D17" s="681"/>
      <c r="E17" s="681"/>
      <c r="F17" s="681"/>
      <c r="G17" s="681"/>
      <c r="H17" s="681"/>
      <c r="I17" s="681"/>
      <c r="J17" s="681"/>
      <c r="K17" s="681"/>
      <c r="L17" s="681"/>
      <c r="M17" s="681"/>
      <c r="N17" s="681"/>
      <c r="O17" s="681"/>
      <c r="P17" s="681"/>
      <c r="Q17" s="681"/>
      <c r="R17" s="681"/>
      <c r="S17" s="681"/>
      <c r="T17" s="681"/>
      <c r="U17" s="681"/>
      <c r="V17" s="681"/>
      <c r="W17" s="681"/>
      <c r="X17" s="681"/>
      <c r="Y17" s="681"/>
      <c r="Z17" s="681"/>
      <c r="AA17" s="681"/>
      <c r="AB17" s="681"/>
      <c r="AC17" s="681"/>
      <c r="AD17" s="681"/>
      <c r="AE17" s="681"/>
      <c r="AF17" s="681"/>
      <c r="AG17" s="681"/>
    </row>
    <row r="18" spans="1:33" ht="33.75" customHeight="1" x14ac:dyDescent="0.25">
      <c r="A18" s="759" t="s">
        <v>641</v>
      </c>
      <c r="B18" s="681"/>
      <c r="C18" s="681"/>
      <c r="D18" s="681"/>
      <c r="E18" s="681"/>
      <c r="F18" s="681"/>
      <c r="G18" s="681"/>
      <c r="H18" s="681"/>
      <c r="I18" s="681"/>
      <c r="J18" s="681"/>
      <c r="K18" s="681"/>
      <c r="L18" s="681"/>
      <c r="M18" s="681"/>
      <c r="N18" s="681"/>
      <c r="O18" s="681"/>
      <c r="P18" s="681"/>
      <c r="Q18" s="681"/>
      <c r="R18" s="681"/>
      <c r="S18" s="681"/>
      <c r="T18" s="681"/>
      <c r="U18" s="681"/>
      <c r="V18" s="681"/>
      <c r="W18" s="681"/>
      <c r="X18" s="681"/>
      <c r="Y18" s="681"/>
      <c r="Z18" s="681"/>
      <c r="AA18" s="681"/>
      <c r="AB18" s="681"/>
      <c r="AC18" s="681"/>
      <c r="AD18" s="681"/>
      <c r="AE18" s="681"/>
      <c r="AF18" s="681"/>
      <c r="AG18" s="681"/>
    </row>
    <row r="19" spans="1:33" ht="33.75" customHeight="1" x14ac:dyDescent="0.25">
      <c r="A19" s="759" t="s">
        <v>642</v>
      </c>
      <c r="B19" s="681"/>
      <c r="C19" s="681"/>
      <c r="D19" s="681"/>
      <c r="E19" s="681"/>
      <c r="F19" s="681"/>
      <c r="G19" s="681"/>
      <c r="H19" s="681"/>
      <c r="I19" s="681"/>
      <c r="J19" s="681"/>
      <c r="K19" s="681"/>
      <c r="L19" s="681"/>
      <c r="M19" s="681"/>
      <c r="N19" s="681"/>
      <c r="O19" s="681"/>
      <c r="P19" s="681"/>
      <c r="Q19" s="681"/>
      <c r="R19" s="681"/>
      <c r="S19" s="681"/>
      <c r="T19" s="681"/>
      <c r="U19" s="681"/>
      <c r="V19" s="681"/>
      <c r="W19" s="681"/>
      <c r="X19" s="681"/>
      <c r="Y19" s="681"/>
      <c r="Z19" s="681"/>
      <c r="AA19" s="681"/>
      <c r="AB19" s="681"/>
      <c r="AC19" s="681"/>
      <c r="AD19" s="681"/>
      <c r="AE19" s="681"/>
      <c r="AF19" s="681"/>
      <c r="AG19" s="681"/>
    </row>
    <row r="20" spans="1:33" ht="33.75" customHeight="1" x14ac:dyDescent="0.25">
      <c r="A20" s="759" t="s">
        <v>643</v>
      </c>
      <c r="B20" s="681"/>
      <c r="C20" s="681"/>
      <c r="D20" s="681"/>
      <c r="E20" s="681"/>
      <c r="F20" s="681"/>
      <c r="G20" s="681"/>
      <c r="H20" s="681"/>
      <c r="I20" s="681"/>
      <c r="J20" s="681"/>
      <c r="K20" s="681"/>
      <c r="L20" s="681"/>
      <c r="M20" s="681"/>
      <c r="N20" s="681"/>
      <c r="O20" s="681"/>
      <c r="P20" s="681"/>
      <c r="Q20" s="681"/>
      <c r="R20" s="681"/>
      <c r="S20" s="681"/>
      <c r="T20" s="681"/>
      <c r="U20" s="681"/>
      <c r="V20" s="681"/>
      <c r="W20" s="681"/>
      <c r="X20" s="681"/>
      <c r="Y20" s="681"/>
      <c r="Z20" s="681"/>
      <c r="AA20" s="681"/>
      <c r="AB20" s="681"/>
      <c r="AC20" s="681"/>
      <c r="AD20" s="681"/>
      <c r="AE20" s="681"/>
      <c r="AF20" s="681"/>
      <c r="AG20" s="681"/>
    </row>
    <row r="21" spans="1:33" ht="33.75" customHeight="1" x14ac:dyDescent="0.25">
      <c r="A21" s="759" t="s">
        <v>644</v>
      </c>
      <c r="B21" s="681"/>
      <c r="C21" s="681"/>
      <c r="D21" s="681"/>
      <c r="E21" s="681"/>
      <c r="F21" s="681"/>
      <c r="G21" s="681"/>
      <c r="H21" s="681"/>
      <c r="I21" s="681"/>
      <c r="J21" s="681"/>
      <c r="K21" s="681"/>
      <c r="L21" s="681"/>
      <c r="M21" s="681"/>
      <c r="N21" s="681"/>
      <c r="O21" s="681"/>
      <c r="P21" s="681"/>
      <c r="Q21" s="681"/>
      <c r="R21" s="681"/>
      <c r="S21" s="681"/>
      <c r="T21" s="681"/>
      <c r="U21" s="681"/>
      <c r="V21" s="681"/>
      <c r="W21" s="681"/>
      <c r="X21" s="681"/>
      <c r="Y21" s="681"/>
      <c r="Z21" s="681"/>
      <c r="AA21" s="681"/>
      <c r="AB21" s="681"/>
      <c r="AC21" s="681"/>
      <c r="AD21" s="681"/>
      <c r="AE21" s="681"/>
      <c r="AF21" s="681"/>
      <c r="AG21" s="681"/>
    </row>
    <row r="22" spans="1:33" ht="33.75" customHeight="1" x14ac:dyDescent="0.25">
      <c r="A22" s="759" t="s">
        <v>645</v>
      </c>
      <c r="B22" s="681"/>
      <c r="C22" s="681"/>
      <c r="D22" s="681"/>
      <c r="E22" s="681"/>
      <c r="F22" s="681"/>
      <c r="G22" s="681"/>
      <c r="H22" s="681"/>
      <c r="I22" s="681"/>
      <c r="J22" s="681"/>
      <c r="K22" s="681"/>
      <c r="L22" s="681"/>
      <c r="M22" s="681"/>
      <c r="N22" s="681"/>
      <c r="O22" s="681"/>
      <c r="P22" s="681"/>
      <c r="Q22" s="681"/>
      <c r="R22" s="681"/>
      <c r="S22" s="681"/>
      <c r="T22" s="681"/>
      <c r="U22" s="681"/>
      <c r="V22" s="681"/>
      <c r="W22" s="681"/>
      <c r="X22" s="681"/>
      <c r="Y22" s="681"/>
      <c r="Z22" s="681"/>
      <c r="AA22" s="681"/>
      <c r="AB22" s="681"/>
      <c r="AC22" s="681"/>
      <c r="AD22" s="681"/>
      <c r="AE22" s="681"/>
      <c r="AF22" s="681"/>
      <c r="AG22" s="681"/>
    </row>
    <row r="23" spans="1:33" ht="33.75" customHeight="1" x14ac:dyDescent="0.25">
      <c r="A23" s="922" t="s">
        <v>646</v>
      </c>
      <c r="B23" s="681"/>
      <c r="C23" s="681"/>
      <c r="D23" s="681"/>
      <c r="E23" s="681"/>
      <c r="F23" s="681"/>
      <c r="G23" s="681"/>
      <c r="H23" s="681"/>
      <c r="I23" s="681"/>
      <c r="J23" s="681"/>
      <c r="K23" s="681"/>
      <c r="L23" s="681"/>
      <c r="M23" s="681"/>
      <c r="N23" s="681"/>
      <c r="O23" s="681"/>
      <c r="P23" s="681"/>
      <c r="Q23" s="681"/>
      <c r="R23" s="681"/>
      <c r="S23" s="681"/>
      <c r="T23" s="922" t="s">
        <v>647</v>
      </c>
      <c r="U23" s="681"/>
      <c r="V23" s="681"/>
      <c r="W23" s="681"/>
      <c r="X23" s="681"/>
      <c r="Y23" s="681"/>
      <c r="Z23" s="681"/>
      <c r="AA23" s="681"/>
      <c r="AB23" s="681"/>
      <c r="AC23" s="681"/>
      <c r="AD23" s="681"/>
      <c r="AE23" s="681"/>
      <c r="AF23" s="681"/>
      <c r="AG23" s="681"/>
    </row>
    <row r="24" spans="1:33" ht="21" customHeight="1" x14ac:dyDescent="0.25">
      <c r="A24" s="88"/>
    </row>
  </sheetData>
  <mergeCells count="24">
    <mergeCell ref="A22:AG22"/>
    <mergeCell ref="A4:AG4"/>
    <mergeCell ref="T23:AG23"/>
    <mergeCell ref="A13:AG13"/>
    <mergeCell ref="A1:AG1"/>
    <mergeCell ref="A6:AG6"/>
    <mergeCell ref="A23:S23"/>
    <mergeCell ref="A16:AG16"/>
    <mergeCell ref="A7:AG7"/>
    <mergeCell ref="A18:AG18"/>
    <mergeCell ref="A3:AG3"/>
    <mergeCell ref="A21:AG21"/>
    <mergeCell ref="A12:AG12"/>
    <mergeCell ref="A2:AG2"/>
    <mergeCell ref="A5:AG5"/>
    <mergeCell ref="A14:AG14"/>
    <mergeCell ref="A20:AG20"/>
    <mergeCell ref="A19:AG19"/>
    <mergeCell ref="A10:AG10"/>
    <mergeCell ref="A17:AG17"/>
    <mergeCell ref="A8:AG8"/>
    <mergeCell ref="A9:AG9"/>
    <mergeCell ref="A15:AG15"/>
    <mergeCell ref="A11:AG11"/>
  </mergeCells>
  <phoneticPr fontId="1" type="noConversion"/>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工作表19">
    <tabColor rgb="FFFF0000"/>
  </sheetPr>
  <dimension ref="B1:AA50"/>
  <sheetViews>
    <sheetView showGridLines="0" showZeros="0" view="pageBreakPreview" topLeftCell="A5" zoomScale="85" zoomScaleNormal="75" zoomScaleSheetLayoutView="85" workbookViewId="0">
      <selection activeCell="AC14" sqref="AC14"/>
    </sheetView>
  </sheetViews>
  <sheetFormatPr defaultColWidth="3.125" defaultRowHeight="18.75" customHeight="1" x14ac:dyDescent="0.25"/>
  <cols>
    <col min="1" max="1" width="1.625" style="25" customWidth="1"/>
    <col min="2" max="6" width="3.375" style="25" customWidth="1"/>
    <col min="7" max="7" width="3.75" style="25" customWidth="1"/>
    <col min="8" max="8" width="3.375" style="25" customWidth="1"/>
    <col min="9" max="9" width="3.875" style="25" customWidth="1"/>
    <col min="10" max="13" width="3.375" style="25" customWidth="1"/>
    <col min="14" max="15" width="4.625" style="25" customWidth="1"/>
    <col min="16" max="27" width="3.375" style="25" customWidth="1"/>
    <col min="28" max="28" width="3.125" style="25" customWidth="1"/>
    <col min="29" max="16384" width="3.125" style="25"/>
  </cols>
  <sheetData>
    <row r="1" spans="2:27" ht="22.5" customHeight="1" x14ac:dyDescent="0.25">
      <c r="B1" s="26"/>
      <c r="C1" s="26"/>
      <c r="D1" s="26"/>
      <c r="E1" s="26"/>
      <c r="F1" s="26"/>
      <c r="G1" s="26"/>
      <c r="H1" s="26"/>
      <c r="I1" s="26"/>
      <c r="J1" s="26"/>
      <c r="K1" s="26"/>
      <c r="L1" s="26"/>
      <c r="M1" s="26"/>
      <c r="N1" s="26"/>
      <c r="O1" s="26"/>
      <c r="P1" s="26"/>
      <c r="Q1" s="26"/>
      <c r="R1" s="26"/>
      <c r="S1" s="26"/>
      <c r="T1" s="26"/>
      <c r="U1" s="26"/>
      <c r="V1" s="26"/>
      <c r="W1" s="26"/>
      <c r="X1" s="26"/>
      <c r="Y1" s="26"/>
      <c r="Z1" s="26"/>
      <c r="AA1" s="26"/>
    </row>
    <row r="2" spans="2:27" ht="34.5" customHeight="1" x14ac:dyDescent="0.25">
      <c r="B2" s="641" t="str">
        <f>CONCATENATE(,輸入!$S$18,輸入!$T$18,輸入!$S$19,輸入!$T$19,輸入!$S$20,輸入!$T$20,"陳報單")</f>
        <v>臺北市政府警察局信義分局吳興街派出所陳報單</v>
      </c>
      <c r="C2" s="623"/>
      <c r="D2" s="623"/>
      <c r="E2" s="623"/>
      <c r="F2" s="623"/>
      <c r="G2" s="623"/>
      <c r="H2" s="623"/>
      <c r="I2" s="623"/>
      <c r="J2" s="623"/>
      <c r="K2" s="623"/>
      <c r="L2" s="623"/>
      <c r="M2" s="623"/>
      <c r="N2" s="623"/>
      <c r="O2" s="623"/>
      <c r="P2" s="623"/>
      <c r="Q2" s="623"/>
      <c r="R2" s="623"/>
      <c r="S2" s="623"/>
      <c r="T2" s="623"/>
      <c r="U2" s="623"/>
      <c r="V2" s="623"/>
      <c r="W2" s="623"/>
      <c r="X2" s="623"/>
      <c r="Y2" s="623"/>
      <c r="Z2" s="623"/>
      <c r="AA2" s="623"/>
    </row>
    <row r="3" spans="2:27" ht="18.75" customHeight="1" x14ac:dyDescent="0.25">
      <c r="B3" s="29"/>
      <c r="C3" s="29" t="str">
        <f>IF(ISBLANK(輸入!$C$11),下拉用!$J$11,下拉用!$J$10)</f>
        <v>日期：中華民國 114年06月06日</v>
      </c>
      <c r="E3" s="40"/>
      <c r="F3" s="40"/>
      <c r="G3" s="40"/>
      <c r="H3" s="40"/>
      <c r="I3" s="41"/>
      <c r="J3" s="464"/>
      <c r="K3" s="464"/>
      <c r="L3" s="32"/>
      <c r="N3" s="31" t="s">
        <v>331</v>
      </c>
      <c r="O3" s="30"/>
      <c r="P3" s="26"/>
      <c r="Q3" s="26"/>
      <c r="S3" s="28"/>
      <c r="T3" s="29" t="s">
        <v>332</v>
      </c>
      <c r="U3" s="28"/>
      <c r="V3" s="28"/>
      <c r="W3" s="644" t="str">
        <f>IF(ISBLANK(word用!$U$2),"",word用!$U$2)</f>
        <v>Z115099AWBN1NGL</v>
      </c>
      <c r="X3" s="634"/>
      <c r="Y3" s="634"/>
      <c r="Z3" s="634"/>
      <c r="AA3" s="634"/>
    </row>
    <row r="4" spans="2:27" ht="18.75" customHeight="1" x14ac:dyDescent="0.25">
      <c r="B4" s="624" t="s">
        <v>333</v>
      </c>
      <c r="C4" s="625"/>
      <c r="D4" s="625"/>
      <c r="E4" s="626"/>
      <c r="F4" s="624" t="str">
        <f>IF(輸入!$C$2="違反社會秩序維護法","□刑事案件■違反社會秩序維護法□違反行政法令案件","■刑事案件□違反社會秩序維護法□違反行政法令案件")</f>
        <v>■刑事案件□違反社會秩序維護法□違反行政法令案件</v>
      </c>
      <c r="G4" s="625"/>
      <c r="H4" s="625"/>
      <c r="I4" s="625"/>
      <c r="J4" s="625"/>
      <c r="K4" s="625"/>
      <c r="L4" s="625"/>
      <c r="M4" s="625"/>
      <c r="N4" s="625"/>
      <c r="O4" s="625"/>
      <c r="P4" s="625"/>
      <c r="Q4" s="625"/>
      <c r="R4" s="625"/>
      <c r="S4" s="625"/>
      <c r="T4" s="625"/>
      <c r="U4" s="625"/>
      <c r="V4" s="625"/>
      <c r="W4" s="625"/>
      <c r="X4" s="625"/>
      <c r="Y4" s="625"/>
      <c r="Z4" s="625"/>
      <c r="AA4" s="626"/>
    </row>
    <row r="5" spans="2:27" ht="18.75" customHeight="1" x14ac:dyDescent="0.25">
      <c r="B5" s="624" t="s">
        <v>334</v>
      </c>
      <c r="C5" s="628"/>
      <c r="D5" s="628"/>
      <c r="E5" s="629"/>
      <c r="F5" s="624" t="s">
        <v>183</v>
      </c>
      <c r="G5" s="629"/>
      <c r="H5" s="624" t="s">
        <v>56</v>
      </c>
      <c r="I5" s="629"/>
      <c r="J5" s="624" t="s">
        <v>281</v>
      </c>
      <c r="K5" s="628"/>
      <c r="L5" s="628"/>
      <c r="M5" s="629"/>
      <c r="N5" s="624" t="s">
        <v>54</v>
      </c>
      <c r="O5" s="629"/>
      <c r="P5" s="624" t="s">
        <v>49</v>
      </c>
      <c r="Q5" s="628"/>
      <c r="R5" s="629"/>
      <c r="S5" s="627" t="s">
        <v>335</v>
      </c>
      <c r="T5" s="628"/>
      <c r="U5" s="628"/>
      <c r="V5" s="628"/>
      <c r="W5" s="629"/>
      <c r="X5" s="624" t="s">
        <v>288</v>
      </c>
      <c r="Y5" s="628"/>
      <c r="Z5" s="628"/>
      <c r="AA5" s="629"/>
    </row>
    <row r="6" spans="2:27" ht="18.75" customHeight="1" x14ac:dyDescent="0.25">
      <c r="B6" s="630"/>
      <c r="C6" s="634"/>
      <c r="D6" s="634"/>
      <c r="E6" s="631"/>
      <c r="F6" s="630"/>
      <c r="G6" s="631"/>
      <c r="H6" s="630"/>
      <c r="I6" s="631"/>
      <c r="J6" s="630"/>
      <c r="K6" s="634"/>
      <c r="L6" s="634"/>
      <c r="M6" s="631"/>
      <c r="N6" s="630"/>
      <c r="O6" s="631"/>
      <c r="P6" s="630"/>
      <c r="Q6" s="634"/>
      <c r="R6" s="631"/>
      <c r="S6" s="637" t="s">
        <v>336</v>
      </c>
      <c r="T6" s="634"/>
      <c r="U6" s="634"/>
      <c r="V6" s="634"/>
      <c r="W6" s="631"/>
      <c r="X6" s="630"/>
      <c r="Y6" s="634"/>
      <c r="Z6" s="634"/>
      <c r="AA6" s="631"/>
    </row>
    <row r="7" spans="2:27" ht="37.5" customHeight="1" x14ac:dyDescent="0.25">
      <c r="B7" s="633" t="s">
        <v>75</v>
      </c>
      <c r="C7" s="628"/>
      <c r="D7" s="628"/>
      <c r="E7" s="629"/>
      <c r="F7" s="633" t="str">
        <f>VLOOKUP($B$7,個資,11,FALSE)</f>
        <v>男</v>
      </c>
      <c r="G7" s="626"/>
      <c r="H7" s="633">
        <f>VLOOKUP($B$7,個資,10,FALSE)</f>
        <v>45</v>
      </c>
      <c r="I7" s="626"/>
      <c r="J7" s="632" t="str">
        <f>VLOOKUP($B$7,個資,16,FALSE)</f>
        <v>70.01.31</v>
      </c>
      <c r="K7" s="625"/>
      <c r="L7" s="625"/>
      <c r="M7" s="626"/>
      <c r="N7" s="633" t="str">
        <f>VLOOKUP($B$7,個資,8,FALSE)</f>
        <v>收銀員</v>
      </c>
      <c r="O7" s="626"/>
      <c r="P7" s="633" t="str">
        <f>VLOOKUP($B$7,個資,3,FALSE)</f>
        <v>臺北市</v>
      </c>
      <c r="Q7" s="625"/>
      <c r="R7" s="626"/>
      <c r="S7" s="633" t="str">
        <f>UPPER(VLOOKUP($B$7,個資,2,FALSE))</f>
        <v>A125142591</v>
      </c>
      <c r="T7" s="625"/>
      <c r="U7" s="625"/>
      <c r="V7" s="625"/>
      <c r="W7" s="626"/>
      <c r="X7" s="633" t="s">
        <v>337</v>
      </c>
      <c r="Y7" s="625"/>
      <c r="Z7" s="625"/>
      <c r="AA7" s="626"/>
    </row>
    <row r="8" spans="2:27" ht="37.5" customHeight="1" x14ac:dyDescent="0.25">
      <c r="B8" s="630"/>
      <c r="C8" s="634"/>
      <c r="D8" s="634"/>
      <c r="E8" s="631"/>
      <c r="F8" s="624" t="s">
        <v>338</v>
      </c>
      <c r="G8" s="625"/>
      <c r="H8" s="625"/>
      <c r="I8" s="626"/>
      <c r="J8" s="643" t="str">
        <f>VLOOKUP($B$7,個資,6,FALSE)</f>
        <v>臺北市內湖區康樂街125巷4號5樓</v>
      </c>
      <c r="K8" s="625"/>
      <c r="L8" s="625"/>
      <c r="M8" s="625"/>
      <c r="N8" s="625"/>
      <c r="O8" s="625"/>
      <c r="P8" s="625"/>
      <c r="Q8" s="625"/>
      <c r="R8" s="625"/>
      <c r="S8" s="625"/>
      <c r="T8" s="625"/>
      <c r="U8" s="625"/>
      <c r="V8" s="625"/>
      <c r="W8" s="625"/>
      <c r="X8" s="625"/>
      <c r="Y8" s="625"/>
      <c r="Z8" s="625"/>
      <c r="AA8" s="626"/>
    </row>
    <row r="9" spans="2:27" ht="18.75" customHeight="1" x14ac:dyDescent="0.25">
      <c r="B9" s="624" t="s">
        <v>58</v>
      </c>
      <c r="C9" s="628"/>
      <c r="D9" s="628"/>
      <c r="E9" s="629"/>
      <c r="F9" s="624" t="s">
        <v>183</v>
      </c>
      <c r="G9" s="629"/>
      <c r="H9" s="624" t="s">
        <v>56</v>
      </c>
      <c r="I9" s="629"/>
      <c r="J9" s="624" t="s">
        <v>281</v>
      </c>
      <c r="K9" s="628"/>
      <c r="L9" s="628"/>
      <c r="M9" s="629"/>
      <c r="N9" s="624" t="s">
        <v>54</v>
      </c>
      <c r="O9" s="629"/>
      <c r="P9" s="624" t="s">
        <v>49</v>
      </c>
      <c r="Q9" s="628"/>
      <c r="R9" s="629"/>
      <c r="S9" s="653" t="str">
        <f>CONCATENATE("身分證",CHAR(10),"統一編號")</f>
        <v>身分證
統一編號</v>
      </c>
      <c r="T9" s="628"/>
      <c r="U9" s="628"/>
      <c r="V9" s="628"/>
      <c r="W9" s="629"/>
      <c r="X9" s="645" t="s">
        <v>339</v>
      </c>
      <c r="Y9" s="628"/>
      <c r="Z9" s="628"/>
      <c r="AA9" s="629"/>
    </row>
    <row r="10" spans="2:27" ht="18.75" customHeight="1" x14ac:dyDescent="0.25">
      <c r="B10" s="630"/>
      <c r="C10" s="634"/>
      <c r="D10" s="634"/>
      <c r="E10" s="631"/>
      <c r="F10" s="630"/>
      <c r="G10" s="631"/>
      <c r="H10" s="630"/>
      <c r="I10" s="631"/>
      <c r="J10" s="630"/>
      <c r="K10" s="634"/>
      <c r="L10" s="634"/>
      <c r="M10" s="631"/>
      <c r="N10" s="630"/>
      <c r="O10" s="631"/>
      <c r="P10" s="630"/>
      <c r="Q10" s="634"/>
      <c r="R10" s="631"/>
      <c r="S10" s="630"/>
      <c r="T10" s="634"/>
      <c r="U10" s="634"/>
      <c r="V10" s="634"/>
      <c r="W10" s="631"/>
      <c r="X10" s="630"/>
      <c r="Y10" s="634"/>
      <c r="Z10" s="634"/>
      <c r="AA10" s="631"/>
    </row>
    <row r="11" spans="2:27" ht="37.5" customHeight="1" x14ac:dyDescent="0.25">
      <c r="B11" s="633" t="s">
        <v>63</v>
      </c>
      <c r="C11" s="628"/>
      <c r="D11" s="628"/>
      <c r="E11" s="629"/>
      <c r="F11" s="633" t="str">
        <f>IFERROR(IF($B$11="","",VLOOKUP($B$11,個資,11,FALSE)),"")</f>
        <v/>
      </c>
      <c r="G11" s="626"/>
      <c r="H11" s="633" t="str">
        <f>IFERROR(IF($B$11="","",VLOOKUP($B$11,個資,10,FALSE)),"")</f>
        <v/>
      </c>
      <c r="I11" s="626"/>
      <c r="J11" s="632" t="e">
        <f>IF($B$11="","",VLOOKUP($B$11,個資,16,FALSE))</f>
        <v>#N/A</v>
      </c>
      <c r="K11" s="625"/>
      <c r="L11" s="625"/>
      <c r="M11" s="626"/>
      <c r="N11" s="633" t="e">
        <f>IF($B$11="","",VLOOKUP($B$11,個資,8,FALSE))</f>
        <v>#N/A</v>
      </c>
      <c r="O11" s="626"/>
      <c r="P11" s="633" t="e">
        <f>IF($B$11="","",VLOOKUP($B$11,個資,3,FALSE))</f>
        <v>#N/A</v>
      </c>
      <c r="Q11" s="625"/>
      <c r="R11" s="626"/>
      <c r="S11" s="633" t="e">
        <f>UPPER(IF($B$11="","",VLOOKUP($B$11,個資,2,FALSE)))</f>
        <v>#N/A</v>
      </c>
      <c r="T11" s="625"/>
      <c r="U11" s="625"/>
      <c r="V11" s="625"/>
      <c r="W11" s="626"/>
      <c r="X11" s="633" t="e">
        <f>IF($B$11="","",VLOOKUP($B$11,個資,12,FALSE))</f>
        <v>#N/A</v>
      </c>
      <c r="Y11" s="625"/>
      <c r="Z11" s="625"/>
      <c r="AA11" s="626"/>
    </row>
    <row r="12" spans="2:27" ht="37.5" customHeight="1" x14ac:dyDescent="0.25">
      <c r="B12" s="630"/>
      <c r="C12" s="634"/>
      <c r="D12" s="634"/>
      <c r="E12" s="631"/>
      <c r="F12" s="624" t="s">
        <v>338</v>
      </c>
      <c r="G12" s="625"/>
      <c r="H12" s="625"/>
      <c r="I12" s="626"/>
      <c r="J12" s="643" t="e">
        <f>IF($B$11="","",VLOOKUP($B$11,個資,6,FALSE))</f>
        <v>#N/A</v>
      </c>
      <c r="K12" s="625"/>
      <c r="L12" s="625"/>
      <c r="M12" s="625"/>
      <c r="N12" s="625"/>
      <c r="O12" s="625"/>
      <c r="P12" s="625"/>
      <c r="Q12" s="625"/>
      <c r="R12" s="625"/>
      <c r="S12" s="625"/>
      <c r="T12" s="625"/>
      <c r="U12" s="625"/>
      <c r="V12" s="625"/>
      <c r="W12" s="625"/>
      <c r="X12" s="625"/>
      <c r="Y12" s="625"/>
      <c r="Z12" s="625"/>
      <c r="AA12" s="626"/>
    </row>
    <row r="13" spans="2:27" ht="18.75" customHeight="1" x14ac:dyDescent="0.25">
      <c r="B13" s="624" t="s">
        <v>58</v>
      </c>
      <c r="C13" s="628"/>
      <c r="D13" s="628"/>
      <c r="E13" s="629"/>
      <c r="F13" s="624" t="s">
        <v>183</v>
      </c>
      <c r="G13" s="629"/>
      <c r="H13" s="624" t="s">
        <v>56</v>
      </c>
      <c r="I13" s="629"/>
      <c r="J13" s="624" t="s">
        <v>281</v>
      </c>
      <c r="K13" s="628"/>
      <c r="L13" s="628"/>
      <c r="M13" s="629"/>
      <c r="N13" s="624" t="s">
        <v>54</v>
      </c>
      <c r="O13" s="629"/>
      <c r="P13" s="624" t="s">
        <v>49</v>
      </c>
      <c r="Q13" s="628"/>
      <c r="R13" s="629"/>
      <c r="S13" s="653" t="str">
        <f>CONCATENATE("身分證",CHAR(10),"統一編號")</f>
        <v>身分證
統一編號</v>
      </c>
      <c r="T13" s="628"/>
      <c r="U13" s="628"/>
      <c r="V13" s="628"/>
      <c r="W13" s="629"/>
      <c r="X13" s="645" t="s">
        <v>339</v>
      </c>
      <c r="Y13" s="628"/>
      <c r="Z13" s="628"/>
      <c r="AA13" s="629"/>
    </row>
    <row r="14" spans="2:27" ht="18.75" customHeight="1" x14ac:dyDescent="0.25">
      <c r="B14" s="630"/>
      <c r="C14" s="634"/>
      <c r="D14" s="634"/>
      <c r="E14" s="631"/>
      <c r="F14" s="630"/>
      <c r="G14" s="631"/>
      <c r="H14" s="630"/>
      <c r="I14" s="631"/>
      <c r="J14" s="630"/>
      <c r="K14" s="634"/>
      <c r="L14" s="634"/>
      <c r="M14" s="631"/>
      <c r="N14" s="630"/>
      <c r="O14" s="631"/>
      <c r="P14" s="630"/>
      <c r="Q14" s="634"/>
      <c r="R14" s="631"/>
      <c r="S14" s="630"/>
      <c r="T14" s="634"/>
      <c r="U14" s="634"/>
      <c r="V14" s="634"/>
      <c r="W14" s="631"/>
      <c r="X14" s="630"/>
      <c r="Y14" s="634"/>
      <c r="Z14" s="634"/>
      <c r="AA14" s="631"/>
    </row>
    <row r="15" spans="2:27" ht="37.5" customHeight="1" x14ac:dyDescent="0.25">
      <c r="B15" s="633" t="s">
        <v>69</v>
      </c>
      <c r="C15" s="628"/>
      <c r="D15" s="628"/>
      <c r="E15" s="629"/>
      <c r="F15" s="633" t="str">
        <f>IFERROR(IF($B$15="","",VLOOKUP($B$15,個資,11,FALSE)),"")</f>
        <v>男</v>
      </c>
      <c r="G15" s="626"/>
      <c r="H15" s="633">
        <f>IFERROR(IF($B$15="","",VLOOKUP($B$15,個資,10,FALSE)),"")</f>
        <v>31</v>
      </c>
      <c r="I15" s="626"/>
      <c r="J15" s="632" t="str">
        <f>IF($B$15="","",VLOOKUP($B$15,個資,16,FALSE))</f>
        <v>84.03.06</v>
      </c>
      <c r="K15" s="625"/>
      <c r="L15" s="625"/>
      <c r="M15" s="626"/>
      <c r="N15" s="633" t="str">
        <f>IF($B$15="","",VLOOKUP($B$15,個資,8,FALSE))</f>
        <v>收銀員</v>
      </c>
      <c r="O15" s="626"/>
      <c r="P15" s="633" t="str">
        <f>IF($B$15="","",VLOOKUP($B$15,個資,3,FALSE))</f>
        <v>臺北市</v>
      </c>
      <c r="Q15" s="625"/>
      <c r="R15" s="626"/>
      <c r="S15" s="633" t="str">
        <f>IF($B$15="","",UPPER(VLOOKUP($B$15,個資,2,FALSE)))</f>
        <v>A126819564</v>
      </c>
      <c r="T15" s="625"/>
      <c r="U15" s="625"/>
      <c r="V15" s="625"/>
      <c r="W15" s="626"/>
      <c r="X15" s="633">
        <f>IF($B$15="","",VLOOKUP($B$15,個資,12,FALSE))</f>
        <v>0</v>
      </c>
      <c r="Y15" s="625"/>
      <c r="Z15" s="625"/>
      <c r="AA15" s="626"/>
    </row>
    <row r="16" spans="2:27" ht="37.5" customHeight="1" x14ac:dyDescent="0.25">
      <c r="B16" s="630"/>
      <c r="C16" s="634"/>
      <c r="D16" s="634"/>
      <c r="E16" s="631"/>
      <c r="F16" s="624" t="s">
        <v>338</v>
      </c>
      <c r="G16" s="625"/>
      <c r="H16" s="625"/>
      <c r="I16" s="626"/>
      <c r="J16" s="643" t="str">
        <f>IF($B$15="","",VLOOKUP($B$15,個資,6,FALSE))</f>
        <v>臺北市信義區信義路五段150巷477號</v>
      </c>
      <c r="K16" s="625"/>
      <c r="L16" s="625"/>
      <c r="M16" s="625"/>
      <c r="N16" s="625"/>
      <c r="O16" s="625"/>
      <c r="P16" s="625"/>
      <c r="Q16" s="625"/>
      <c r="R16" s="625"/>
      <c r="S16" s="625"/>
      <c r="T16" s="625"/>
      <c r="U16" s="625"/>
      <c r="V16" s="625"/>
      <c r="W16" s="625"/>
      <c r="X16" s="625"/>
      <c r="Y16" s="625"/>
      <c r="Z16" s="625"/>
      <c r="AA16" s="626"/>
    </row>
    <row r="17" spans="2:27" ht="18.75" customHeight="1" x14ac:dyDescent="0.25">
      <c r="B17" s="624" t="s">
        <v>58</v>
      </c>
      <c r="C17" s="628"/>
      <c r="D17" s="628"/>
      <c r="E17" s="629"/>
      <c r="F17" s="624" t="s">
        <v>183</v>
      </c>
      <c r="G17" s="629"/>
      <c r="H17" s="624" t="s">
        <v>56</v>
      </c>
      <c r="I17" s="629"/>
      <c r="J17" s="624" t="s">
        <v>281</v>
      </c>
      <c r="K17" s="628"/>
      <c r="L17" s="628"/>
      <c r="M17" s="629"/>
      <c r="N17" s="624" t="s">
        <v>54</v>
      </c>
      <c r="O17" s="629"/>
      <c r="P17" s="624" t="s">
        <v>49</v>
      </c>
      <c r="Q17" s="628"/>
      <c r="R17" s="629"/>
      <c r="S17" s="653" t="str">
        <f>CONCATENATE("身分證",CHAR(10),"統一編號")</f>
        <v>身分證
統一編號</v>
      </c>
      <c r="T17" s="628"/>
      <c r="U17" s="628"/>
      <c r="V17" s="628"/>
      <c r="W17" s="629"/>
      <c r="X17" s="645" t="s">
        <v>339</v>
      </c>
      <c r="Y17" s="628"/>
      <c r="Z17" s="628"/>
      <c r="AA17" s="629"/>
    </row>
    <row r="18" spans="2:27" ht="18.75" customHeight="1" x14ac:dyDescent="0.25">
      <c r="B18" s="630"/>
      <c r="C18" s="634"/>
      <c r="D18" s="634"/>
      <c r="E18" s="631"/>
      <c r="F18" s="630"/>
      <c r="G18" s="631"/>
      <c r="H18" s="630"/>
      <c r="I18" s="631"/>
      <c r="J18" s="630"/>
      <c r="K18" s="634"/>
      <c r="L18" s="634"/>
      <c r="M18" s="631"/>
      <c r="N18" s="630"/>
      <c r="O18" s="631"/>
      <c r="P18" s="630"/>
      <c r="Q18" s="634"/>
      <c r="R18" s="631"/>
      <c r="S18" s="630"/>
      <c r="T18" s="634"/>
      <c r="U18" s="634"/>
      <c r="V18" s="634"/>
      <c r="W18" s="631"/>
      <c r="X18" s="630"/>
      <c r="Y18" s="634"/>
      <c r="Z18" s="634"/>
      <c r="AA18" s="631"/>
    </row>
    <row r="19" spans="2:27" s="94" customFormat="1" ht="37.5" customHeight="1" x14ac:dyDescent="0.25">
      <c r="B19" s="633"/>
      <c r="C19" s="628"/>
      <c r="D19" s="628"/>
      <c r="E19" s="629"/>
      <c r="F19" s="633" t="str">
        <f>IFERROR(IF($B$19="","",VLOOKUP($B$19,個資,11,FALSE)),"")</f>
        <v/>
      </c>
      <c r="G19" s="626"/>
      <c r="H19" s="633" t="str">
        <f>IFERROR(IF($B$19="","",VLOOKUP($B$19,個資,10,FALSE)),"")</f>
        <v/>
      </c>
      <c r="I19" s="626"/>
      <c r="J19" s="632" t="str">
        <f>IF($B$19="","",VLOOKUP($B$19,個資,16,FALSE))</f>
        <v/>
      </c>
      <c r="K19" s="625"/>
      <c r="L19" s="625"/>
      <c r="M19" s="626"/>
      <c r="N19" s="633" t="str">
        <f>IF($B$19="","",VLOOKUP($B$19,個資,8,FALSE))</f>
        <v/>
      </c>
      <c r="O19" s="626"/>
      <c r="P19" s="633" t="str">
        <f>IF($B$19="","",VLOOKUP($B$19,個資,3,FALSE))</f>
        <v/>
      </c>
      <c r="Q19" s="625"/>
      <c r="R19" s="626"/>
      <c r="S19" s="633" t="str">
        <f>IF($B$19="","",UPPER(VLOOKUP($B$19,個資,2,FALSE)))</f>
        <v/>
      </c>
      <c r="T19" s="625"/>
      <c r="U19" s="625"/>
      <c r="V19" s="625"/>
      <c r="W19" s="626"/>
      <c r="X19" s="633" t="str">
        <f>IF($B$19="","",VLOOKUP($B$19,個資,12,FALSE))</f>
        <v/>
      </c>
      <c r="Y19" s="625"/>
      <c r="Z19" s="625"/>
      <c r="AA19" s="626"/>
    </row>
    <row r="20" spans="2:27" s="94" customFormat="1" ht="37.5" customHeight="1" x14ac:dyDescent="0.25">
      <c r="B20" s="630"/>
      <c r="C20" s="634"/>
      <c r="D20" s="634"/>
      <c r="E20" s="631"/>
      <c r="F20" s="624" t="s">
        <v>338</v>
      </c>
      <c r="G20" s="625"/>
      <c r="H20" s="625"/>
      <c r="I20" s="626"/>
      <c r="J20" s="643" t="str">
        <f>IF($B$19="","",VLOOKUP($B$19,個資,6,FALSE))</f>
        <v/>
      </c>
      <c r="K20" s="625"/>
      <c r="L20" s="625"/>
      <c r="M20" s="625"/>
      <c r="N20" s="625"/>
      <c r="O20" s="625"/>
      <c r="P20" s="625"/>
      <c r="Q20" s="625"/>
      <c r="R20" s="625"/>
      <c r="S20" s="625"/>
      <c r="T20" s="625"/>
      <c r="U20" s="625"/>
      <c r="V20" s="625"/>
      <c r="W20" s="625"/>
      <c r="X20" s="625"/>
      <c r="Y20" s="625"/>
      <c r="Z20" s="625"/>
      <c r="AA20" s="626"/>
    </row>
    <row r="21" spans="2:27" s="94" customFormat="1" ht="18.75" customHeight="1" x14ac:dyDescent="0.25">
      <c r="B21" s="624" t="s">
        <v>58</v>
      </c>
      <c r="C21" s="628"/>
      <c r="D21" s="628"/>
      <c r="E21" s="629"/>
      <c r="F21" s="624" t="s">
        <v>183</v>
      </c>
      <c r="G21" s="629"/>
      <c r="H21" s="624" t="s">
        <v>56</v>
      </c>
      <c r="I21" s="629"/>
      <c r="J21" s="624" t="s">
        <v>281</v>
      </c>
      <c r="K21" s="628"/>
      <c r="L21" s="628"/>
      <c r="M21" s="629"/>
      <c r="N21" s="624" t="s">
        <v>54</v>
      </c>
      <c r="O21" s="629"/>
      <c r="P21" s="624" t="s">
        <v>49</v>
      </c>
      <c r="Q21" s="628"/>
      <c r="R21" s="629"/>
      <c r="S21" s="653" t="str">
        <f>CONCATENATE("身分證",CHAR(10),"統一編號")</f>
        <v>身分證
統一編號</v>
      </c>
      <c r="T21" s="628"/>
      <c r="U21" s="628"/>
      <c r="V21" s="628"/>
      <c r="W21" s="629"/>
      <c r="X21" s="645" t="s">
        <v>339</v>
      </c>
      <c r="Y21" s="628"/>
      <c r="Z21" s="628"/>
      <c r="AA21" s="629"/>
    </row>
    <row r="22" spans="2:27" s="94" customFormat="1" ht="18.75" customHeight="1" x14ac:dyDescent="0.25">
      <c r="B22" s="630"/>
      <c r="C22" s="634"/>
      <c r="D22" s="634"/>
      <c r="E22" s="631"/>
      <c r="F22" s="630"/>
      <c r="G22" s="631"/>
      <c r="H22" s="630"/>
      <c r="I22" s="631"/>
      <c r="J22" s="630"/>
      <c r="K22" s="634"/>
      <c r="L22" s="634"/>
      <c r="M22" s="631"/>
      <c r="N22" s="630"/>
      <c r="O22" s="631"/>
      <c r="P22" s="630"/>
      <c r="Q22" s="634"/>
      <c r="R22" s="631"/>
      <c r="S22" s="630"/>
      <c r="T22" s="634"/>
      <c r="U22" s="634"/>
      <c r="V22" s="634"/>
      <c r="W22" s="631"/>
      <c r="X22" s="630"/>
      <c r="Y22" s="634"/>
      <c r="Z22" s="634"/>
      <c r="AA22" s="631"/>
    </row>
    <row r="23" spans="2:27" s="94" customFormat="1" ht="37.5" customHeight="1" x14ac:dyDescent="0.25">
      <c r="B23" s="633"/>
      <c r="C23" s="628"/>
      <c r="D23" s="628"/>
      <c r="E23" s="629"/>
      <c r="F23" s="633" t="str">
        <f>IFERROR(IF($B$23="","",VLOOKUP($B$23,個資,11,FALSE)),"")</f>
        <v/>
      </c>
      <c r="G23" s="626"/>
      <c r="H23" s="633" t="str">
        <f>IFERROR(IF($B$23="","",VLOOKUP($B$23,個資,10,FALSE)),"")</f>
        <v/>
      </c>
      <c r="I23" s="626"/>
      <c r="J23" s="632" t="str">
        <f>IF($B$23="","",VLOOKUP($B$23,個資,16,FALSE))</f>
        <v/>
      </c>
      <c r="K23" s="625"/>
      <c r="L23" s="625"/>
      <c r="M23" s="626"/>
      <c r="N23" s="633" t="str">
        <f>IF($B$23="","",VLOOKUP($B$23,個資,8,FALSE))</f>
        <v/>
      </c>
      <c r="O23" s="626"/>
      <c r="P23" s="633" t="str">
        <f>IF($B$23="","",VLOOKUP($B$23,個資,3,FALSE))</f>
        <v/>
      </c>
      <c r="Q23" s="625"/>
      <c r="R23" s="626"/>
      <c r="S23" s="633" t="str">
        <f>IF($B$23="","",UPPER(VLOOKUP($B$23,個資,2,FALSE)))</f>
        <v/>
      </c>
      <c r="T23" s="625"/>
      <c r="U23" s="625"/>
      <c r="V23" s="625"/>
      <c r="W23" s="626"/>
      <c r="X23" s="633" t="str">
        <f>IF($B$23="","",VLOOKUP($B$23,個資,12,FALSE))</f>
        <v/>
      </c>
      <c r="Y23" s="625"/>
      <c r="Z23" s="625"/>
      <c r="AA23" s="626"/>
    </row>
    <row r="24" spans="2:27" s="94" customFormat="1" ht="37.5" customHeight="1" x14ac:dyDescent="0.25">
      <c r="B24" s="630"/>
      <c r="C24" s="634"/>
      <c r="D24" s="634"/>
      <c r="E24" s="631"/>
      <c r="F24" s="624" t="s">
        <v>338</v>
      </c>
      <c r="G24" s="625"/>
      <c r="H24" s="625"/>
      <c r="I24" s="626"/>
      <c r="J24" s="643" t="str">
        <f>IF($B$23="","",VLOOKUP($B$23,個資,6,FALSE))</f>
        <v/>
      </c>
      <c r="K24" s="625"/>
      <c r="L24" s="625"/>
      <c r="M24" s="625"/>
      <c r="N24" s="625"/>
      <c r="O24" s="625"/>
      <c r="P24" s="625"/>
      <c r="Q24" s="625"/>
      <c r="R24" s="625"/>
      <c r="S24" s="625"/>
      <c r="T24" s="625"/>
      <c r="U24" s="625"/>
      <c r="V24" s="625"/>
      <c r="W24" s="625"/>
      <c r="X24" s="625"/>
      <c r="Y24" s="625"/>
      <c r="Z24" s="625"/>
      <c r="AA24" s="626"/>
    </row>
    <row r="25" spans="2:27" s="94" customFormat="1" ht="18.75" customHeight="1" x14ac:dyDescent="0.25">
      <c r="B25" s="624" t="s">
        <v>58</v>
      </c>
      <c r="C25" s="628"/>
      <c r="D25" s="628"/>
      <c r="E25" s="629"/>
      <c r="F25" s="624" t="s">
        <v>183</v>
      </c>
      <c r="G25" s="629"/>
      <c r="H25" s="624" t="s">
        <v>56</v>
      </c>
      <c r="I25" s="629"/>
      <c r="J25" s="624" t="s">
        <v>281</v>
      </c>
      <c r="K25" s="628"/>
      <c r="L25" s="628"/>
      <c r="M25" s="629"/>
      <c r="N25" s="624" t="s">
        <v>54</v>
      </c>
      <c r="O25" s="629"/>
      <c r="P25" s="624" t="s">
        <v>49</v>
      </c>
      <c r="Q25" s="628"/>
      <c r="R25" s="629"/>
      <c r="S25" s="653" t="str">
        <f>CONCATENATE("身分證",CHAR(10),"統一編號")</f>
        <v>身分證
統一編號</v>
      </c>
      <c r="T25" s="628"/>
      <c r="U25" s="628"/>
      <c r="V25" s="628"/>
      <c r="W25" s="629"/>
      <c r="X25" s="645" t="s">
        <v>339</v>
      </c>
      <c r="Y25" s="628"/>
      <c r="Z25" s="628"/>
      <c r="AA25" s="629"/>
    </row>
    <row r="26" spans="2:27" s="94" customFormat="1" ht="18.75" customHeight="1" x14ac:dyDescent="0.25">
      <c r="B26" s="630"/>
      <c r="C26" s="634"/>
      <c r="D26" s="634"/>
      <c r="E26" s="631"/>
      <c r="F26" s="630"/>
      <c r="G26" s="631"/>
      <c r="H26" s="630"/>
      <c r="I26" s="631"/>
      <c r="J26" s="630"/>
      <c r="K26" s="634"/>
      <c r="L26" s="634"/>
      <c r="M26" s="631"/>
      <c r="N26" s="630"/>
      <c r="O26" s="631"/>
      <c r="P26" s="630"/>
      <c r="Q26" s="634"/>
      <c r="R26" s="631"/>
      <c r="S26" s="630"/>
      <c r="T26" s="634"/>
      <c r="U26" s="634"/>
      <c r="V26" s="634"/>
      <c r="W26" s="631"/>
      <c r="X26" s="630"/>
      <c r="Y26" s="634"/>
      <c r="Z26" s="634"/>
      <c r="AA26" s="631"/>
    </row>
    <row r="27" spans="2:27" s="94" customFormat="1" ht="37.5" customHeight="1" x14ac:dyDescent="0.25">
      <c r="B27" s="633"/>
      <c r="C27" s="628"/>
      <c r="D27" s="628"/>
      <c r="E27" s="629"/>
      <c r="F27" s="633" t="str">
        <f>IFERROR(IF($B$27="","",VLOOKUP($B$27,個資,11,FALSE)),"")</f>
        <v/>
      </c>
      <c r="G27" s="626"/>
      <c r="H27" s="633" t="str">
        <f>IFERROR(IF($B$27="","",VLOOKUP($B$27,個資,10,FALSE)),"")</f>
        <v/>
      </c>
      <c r="I27" s="626"/>
      <c r="J27" s="632" t="str">
        <f>IF($B$27="","",VLOOKUP($B$27,個資,16,FALSE))</f>
        <v/>
      </c>
      <c r="K27" s="625"/>
      <c r="L27" s="625"/>
      <c r="M27" s="626"/>
      <c r="N27" s="633" t="str">
        <f>IF($B$27="","",VLOOKUP($B$27,個資,8,FALSE))</f>
        <v/>
      </c>
      <c r="O27" s="626"/>
      <c r="P27" s="633" t="str">
        <f>IF($B$27="","",VLOOKUP($B$27,個資,3,FALSE))</f>
        <v/>
      </c>
      <c r="Q27" s="625"/>
      <c r="R27" s="626"/>
      <c r="S27" s="633" t="str">
        <f>IF($B$27="","",UPPER(VLOOKUP($B$27,個資,2,FALSE)))</f>
        <v/>
      </c>
      <c r="T27" s="625"/>
      <c r="U27" s="625"/>
      <c r="V27" s="625"/>
      <c r="W27" s="626"/>
      <c r="X27" s="633" t="str">
        <f>IF($B$27="","",VLOOKUP($B$27,個資,12,FALSE))</f>
        <v/>
      </c>
      <c r="Y27" s="625"/>
      <c r="Z27" s="625"/>
      <c r="AA27" s="626"/>
    </row>
    <row r="28" spans="2:27" s="94" customFormat="1" ht="37.5" customHeight="1" x14ac:dyDescent="0.25">
      <c r="B28" s="630"/>
      <c r="C28" s="634"/>
      <c r="D28" s="634"/>
      <c r="E28" s="631"/>
      <c r="F28" s="624" t="s">
        <v>338</v>
      </c>
      <c r="G28" s="625"/>
      <c r="H28" s="625"/>
      <c r="I28" s="626"/>
      <c r="J28" s="643" t="str">
        <f>IF($B$27="","",VLOOKUP($B$27,個資,6,FALSE))</f>
        <v/>
      </c>
      <c r="K28" s="625"/>
      <c r="L28" s="625"/>
      <c r="M28" s="625"/>
      <c r="N28" s="625"/>
      <c r="O28" s="625"/>
      <c r="P28" s="625"/>
      <c r="Q28" s="625"/>
      <c r="R28" s="625"/>
      <c r="S28" s="625"/>
      <c r="T28" s="625"/>
      <c r="U28" s="625"/>
      <c r="V28" s="625"/>
      <c r="W28" s="625"/>
      <c r="X28" s="625"/>
      <c r="Y28" s="625"/>
      <c r="Z28" s="625"/>
      <c r="AA28" s="626"/>
    </row>
    <row r="29" spans="2:27" s="94" customFormat="1" ht="36.75" customHeight="1" x14ac:dyDescent="0.25">
      <c r="B29" s="925"/>
      <c r="C29" s="625"/>
      <c r="D29" s="625"/>
      <c r="E29" s="625"/>
      <c r="F29" s="625"/>
      <c r="G29" s="625"/>
      <c r="H29" s="625"/>
      <c r="I29" s="625"/>
      <c r="J29" s="625"/>
      <c r="K29" s="625"/>
      <c r="L29" s="625"/>
      <c r="M29" s="625"/>
      <c r="N29" s="625"/>
      <c r="O29" s="625"/>
      <c r="P29" s="625"/>
      <c r="Q29" s="625"/>
      <c r="R29" s="625"/>
      <c r="S29" s="625"/>
      <c r="T29" s="625"/>
      <c r="U29" s="625"/>
      <c r="V29" s="625"/>
      <c r="W29" s="625"/>
      <c r="X29" s="625"/>
      <c r="Y29" s="625"/>
      <c r="Z29" s="625"/>
      <c r="AA29" s="625"/>
    </row>
    <row r="30" spans="2:27" s="94" customFormat="1" ht="28.5" customHeight="1" x14ac:dyDescent="0.25">
      <c r="B30" s="624" t="s">
        <v>58</v>
      </c>
      <c r="C30" s="628"/>
      <c r="D30" s="628"/>
      <c r="E30" s="629"/>
      <c r="F30" s="624" t="s">
        <v>183</v>
      </c>
      <c r="G30" s="629"/>
      <c r="H30" s="624" t="s">
        <v>56</v>
      </c>
      <c r="I30" s="629"/>
      <c r="J30" s="624" t="s">
        <v>281</v>
      </c>
      <c r="K30" s="628"/>
      <c r="L30" s="628"/>
      <c r="M30" s="629"/>
      <c r="N30" s="624" t="s">
        <v>54</v>
      </c>
      <c r="O30" s="629"/>
      <c r="P30" s="624" t="s">
        <v>49</v>
      </c>
      <c r="Q30" s="628"/>
      <c r="R30" s="629"/>
      <c r="S30" s="653" t="str">
        <f>CONCATENATE("身分證",CHAR(10),"統一編號")</f>
        <v>身分證
統一編號</v>
      </c>
      <c r="T30" s="628"/>
      <c r="U30" s="628"/>
      <c r="V30" s="628"/>
      <c r="W30" s="629"/>
      <c r="X30" s="645" t="s">
        <v>339</v>
      </c>
      <c r="Y30" s="628"/>
      <c r="Z30" s="628"/>
      <c r="AA30" s="629"/>
    </row>
    <row r="31" spans="2:27" s="94" customFormat="1" ht="18.75" customHeight="1" x14ac:dyDescent="0.25">
      <c r="B31" s="630"/>
      <c r="C31" s="634"/>
      <c r="D31" s="634"/>
      <c r="E31" s="631"/>
      <c r="F31" s="630"/>
      <c r="G31" s="631"/>
      <c r="H31" s="630"/>
      <c r="I31" s="631"/>
      <c r="J31" s="630"/>
      <c r="K31" s="634"/>
      <c r="L31" s="634"/>
      <c r="M31" s="631"/>
      <c r="N31" s="630"/>
      <c r="O31" s="631"/>
      <c r="P31" s="630"/>
      <c r="Q31" s="634"/>
      <c r="R31" s="631"/>
      <c r="S31" s="630"/>
      <c r="T31" s="634"/>
      <c r="U31" s="634"/>
      <c r="V31" s="634"/>
      <c r="W31" s="631"/>
      <c r="X31" s="630"/>
      <c r="Y31" s="634"/>
      <c r="Z31" s="634"/>
      <c r="AA31" s="631"/>
    </row>
    <row r="32" spans="2:27" s="94" customFormat="1" ht="37.5" customHeight="1" x14ac:dyDescent="0.25">
      <c r="B32" s="633"/>
      <c r="C32" s="628"/>
      <c r="D32" s="628"/>
      <c r="E32" s="629"/>
      <c r="F32" s="633" t="str">
        <f>IFERROR(IF($B$32="","",VLOOKUP($B$32,個資,11,FALSE)),"")</f>
        <v/>
      </c>
      <c r="G32" s="626"/>
      <c r="H32" s="633" t="str">
        <f>IFERROR(IF($B$32="","",VLOOKUP($B$32,個資,10,FALSE)),"")</f>
        <v/>
      </c>
      <c r="I32" s="626"/>
      <c r="J32" s="632" t="str">
        <f>IF($B$32="","",VLOOKUP($B$32,個資,16,FALSE))</f>
        <v/>
      </c>
      <c r="K32" s="625"/>
      <c r="L32" s="625"/>
      <c r="M32" s="626"/>
      <c r="N32" s="633" t="str">
        <f>IF($B$32="","",VLOOKUP($B$32,個資,8,FALSE))</f>
        <v/>
      </c>
      <c r="O32" s="626"/>
      <c r="P32" s="633" t="str">
        <f>IF($B$32="","",VLOOKUP($B$32,個資,3,FALSE))</f>
        <v/>
      </c>
      <c r="Q32" s="625"/>
      <c r="R32" s="626"/>
      <c r="S32" s="633" t="str">
        <f>IF($B$32="","",UPPER(VLOOKUP($B$32,個資,2,FALSE)))</f>
        <v/>
      </c>
      <c r="T32" s="625"/>
      <c r="U32" s="625"/>
      <c r="V32" s="625"/>
      <c r="W32" s="626"/>
      <c r="X32" s="633" t="str">
        <f>IF($B$32="","",VLOOKUP($B$32,個資,12,FALSE))</f>
        <v/>
      </c>
      <c r="Y32" s="625"/>
      <c r="Z32" s="625"/>
      <c r="AA32" s="626"/>
    </row>
    <row r="33" spans="2:27" s="94" customFormat="1" ht="37.5" customHeight="1" x14ac:dyDescent="0.25">
      <c r="B33" s="630"/>
      <c r="C33" s="634"/>
      <c r="D33" s="634"/>
      <c r="E33" s="631"/>
      <c r="F33" s="624" t="s">
        <v>338</v>
      </c>
      <c r="G33" s="625"/>
      <c r="H33" s="625"/>
      <c r="I33" s="626"/>
      <c r="J33" s="643" t="str">
        <f>IF($B$32="","",VLOOKUP($B$32,個資,6,FALSE))</f>
        <v/>
      </c>
      <c r="K33" s="625"/>
      <c r="L33" s="625"/>
      <c r="M33" s="625"/>
      <c r="N33" s="625"/>
      <c r="O33" s="625"/>
      <c r="P33" s="625"/>
      <c r="Q33" s="625"/>
      <c r="R33" s="625"/>
      <c r="S33" s="625"/>
      <c r="T33" s="625"/>
      <c r="U33" s="625"/>
      <c r="V33" s="625"/>
      <c r="W33" s="625"/>
      <c r="X33" s="625"/>
      <c r="Y33" s="625"/>
      <c r="Z33" s="625"/>
      <c r="AA33" s="626"/>
    </row>
    <row r="34" spans="2:27" s="94" customFormat="1" ht="18.75" customHeight="1" x14ac:dyDescent="0.25">
      <c r="B34" s="624" t="s">
        <v>58</v>
      </c>
      <c r="C34" s="628"/>
      <c r="D34" s="628"/>
      <c r="E34" s="629"/>
      <c r="F34" s="624" t="s">
        <v>183</v>
      </c>
      <c r="G34" s="629"/>
      <c r="H34" s="624" t="s">
        <v>56</v>
      </c>
      <c r="I34" s="629"/>
      <c r="J34" s="624" t="s">
        <v>281</v>
      </c>
      <c r="K34" s="628"/>
      <c r="L34" s="628"/>
      <c r="M34" s="629"/>
      <c r="N34" s="624" t="s">
        <v>54</v>
      </c>
      <c r="O34" s="629"/>
      <c r="P34" s="624" t="s">
        <v>49</v>
      </c>
      <c r="Q34" s="628"/>
      <c r="R34" s="629"/>
      <c r="S34" s="653" t="str">
        <f>CONCATENATE("身分證",CHAR(10),"統一編號")</f>
        <v>身分證
統一編號</v>
      </c>
      <c r="T34" s="628"/>
      <c r="U34" s="628"/>
      <c r="V34" s="628"/>
      <c r="W34" s="629"/>
      <c r="X34" s="645" t="s">
        <v>339</v>
      </c>
      <c r="Y34" s="628"/>
      <c r="Z34" s="628"/>
      <c r="AA34" s="629"/>
    </row>
    <row r="35" spans="2:27" s="94" customFormat="1" ht="18.75" customHeight="1" x14ac:dyDescent="0.25">
      <c r="B35" s="630"/>
      <c r="C35" s="634"/>
      <c r="D35" s="634"/>
      <c r="E35" s="631"/>
      <c r="F35" s="630"/>
      <c r="G35" s="631"/>
      <c r="H35" s="630"/>
      <c r="I35" s="631"/>
      <c r="J35" s="630"/>
      <c r="K35" s="634"/>
      <c r="L35" s="634"/>
      <c r="M35" s="631"/>
      <c r="N35" s="630"/>
      <c r="O35" s="631"/>
      <c r="P35" s="630"/>
      <c r="Q35" s="634"/>
      <c r="R35" s="631"/>
      <c r="S35" s="630"/>
      <c r="T35" s="634"/>
      <c r="U35" s="634"/>
      <c r="V35" s="634"/>
      <c r="W35" s="631"/>
      <c r="X35" s="630"/>
      <c r="Y35" s="634"/>
      <c r="Z35" s="634"/>
      <c r="AA35" s="631"/>
    </row>
    <row r="36" spans="2:27" s="94" customFormat="1" ht="37.5" customHeight="1" x14ac:dyDescent="0.25">
      <c r="B36" s="633"/>
      <c r="C36" s="628"/>
      <c r="D36" s="628"/>
      <c r="E36" s="629"/>
      <c r="F36" s="633" t="str">
        <f>IFERROR(IF($B$36="","",VLOOKUP($B$36,個資,11,FALSE)),"")</f>
        <v/>
      </c>
      <c r="G36" s="626"/>
      <c r="H36" s="633" t="str">
        <f>IFERROR(IF($B$36="","",VLOOKUP($B$36,個資,10,FALSE)),"")</f>
        <v/>
      </c>
      <c r="I36" s="626"/>
      <c r="J36" s="632" t="str">
        <f>IF($B$36="","",VLOOKUP($B$36,個資,16,FALSE))</f>
        <v/>
      </c>
      <c r="K36" s="625"/>
      <c r="L36" s="625"/>
      <c r="M36" s="626"/>
      <c r="N36" s="633" t="str">
        <f>IF($B$36="","",VLOOKUP($B$36,個資,8,FALSE))</f>
        <v/>
      </c>
      <c r="O36" s="626"/>
      <c r="P36" s="633" t="str">
        <f>IF($B$36="","",VLOOKUP($B$36,個資,3,FALSE))</f>
        <v/>
      </c>
      <c r="Q36" s="625"/>
      <c r="R36" s="626"/>
      <c r="S36" s="633" t="str">
        <f>IF($B$36="","",UPPER(VLOOKUP($B$36,個資,2,FALSE)))</f>
        <v/>
      </c>
      <c r="T36" s="625"/>
      <c r="U36" s="625"/>
      <c r="V36" s="625"/>
      <c r="W36" s="626"/>
      <c r="X36" s="633" t="str">
        <f>IF($B$36="","",VLOOKUP($B$36,個資,12,FALSE))</f>
        <v/>
      </c>
      <c r="Y36" s="625"/>
      <c r="Z36" s="625"/>
      <c r="AA36" s="626"/>
    </row>
    <row r="37" spans="2:27" s="94" customFormat="1" ht="37.5" customHeight="1" x14ac:dyDescent="0.25">
      <c r="B37" s="630"/>
      <c r="C37" s="634"/>
      <c r="D37" s="634"/>
      <c r="E37" s="631"/>
      <c r="F37" s="624" t="s">
        <v>338</v>
      </c>
      <c r="G37" s="625"/>
      <c r="H37" s="625"/>
      <c r="I37" s="626"/>
      <c r="J37" s="643" t="str">
        <f>IF($B$36="","",VLOOKUP($B$36,個資,6,FALSE))</f>
        <v/>
      </c>
      <c r="K37" s="625"/>
      <c r="L37" s="625"/>
      <c r="M37" s="625"/>
      <c r="N37" s="625"/>
      <c r="O37" s="625"/>
      <c r="P37" s="625"/>
      <c r="Q37" s="625"/>
      <c r="R37" s="625"/>
      <c r="S37" s="625"/>
      <c r="T37" s="625"/>
      <c r="U37" s="625"/>
      <c r="V37" s="625"/>
      <c r="W37" s="625"/>
      <c r="X37" s="625"/>
      <c r="Y37" s="625"/>
      <c r="Z37" s="625"/>
      <c r="AA37" s="626"/>
    </row>
    <row r="38" spans="2:27" s="94" customFormat="1" ht="18.75" customHeight="1" x14ac:dyDescent="0.25">
      <c r="B38" s="624" t="s">
        <v>58</v>
      </c>
      <c r="C38" s="628"/>
      <c r="D38" s="628"/>
      <c r="E38" s="629"/>
      <c r="F38" s="624" t="s">
        <v>183</v>
      </c>
      <c r="G38" s="629"/>
      <c r="H38" s="624" t="s">
        <v>56</v>
      </c>
      <c r="I38" s="629"/>
      <c r="J38" s="624" t="s">
        <v>281</v>
      </c>
      <c r="K38" s="628"/>
      <c r="L38" s="628"/>
      <c r="M38" s="629"/>
      <c r="N38" s="624" t="s">
        <v>54</v>
      </c>
      <c r="O38" s="629"/>
      <c r="P38" s="624" t="s">
        <v>49</v>
      </c>
      <c r="Q38" s="628"/>
      <c r="R38" s="629"/>
      <c r="S38" s="653" t="str">
        <f>CONCATENATE("身分證",CHAR(10),"統一編號")</f>
        <v>身分證
統一編號</v>
      </c>
      <c r="T38" s="628"/>
      <c r="U38" s="628"/>
      <c r="V38" s="628"/>
      <c r="W38" s="629"/>
      <c r="X38" s="645" t="s">
        <v>339</v>
      </c>
      <c r="Y38" s="628"/>
      <c r="Z38" s="628"/>
      <c r="AA38" s="629"/>
    </row>
    <row r="39" spans="2:27" s="94" customFormat="1" ht="18.75" customHeight="1" x14ac:dyDescent="0.25">
      <c r="B39" s="630"/>
      <c r="C39" s="634"/>
      <c r="D39" s="634"/>
      <c r="E39" s="631"/>
      <c r="F39" s="630"/>
      <c r="G39" s="631"/>
      <c r="H39" s="630"/>
      <c r="I39" s="631"/>
      <c r="J39" s="630"/>
      <c r="K39" s="634"/>
      <c r="L39" s="634"/>
      <c r="M39" s="631"/>
      <c r="N39" s="630"/>
      <c r="O39" s="631"/>
      <c r="P39" s="630"/>
      <c r="Q39" s="634"/>
      <c r="R39" s="631"/>
      <c r="S39" s="630"/>
      <c r="T39" s="634"/>
      <c r="U39" s="634"/>
      <c r="V39" s="634"/>
      <c r="W39" s="631"/>
      <c r="X39" s="630"/>
      <c r="Y39" s="634"/>
      <c r="Z39" s="634"/>
      <c r="AA39" s="631"/>
    </row>
    <row r="40" spans="2:27" s="94" customFormat="1" ht="37.5" customHeight="1" x14ac:dyDescent="0.25">
      <c r="B40" s="633"/>
      <c r="C40" s="628"/>
      <c r="D40" s="628"/>
      <c r="E40" s="629"/>
      <c r="F40" s="633" t="str">
        <f>IFERROR(IF($B$40="","",VLOOKUP($B$40,個資,11,FALSE)),"")</f>
        <v/>
      </c>
      <c r="G40" s="626"/>
      <c r="H40" s="633" t="str">
        <f>IFERROR(IF($B$40="","",VLOOKUP($B$40,個資,10,FALSE)),"")</f>
        <v/>
      </c>
      <c r="I40" s="626"/>
      <c r="J40" s="632" t="str">
        <f>IF($B$40="","",VLOOKUP($B$40,個資,16,FALSE))</f>
        <v/>
      </c>
      <c r="K40" s="625"/>
      <c r="L40" s="625"/>
      <c r="M40" s="626"/>
      <c r="N40" s="633" t="str">
        <f>IF($B$40="","",VLOOKUP($B$40,個資,8,FALSE))</f>
        <v/>
      </c>
      <c r="O40" s="626"/>
      <c r="P40" s="633" t="str">
        <f>IF($B$40="","",VLOOKUP($B$40,個資,3,FALSE))</f>
        <v/>
      </c>
      <c r="Q40" s="625"/>
      <c r="R40" s="626"/>
      <c r="S40" s="633" t="str">
        <f>IF($B$40="","",UPPER(VLOOKUP($B$40,個資,2,FALSE)))</f>
        <v/>
      </c>
      <c r="T40" s="625"/>
      <c r="U40" s="625"/>
      <c r="V40" s="625"/>
      <c r="W40" s="626"/>
      <c r="X40" s="633" t="str">
        <f>IF($B$40="","",VLOOKUP($B$40,個資,12,FALSE))</f>
        <v/>
      </c>
      <c r="Y40" s="625"/>
      <c r="Z40" s="625"/>
      <c r="AA40" s="626"/>
    </row>
    <row r="41" spans="2:27" s="94" customFormat="1" ht="37.5" customHeight="1" x14ac:dyDescent="0.25">
      <c r="B41" s="630"/>
      <c r="C41" s="634"/>
      <c r="D41" s="634"/>
      <c r="E41" s="631"/>
      <c r="F41" s="624" t="s">
        <v>338</v>
      </c>
      <c r="G41" s="625"/>
      <c r="H41" s="625"/>
      <c r="I41" s="626"/>
      <c r="J41" s="643" t="str">
        <f>IF($B$40="","",VLOOKUP($B$40,個資,6,FALSE))</f>
        <v/>
      </c>
      <c r="K41" s="625"/>
      <c r="L41" s="625"/>
      <c r="M41" s="625"/>
      <c r="N41" s="625"/>
      <c r="O41" s="625"/>
      <c r="P41" s="625"/>
      <c r="Q41" s="625"/>
      <c r="R41" s="625"/>
      <c r="S41" s="625"/>
      <c r="T41" s="625"/>
      <c r="U41" s="625"/>
      <c r="V41" s="625"/>
      <c r="W41" s="625"/>
      <c r="X41" s="625"/>
      <c r="Y41" s="625"/>
      <c r="Z41" s="625"/>
      <c r="AA41" s="626"/>
    </row>
    <row r="42" spans="2:27" ht="37.5" customHeight="1" x14ac:dyDescent="0.25">
      <c r="B42" s="624" t="s">
        <v>340</v>
      </c>
      <c r="C42" s="625"/>
      <c r="D42" s="625"/>
      <c r="E42" s="626"/>
      <c r="F42" s="463"/>
      <c r="G42" s="650" t="str">
        <f>IF(ISBLANK(輸入!$C$11),下拉用!$J$13,下拉用!$J$12)</f>
        <v>114年06月06日18時00分</v>
      </c>
      <c r="H42" s="625"/>
      <c r="I42" s="625"/>
      <c r="J42" s="625"/>
      <c r="K42" s="625"/>
      <c r="L42" s="625"/>
      <c r="M42" s="625"/>
      <c r="N42" s="625"/>
      <c r="O42" s="625"/>
      <c r="P42" s="625"/>
      <c r="Q42" s="625"/>
      <c r="R42" s="625"/>
      <c r="S42" s="625"/>
      <c r="T42" s="625"/>
      <c r="U42" s="625"/>
      <c r="V42" s="511"/>
      <c r="W42" s="511"/>
      <c r="X42" s="511"/>
      <c r="Y42" s="511"/>
      <c r="Z42" s="511"/>
      <c r="AA42" s="510"/>
    </row>
    <row r="43" spans="2:27" ht="37.5" customHeight="1" x14ac:dyDescent="0.25">
      <c r="B43" s="624" t="s">
        <v>341</v>
      </c>
      <c r="C43" s="625"/>
      <c r="D43" s="625"/>
      <c r="E43" s="626"/>
      <c r="F43" s="27"/>
      <c r="G43" s="646" t="str">
        <f>IF(ISBLANK(輸入!$C$13),輸入!$S$23,輸入!$C$13)</f>
        <v>台北市信義區吳興街262號</v>
      </c>
      <c r="H43" s="625"/>
      <c r="I43" s="625"/>
      <c r="J43" s="625"/>
      <c r="K43" s="625"/>
      <c r="L43" s="625"/>
      <c r="M43" s="625"/>
      <c r="N43" s="625"/>
      <c r="O43" s="625"/>
      <c r="P43" s="625"/>
      <c r="Q43" s="625"/>
      <c r="R43" s="625"/>
      <c r="S43" s="625"/>
      <c r="T43" s="625"/>
      <c r="U43" s="625"/>
      <c r="V43" s="625"/>
      <c r="W43" s="625"/>
      <c r="X43" s="625"/>
      <c r="Y43" s="625"/>
      <c r="Z43" s="625"/>
      <c r="AA43" s="626"/>
    </row>
    <row r="44" spans="2:27" ht="37.5" customHeight="1" x14ac:dyDescent="0.25">
      <c r="B44" s="624" t="s">
        <v>342</v>
      </c>
      <c r="C44" s="625"/>
      <c r="D44" s="625"/>
      <c r="E44" s="626"/>
      <c r="F44" s="27"/>
      <c r="G44" s="646" t="str">
        <f>IF(輸入!$C$2="通緝",輸入!$H$2&amp;輸入!$C$2,IF(輸入!$C$2="公共危險",輸入!$C$2&amp;" (酒後駕車)",輸入!$C$2))</f>
        <v>毀損</v>
      </c>
      <c r="H44" s="625"/>
      <c r="I44" s="625"/>
      <c r="J44" s="625"/>
      <c r="K44" s="625"/>
      <c r="L44" s="625"/>
      <c r="M44" s="625"/>
      <c r="N44" s="625"/>
      <c r="O44" s="625"/>
      <c r="P44" s="625"/>
      <c r="Q44" s="625"/>
      <c r="R44" s="625"/>
      <c r="S44" s="625"/>
      <c r="T44" s="625"/>
      <c r="U44" s="625"/>
      <c r="V44" s="625"/>
      <c r="W44" s="625"/>
      <c r="X44" s="625"/>
      <c r="Y44" s="625"/>
      <c r="Z44" s="625"/>
      <c r="AA44" s="626"/>
    </row>
    <row r="45" spans="2:27" ht="161.25" customHeight="1" x14ac:dyDescent="0.25">
      <c r="B45" s="624" t="s">
        <v>8</v>
      </c>
      <c r="C45" s="625"/>
      <c r="D45" s="625"/>
      <c r="E45" s="626"/>
      <c r="F45" s="647" t="str">
        <f>IF(輸入!$C$2="刑事相驗",CONCATENATE(下拉用!$A$2,CHAR(10),下拉用!$H$2,CHAR(10),下拉用!$H$3),呈報單!$F$16)</f>
        <v>一、吳興街所警員蘇詠棠受理民眾黃軾錦報案，於115年09月12日13時30分在臺北市信義區吳興街206號稱有毀損案件(證明單編號：Z115099AWBN1NGL)。警方依規定受理後，調閱店家及公家道路監視器影像，尋線找到嫌疑人並通知到案說明。
二、警方聯繫嫌疑人於114年06月06日18時00分至所說明，但嫌於通知日期仍未至所說明，全案提供相關附件為證。
三、依毀損罪嫌，函送  偵查隊  續辦。</v>
      </c>
      <c r="G45" s="648"/>
      <c r="H45" s="648"/>
      <c r="I45" s="648"/>
      <c r="J45" s="648"/>
      <c r="K45" s="648"/>
      <c r="L45" s="648"/>
      <c r="M45" s="648"/>
      <c r="N45" s="648"/>
      <c r="O45" s="648"/>
      <c r="P45" s="648"/>
      <c r="Q45" s="648"/>
      <c r="R45" s="648"/>
      <c r="S45" s="648"/>
      <c r="T45" s="648"/>
      <c r="U45" s="648"/>
      <c r="V45" s="648"/>
      <c r="W45" s="648"/>
      <c r="X45" s="648"/>
      <c r="Y45" s="648"/>
      <c r="Z45" s="648"/>
      <c r="AA45" s="649"/>
    </row>
    <row r="46" spans="2:27" ht="45" customHeight="1" x14ac:dyDescent="0.25">
      <c r="B46" s="652" t="s">
        <v>343</v>
      </c>
      <c r="C46" s="628"/>
      <c r="D46" s="628"/>
      <c r="E46" s="629"/>
      <c r="F46" s="654" t="s">
        <v>344</v>
      </c>
      <c r="G46" s="628"/>
      <c r="H46" s="628"/>
      <c r="I46" s="628"/>
      <c r="J46" s="628"/>
      <c r="K46" s="628"/>
      <c r="L46" s="628"/>
      <c r="M46" s="628"/>
      <c r="N46" s="629"/>
      <c r="O46" s="639" t="s">
        <v>345</v>
      </c>
      <c r="P46" s="628"/>
      <c r="Q46" s="628"/>
      <c r="R46" s="629"/>
      <c r="S46" s="926" t="str">
        <f>CONCATENATE(輸入!$T$24,"  ",輸入!$O$8)</f>
        <v>警員  蘇詠棠</v>
      </c>
      <c r="T46" s="628"/>
      <c r="U46" s="628"/>
      <c r="V46" s="628"/>
      <c r="W46" s="628"/>
      <c r="X46" s="628"/>
      <c r="Y46" s="628"/>
      <c r="Z46" s="628"/>
      <c r="AA46" s="629"/>
    </row>
    <row r="47" spans="2:27" ht="45" customHeight="1" x14ac:dyDescent="0.25">
      <c r="B47" s="637" t="s">
        <v>346</v>
      </c>
      <c r="C47" s="634"/>
      <c r="D47" s="634"/>
      <c r="E47" s="631"/>
      <c r="F47" s="630"/>
      <c r="G47" s="634"/>
      <c r="H47" s="634"/>
      <c r="I47" s="634"/>
      <c r="J47" s="634"/>
      <c r="K47" s="634"/>
      <c r="L47" s="634"/>
      <c r="M47" s="634"/>
      <c r="N47" s="631"/>
      <c r="O47" s="630"/>
      <c r="P47" s="634"/>
      <c r="Q47" s="634"/>
      <c r="R47" s="631"/>
      <c r="S47" s="630"/>
      <c r="T47" s="634"/>
      <c r="U47" s="634"/>
      <c r="V47" s="634"/>
      <c r="W47" s="634"/>
      <c r="X47" s="634"/>
      <c r="Y47" s="634"/>
      <c r="Z47" s="634"/>
      <c r="AA47" s="631"/>
    </row>
    <row r="48" spans="2:27" ht="13.5" customHeight="1" x14ac:dyDescent="0.25">
      <c r="B48" s="638"/>
      <c r="C48" s="628"/>
      <c r="D48" s="628"/>
      <c r="E48" s="628"/>
      <c r="F48" s="628"/>
      <c r="G48" s="651"/>
      <c r="H48" s="628"/>
      <c r="I48" s="628"/>
      <c r="J48" s="628"/>
      <c r="K48" s="628"/>
      <c r="L48" s="628"/>
      <c r="M48" s="628"/>
      <c r="N48" s="628"/>
      <c r="O48" s="628"/>
      <c r="P48" s="628"/>
      <c r="Q48" s="628"/>
      <c r="R48" s="628"/>
      <c r="S48" s="628"/>
      <c r="T48" s="628"/>
      <c r="U48" s="628"/>
      <c r="V48" s="628"/>
      <c r="W48" s="628"/>
      <c r="X48" s="628"/>
      <c r="Y48" s="628"/>
      <c r="Z48" s="628"/>
      <c r="AA48" s="628"/>
    </row>
    <row r="49" spans="2:27" ht="21.75" customHeight="1" x14ac:dyDescent="0.25">
      <c r="B49" s="462"/>
      <c r="C49" s="640" t="s">
        <v>347</v>
      </c>
      <c r="D49" s="623"/>
      <c r="E49" s="623"/>
      <c r="F49" s="623"/>
      <c r="G49" s="623"/>
      <c r="H49" s="623"/>
      <c r="I49" s="623"/>
      <c r="J49" s="26"/>
      <c r="K49" s="26"/>
      <c r="L49" s="26"/>
      <c r="M49" s="26"/>
      <c r="N49" s="26"/>
      <c r="O49" s="26"/>
      <c r="P49" s="26"/>
      <c r="Q49" s="26"/>
      <c r="R49" s="26"/>
      <c r="S49" s="26"/>
      <c r="T49" s="26"/>
      <c r="U49" s="26"/>
      <c r="V49" s="26"/>
      <c r="W49" s="26"/>
      <c r="X49" s="26"/>
      <c r="Y49" s="26"/>
      <c r="Z49" s="26"/>
      <c r="AA49" s="26"/>
    </row>
    <row r="50" spans="2:27" ht="30" customHeight="1" x14ac:dyDescent="0.25">
      <c r="B50" s="635"/>
      <c r="C50" s="623"/>
      <c r="D50" s="623"/>
      <c r="E50" s="623"/>
      <c r="F50" s="623"/>
      <c r="G50" s="622"/>
      <c r="H50" s="623"/>
      <c r="I50" s="623"/>
      <c r="J50" s="623"/>
      <c r="K50" s="623"/>
      <c r="L50" s="623"/>
      <c r="M50" s="623"/>
      <c r="N50" s="623"/>
      <c r="O50" s="623"/>
      <c r="P50" s="623"/>
      <c r="Q50" s="623"/>
      <c r="R50" s="623"/>
      <c r="S50" s="623"/>
      <c r="T50" s="623"/>
      <c r="U50" s="623"/>
      <c r="V50" s="623"/>
      <c r="W50" s="623"/>
      <c r="X50" s="623"/>
      <c r="Y50" s="623"/>
      <c r="Z50" s="623"/>
      <c r="AA50" s="623"/>
    </row>
  </sheetData>
  <mergeCells count="186">
    <mergeCell ref="B27:E28"/>
    <mergeCell ref="S9:W10"/>
    <mergeCell ref="N11:O11"/>
    <mergeCell ref="J38:M39"/>
    <mergeCell ref="P27:R27"/>
    <mergeCell ref="P36:R36"/>
    <mergeCell ref="B17:E18"/>
    <mergeCell ref="J34:M35"/>
    <mergeCell ref="B11:E12"/>
    <mergeCell ref="F9:G10"/>
    <mergeCell ref="N15:O15"/>
    <mergeCell ref="H15:I15"/>
    <mergeCell ref="B9:E10"/>
    <mergeCell ref="S25:W26"/>
    <mergeCell ref="B36:E37"/>
    <mergeCell ref="S21:W22"/>
    <mergeCell ref="H19:I19"/>
    <mergeCell ref="S27:W27"/>
    <mergeCell ref="B45:E45"/>
    <mergeCell ref="F15:G15"/>
    <mergeCell ref="P19:R19"/>
    <mergeCell ref="X27:AA27"/>
    <mergeCell ref="F16:I16"/>
    <mergeCell ref="B47:E47"/>
    <mergeCell ref="H5:I6"/>
    <mergeCell ref="S23:W23"/>
    <mergeCell ref="X11:AA11"/>
    <mergeCell ref="P34:R35"/>
    <mergeCell ref="J19:M19"/>
    <mergeCell ref="X5:AA6"/>
    <mergeCell ref="N30:O31"/>
    <mergeCell ref="P21:R22"/>
    <mergeCell ref="S40:W40"/>
    <mergeCell ref="O46:R47"/>
    <mergeCell ref="F23:G23"/>
    <mergeCell ref="J25:M26"/>
    <mergeCell ref="S15:W15"/>
    <mergeCell ref="N40:O40"/>
    <mergeCell ref="J8:AA8"/>
    <mergeCell ref="B30:E31"/>
    <mergeCell ref="J5:M6"/>
    <mergeCell ref="H21:I22"/>
    <mergeCell ref="G50:AA50"/>
    <mergeCell ref="F20:I20"/>
    <mergeCell ref="B5:E6"/>
    <mergeCell ref="X19:AA19"/>
    <mergeCell ref="F33:I33"/>
    <mergeCell ref="J27:M27"/>
    <mergeCell ref="F25:G26"/>
    <mergeCell ref="J36:M36"/>
    <mergeCell ref="G43:AA43"/>
    <mergeCell ref="N21:O22"/>
    <mergeCell ref="X25:AA26"/>
    <mergeCell ref="J11:M11"/>
    <mergeCell ref="P13:R14"/>
    <mergeCell ref="S32:W32"/>
    <mergeCell ref="F28:I28"/>
    <mergeCell ref="J13:M14"/>
    <mergeCell ref="S38:W39"/>
    <mergeCell ref="J24:AA24"/>
    <mergeCell ref="N32:O32"/>
    <mergeCell ref="P23:R23"/>
    <mergeCell ref="P30:R31"/>
    <mergeCell ref="H40:I40"/>
    <mergeCell ref="P40:R40"/>
    <mergeCell ref="H23:I23"/>
    <mergeCell ref="B48:F48"/>
    <mergeCell ref="J30:M31"/>
    <mergeCell ref="J16:AA16"/>
    <mergeCell ref="N34:O35"/>
    <mergeCell ref="S11:W11"/>
    <mergeCell ref="X17:AA18"/>
    <mergeCell ref="X34:AA35"/>
    <mergeCell ref="X36:AA36"/>
    <mergeCell ref="G48:AA48"/>
    <mergeCell ref="X15:AA15"/>
    <mergeCell ref="B21:E22"/>
    <mergeCell ref="F21:G22"/>
    <mergeCell ref="N17:O18"/>
    <mergeCell ref="X13:AA14"/>
    <mergeCell ref="F19:G19"/>
    <mergeCell ref="S34:W35"/>
    <mergeCell ref="F37:I37"/>
    <mergeCell ref="F38:G39"/>
    <mergeCell ref="J23:M23"/>
    <mergeCell ref="J20:AA20"/>
    <mergeCell ref="P25:R26"/>
    <mergeCell ref="X40:AA40"/>
    <mergeCell ref="H36:I36"/>
    <mergeCell ref="B19:E20"/>
    <mergeCell ref="C49:I49"/>
    <mergeCell ref="F36:G36"/>
    <mergeCell ref="F4:AA4"/>
    <mergeCell ref="W3:AA3"/>
    <mergeCell ref="S46:AA47"/>
    <mergeCell ref="X23:AA23"/>
    <mergeCell ref="X32:AA32"/>
    <mergeCell ref="J40:M40"/>
    <mergeCell ref="F34:G35"/>
    <mergeCell ref="B43:E43"/>
    <mergeCell ref="X38:AA39"/>
    <mergeCell ref="H25:I26"/>
    <mergeCell ref="N19:O19"/>
    <mergeCell ref="P17:R18"/>
    <mergeCell ref="B42:E42"/>
    <mergeCell ref="S36:W36"/>
    <mergeCell ref="H9:I10"/>
    <mergeCell ref="N25:O26"/>
    <mergeCell ref="F8:I8"/>
    <mergeCell ref="J17:M18"/>
    <mergeCell ref="F45:AA45"/>
    <mergeCell ref="B44:E44"/>
    <mergeCell ref="J37:AA37"/>
    <mergeCell ref="H34:I35"/>
    <mergeCell ref="B50:F50"/>
    <mergeCell ref="F30:G31"/>
    <mergeCell ref="N5:O6"/>
    <mergeCell ref="S13:W14"/>
    <mergeCell ref="F46:N47"/>
    <mergeCell ref="F11:G11"/>
    <mergeCell ref="P11:R11"/>
    <mergeCell ref="P5:R6"/>
    <mergeCell ref="J9:M10"/>
    <mergeCell ref="N13:O14"/>
    <mergeCell ref="F40:G40"/>
    <mergeCell ref="F13:G14"/>
    <mergeCell ref="H13:I14"/>
    <mergeCell ref="S30:W31"/>
    <mergeCell ref="B23:E24"/>
    <mergeCell ref="B46:E46"/>
    <mergeCell ref="G44:AA44"/>
    <mergeCell ref="B29:AA29"/>
    <mergeCell ref="B40:E41"/>
    <mergeCell ref="X21:AA22"/>
    <mergeCell ref="H27:I27"/>
    <mergeCell ref="B32:E33"/>
    <mergeCell ref="S17:W18"/>
    <mergeCell ref="F41:I41"/>
    <mergeCell ref="B4:E4"/>
    <mergeCell ref="P32:R32"/>
    <mergeCell ref="S7:W7"/>
    <mergeCell ref="B13:E14"/>
    <mergeCell ref="J41:AA41"/>
    <mergeCell ref="B2:AA2"/>
    <mergeCell ref="F32:G32"/>
    <mergeCell ref="P38:R39"/>
    <mergeCell ref="N23:O23"/>
    <mergeCell ref="H30:I31"/>
    <mergeCell ref="B15:E16"/>
    <mergeCell ref="P15:R15"/>
    <mergeCell ref="X30:AA31"/>
    <mergeCell ref="H32:I32"/>
    <mergeCell ref="H7:I7"/>
    <mergeCell ref="S19:W19"/>
    <mergeCell ref="F12:I12"/>
    <mergeCell ref="F24:I24"/>
    <mergeCell ref="J21:M22"/>
    <mergeCell ref="X7:AA7"/>
    <mergeCell ref="J33:AA33"/>
    <mergeCell ref="J15:M15"/>
    <mergeCell ref="F27:G27"/>
    <mergeCell ref="H38:I39"/>
    <mergeCell ref="S5:W5"/>
    <mergeCell ref="F5:G6"/>
    <mergeCell ref="G42:U42"/>
    <mergeCell ref="J28:AA28"/>
    <mergeCell ref="B25:E26"/>
    <mergeCell ref="N27:O27"/>
    <mergeCell ref="J32:M32"/>
    <mergeCell ref="J7:M7"/>
    <mergeCell ref="N36:O36"/>
    <mergeCell ref="F17:G18"/>
    <mergeCell ref="F7:G7"/>
    <mergeCell ref="B38:E39"/>
    <mergeCell ref="N38:O39"/>
    <mergeCell ref="P7:R7"/>
    <mergeCell ref="S6:W6"/>
    <mergeCell ref="X9:AA10"/>
    <mergeCell ref="B7:E8"/>
    <mergeCell ref="N7:O7"/>
    <mergeCell ref="N9:O10"/>
    <mergeCell ref="P9:R10"/>
    <mergeCell ref="B34:E35"/>
    <mergeCell ref="H11:I11"/>
    <mergeCell ref="J12:AA12"/>
    <mergeCell ref="H17:I18"/>
  </mergeCells>
  <phoneticPr fontId="1" type="noConversion"/>
  <dataValidations count="1">
    <dataValidation type="list" allowBlank="1" showInputMessage="1" showErrorMessage="1" sqref="B7:E8 B11:E12 B15:E16 B19:E20 B23:E24 B27:E28 B29 B32:E33 B36:E37 B40:E41" xr:uid="{00000000-0002-0000-1C00-000000000000}">
      <formula1>姓名</formula1>
    </dataValidation>
  </dataValidations>
  <pageMargins left="0.5625" right="0.35433070866141742" top="0.39370078740157483" bottom="0.39370078740157483" header="0.51181102362204722" footer="0.51181102362204722"/>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工作表50"/>
  <dimension ref="A1:WVV72"/>
  <sheetViews>
    <sheetView view="pageBreakPreview" topLeftCell="A13" zoomScaleNormal="85" zoomScaleSheetLayoutView="100" workbookViewId="0">
      <selection activeCell="I11" sqref="I11:N11"/>
    </sheetView>
  </sheetViews>
  <sheetFormatPr defaultRowHeight="16.5" x14ac:dyDescent="0.25"/>
  <cols>
    <col min="1" max="1" width="4.375" style="545" customWidth="1"/>
    <col min="2" max="2" width="8.875" style="545" customWidth="1"/>
    <col min="3" max="3" width="4" style="545" customWidth="1"/>
    <col min="4" max="4" width="10.375" style="545" customWidth="1"/>
    <col min="5" max="5" width="7.75" style="545" customWidth="1"/>
    <col min="6" max="6" width="6" style="545" customWidth="1"/>
    <col min="7" max="7" width="10.75" style="545" customWidth="1"/>
    <col min="8" max="8" width="8.125" style="545" customWidth="1"/>
    <col min="9" max="9" width="8.25" style="545" customWidth="1"/>
    <col min="10" max="10" width="4.125" style="545" customWidth="1"/>
    <col min="11" max="11" width="3.75" style="545" customWidth="1"/>
    <col min="12" max="12" width="2.75" style="545" customWidth="1"/>
    <col min="13" max="13" width="4.875" style="545" customWidth="1"/>
    <col min="14" max="14" width="3.125" style="545" customWidth="1"/>
    <col min="257" max="257" width="6.25" style="545" customWidth="1"/>
    <col min="258" max="258" width="9.875" style="545" customWidth="1"/>
    <col min="259" max="259" width="4" style="545" customWidth="1"/>
    <col min="260" max="260" width="10.75" style="545" customWidth="1"/>
    <col min="261" max="261" width="8.5" style="545" customWidth="1"/>
    <col min="262" max="262" width="6" style="545" customWidth="1"/>
    <col min="263" max="263" width="10.5" style="545" customWidth="1"/>
    <col min="264" max="264" width="8.125" style="545" customWidth="1"/>
    <col min="265" max="265" width="5.5" style="545" customWidth="1"/>
    <col min="266" max="266" width="4.125" style="545" customWidth="1"/>
    <col min="267" max="267" width="3.75" style="545" customWidth="1"/>
    <col min="268" max="268" width="4.375" style="545" customWidth="1"/>
    <col min="269" max="269" width="4.625" style="545" customWidth="1"/>
    <col min="270" max="270" width="4.875" style="545" customWidth="1"/>
    <col min="513" max="513" width="6.25" style="545" customWidth="1"/>
    <col min="514" max="514" width="9.875" style="545" customWidth="1"/>
    <col min="515" max="515" width="4" style="545" customWidth="1"/>
    <col min="516" max="516" width="10.75" style="545" customWidth="1"/>
    <col min="517" max="517" width="8.5" style="545" customWidth="1"/>
    <col min="518" max="518" width="6" style="545" customWidth="1"/>
    <col min="519" max="519" width="10.5" style="545" customWidth="1"/>
    <col min="520" max="520" width="8.125" style="545" customWidth="1"/>
    <col min="521" max="521" width="5.5" style="545" customWidth="1"/>
    <col min="522" max="522" width="4.125" style="545" customWidth="1"/>
    <col min="523" max="523" width="3.75" style="545" customWidth="1"/>
    <col min="524" max="524" width="4.375" style="545" customWidth="1"/>
    <col min="525" max="525" width="4.625" style="545" customWidth="1"/>
    <col min="526" max="526" width="4.875" style="545" customWidth="1"/>
    <col min="769" max="769" width="6.25" style="545" customWidth="1"/>
    <col min="770" max="770" width="9.875" style="545" customWidth="1"/>
    <col min="771" max="771" width="4" style="545" customWidth="1"/>
    <col min="772" max="772" width="10.75" style="545" customWidth="1"/>
    <col min="773" max="773" width="8.5" style="545" customWidth="1"/>
    <col min="774" max="774" width="6" style="545" customWidth="1"/>
    <col min="775" max="775" width="10.5" style="545" customWidth="1"/>
    <col min="776" max="776" width="8.125" style="545" customWidth="1"/>
    <col min="777" max="777" width="5.5" style="545" customWidth="1"/>
    <col min="778" max="778" width="4.125" style="545" customWidth="1"/>
    <col min="779" max="779" width="3.75" style="545" customWidth="1"/>
    <col min="780" max="780" width="4.375" style="545" customWidth="1"/>
    <col min="781" max="781" width="4.625" style="545" customWidth="1"/>
    <col min="782" max="782" width="4.875" style="545" customWidth="1"/>
    <col min="1025" max="1025" width="6.25" style="545" customWidth="1"/>
    <col min="1026" max="1026" width="9.875" style="545" customWidth="1"/>
    <col min="1027" max="1027" width="4" style="545" customWidth="1"/>
    <col min="1028" max="1028" width="10.75" style="545" customWidth="1"/>
    <col min="1029" max="1029" width="8.5" style="545" customWidth="1"/>
    <col min="1030" max="1030" width="6" style="545" customWidth="1"/>
    <col min="1031" max="1031" width="10.5" style="545" customWidth="1"/>
    <col min="1032" max="1032" width="8.125" style="545" customWidth="1"/>
    <col min="1033" max="1033" width="5.5" style="545" customWidth="1"/>
    <col min="1034" max="1034" width="4.125" style="545" customWidth="1"/>
    <col min="1035" max="1035" width="3.75" style="545" customWidth="1"/>
    <col min="1036" max="1036" width="4.375" style="545" customWidth="1"/>
    <col min="1037" max="1037" width="4.625" style="545" customWidth="1"/>
    <col min="1038" max="1038" width="4.875" style="545" customWidth="1"/>
    <col min="1281" max="1281" width="6.25" style="545" customWidth="1"/>
    <col min="1282" max="1282" width="9.875" style="545" customWidth="1"/>
    <col min="1283" max="1283" width="4" style="545" customWidth="1"/>
    <col min="1284" max="1284" width="10.75" style="545" customWidth="1"/>
    <col min="1285" max="1285" width="8.5" style="545" customWidth="1"/>
    <col min="1286" max="1286" width="6" style="545" customWidth="1"/>
    <col min="1287" max="1287" width="10.5" style="545" customWidth="1"/>
    <col min="1288" max="1288" width="8.125" style="545" customWidth="1"/>
    <col min="1289" max="1289" width="5.5" style="545" customWidth="1"/>
    <col min="1290" max="1290" width="4.125" style="545" customWidth="1"/>
    <col min="1291" max="1291" width="3.75" style="545" customWidth="1"/>
    <col min="1292" max="1292" width="4.375" style="545" customWidth="1"/>
    <col min="1293" max="1293" width="4.625" style="545" customWidth="1"/>
    <col min="1294" max="1294" width="4.875" style="545" customWidth="1"/>
    <col min="1537" max="1537" width="6.25" style="545" customWidth="1"/>
    <col min="1538" max="1538" width="9.875" style="545" customWidth="1"/>
    <col min="1539" max="1539" width="4" style="545" customWidth="1"/>
    <col min="1540" max="1540" width="10.75" style="545" customWidth="1"/>
    <col min="1541" max="1541" width="8.5" style="545" customWidth="1"/>
    <col min="1542" max="1542" width="6" style="545" customWidth="1"/>
    <col min="1543" max="1543" width="10.5" style="545" customWidth="1"/>
    <col min="1544" max="1544" width="8.125" style="545" customWidth="1"/>
    <col min="1545" max="1545" width="5.5" style="545" customWidth="1"/>
    <col min="1546" max="1546" width="4.125" style="545" customWidth="1"/>
    <col min="1547" max="1547" width="3.75" style="545" customWidth="1"/>
    <col min="1548" max="1548" width="4.375" style="545" customWidth="1"/>
    <col min="1549" max="1549" width="4.625" style="545" customWidth="1"/>
    <col min="1550" max="1550" width="4.875" style="545" customWidth="1"/>
    <col min="1793" max="1793" width="6.25" style="545" customWidth="1"/>
    <col min="1794" max="1794" width="9.875" style="545" customWidth="1"/>
    <col min="1795" max="1795" width="4" style="545" customWidth="1"/>
    <col min="1796" max="1796" width="10.75" style="545" customWidth="1"/>
    <col min="1797" max="1797" width="8.5" style="545" customWidth="1"/>
    <col min="1798" max="1798" width="6" style="545" customWidth="1"/>
    <col min="1799" max="1799" width="10.5" style="545" customWidth="1"/>
    <col min="1800" max="1800" width="8.125" style="545" customWidth="1"/>
    <col min="1801" max="1801" width="5.5" style="545" customWidth="1"/>
    <col min="1802" max="1802" width="4.125" style="545" customWidth="1"/>
    <col min="1803" max="1803" width="3.75" style="545" customWidth="1"/>
    <col min="1804" max="1804" width="4.375" style="545" customWidth="1"/>
    <col min="1805" max="1805" width="4.625" style="545" customWidth="1"/>
    <col min="1806" max="1806" width="4.875" style="545" customWidth="1"/>
    <col min="2049" max="2049" width="6.25" style="545" customWidth="1"/>
    <col min="2050" max="2050" width="9.875" style="545" customWidth="1"/>
    <col min="2051" max="2051" width="4" style="545" customWidth="1"/>
    <col min="2052" max="2052" width="10.75" style="545" customWidth="1"/>
    <col min="2053" max="2053" width="8.5" style="545" customWidth="1"/>
    <col min="2054" max="2054" width="6" style="545" customWidth="1"/>
    <col min="2055" max="2055" width="10.5" style="545" customWidth="1"/>
    <col min="2056" max="2056" width="8.125" style="545" customWidth="1"/>
    <col min="2057" max="2057" width="5.5" style="545" customWidth="1"/>
    <col min="2058" max="2058" width="4.125" style="545" customWidth="1"/>
    <col min="2059" max="2059" width="3.75" style="545" customWidth="1"/>
    <col min="2060" max="2060" width="4.375" style="545" customWidth="1"/>
    <col min="2061" max="2061" width="4.625" style="545" customWidth="1"/>
    <col min="2062" max="2062" width="4.875" style="545" customWidth="1"/>
    <col min="2305" max="2305" width="6.25" style="545" customWidth="1"/>
    <col min="2306" max="2306" width="9.875" style="545" customWidth="1"/>
    <col min="2307" max="2307" width="4" style="545" customWidth="1"/>
    <col min="2308" max="2308" width="10.75" style="545" customWidth="1"/>
    <col min="2309" max="2309" width="8.5" style="545" customWidth="1"/>
    <col min="2310" max="2310" width="6" style="545" customWidth="1"/>
    <col min="2311" max="2311" width="10.5" style="545" customWidth="1"/>
    <col min="2312" max="2312" width="8.125" style="545" customWidth="1"/>
    <col min="2313" max="2313" width="5.5" style="545" customWidth="1"/>
    <col min="2314" max="2314" width="4.125" style="545" customWidth="1"/>
    <col min="2315" max="2315" width="3.75" style="545" customWidth="1"/>
    <col min="2316" max="2316" width="4.375" style="545" customWidth="1"/>
    <col min="2317" max="2317" width="4.625" style="545" customWidth="1"/>
    <col min="2318" max="2318" width="4.875" style="545" customWidth="1"/>
    <col min="2561" max="2561" width="6.25" style="545" customWidth="1"/>
    <col min="2562" max="2562" width="9.875" style="545" customWidth="1"/>
    <col min="2563" max="2563" width="4" style="545" customWidth="1"/>
    <col min="2564" max="2564" width="10.75" style="545" customWidth="1"/>
    <col min="2565" max="2565" width="8.5" style="545" customWidth="1"/>
    <col min="2566" max="2566" width="6" style="545" customWidth="1"/>
    <col min="2567" max="2567" width="10.5" style="545" customWidth="1"/>
    <col min="2568" max="2568" width="8.125" style="545" customWidth="1"/>
    <col min="2569" max="2569" width="5.5" style="545" customWidth="1"/>
    <col min="2570" max="2570" width="4.125" style="545" customWidth="1"/>
    <col min="2571" max="2571" width="3.75" style="545" customWidth="1"/>
    <col min="2572" max="2572" width="4.375" style="545" customWidth="1"/>
    <col min="2573" max="2573" width="4.625" style="545" customWidth="1"/>
    <col min="2574" max="2574" width="4.875" style="545" customWidth="1"/>
    <col min="2817" max="2817" width="6.25" style="545" customWidth="1"/>
    <col min="2818" max="2818" width="9.875" style="545" customWidth="1"/>
    <col min="2819" max="2819" width="4" style="545" customWidth="1"/>
    <col min="2820" max="2820" width="10.75" style="545" customWidth="1"/>
    <col min="2821" max="2821" width="8.5" style="545" customWidth="1"/>
    <col min="2822" max="2822" width="6" style="545" customWidth="1"/>
    <col min="2823" max="2823" width="10.5" style="545" customWidth="1"/>
    <col min="2824" max="2824" width="8.125" style="545" customWidth="1"/>
    <col min="2825" max="2825" width="5.5" style="545" customWidth="1"/>
    <col min="2826" max="2826" width="4.125" style="545" customWidth="1"/>
    <col min="2827" max="2827" width="3.75" style="545" customWidth="1"/>
    <col min="2828" max="2828" width="4.375" style="545" customWidth="1"/>
    <col min="2829" max="2829" width="4.625" style="545" customWidth="1"/>
    <col min="2830" max="2830" width="4.875" style="545" customWidth="1"/>
    <col min="3073" max="3073" width="6.25" style="545" customWidth="1"/>
    <col min="3074" max="3074" width="9.875" style="545" customWidth="1"/>
    <col min="3075" max="3075" width="4" style="545" customWidth="1"/>
    <col min="3076" max="3076" width="10.75" style="545" customWidth="1"/>
    <col min="3077" max="3077" width="8.5" style="545" customWidth="1"/>
    <col min="3078" max="3078" width="6" style="545" customWidth="1"/>
    <col min="3079" max="3079" width="10.5" style="545" customWidth="1"/>
    <col min="3080" max="3080" width="8.125" style="545" customWidth="1"/>
    <col min="3081" max="3081" width="5.5" style="545" customWidth="1"/>
    <col min="3082" max="3082" width="4.125" style="545" customWidth="1"/>
    <col min="3083" max="3083" width="3.75" style="545" customWidth="1"/>
    <col min="3084" max="3084" width="4.375" style="545" customWidth="1"/>
    <col min="3085" max="3085" width="4.625" style="545" customWidth="1"/>
    <col min="3086" max="3086" width="4.875" style="545" customWidth="1"/>
    <col min="3329" max="3329" width="6.25" style="545" customWidth="1"/>
    <col min="3330" max="3330" width="9.875" style="545" customWidth="1"/>
    <col min="3331" max="3331" width="4" style="545" customWidth="1"/>
    <col min="3332" max="3332" width="10.75" style="545" customWidth="1"/>
    <col min="3333" max="3333" width="8.5" style="545" customWidth="1"/>
    <col min="3334" max="3334" width="6" style="545" customWidth="1"/>
    <col min="3335" max="3335" width="10.5" style="545" customWidth="1"/>
    <col min="3336" max="3336" width="8.125" style="545" customWidth="1"/>
    <col min="3337" max="3337" width="5.5" style="545" customWidth="1"/>
    <col min="3338" max="3338" width="4.125" style="545" customWidth="1"/>
    <col min="3339" max="3339" width="3.75" style="545" customWidth="1"/>
    <col min="3340" max="3340" width="4.375" style="545" customWidth="1"/>
    <col min="3341" max="3341" width="4.625" style="545" customWidth="1"/>
    <col min="3342" max="3342" width="4.875" style="545" customWidth="1"/>
    <col min="3585" max="3585" width="6.25" style="545" customWidth="1"/>
    <col min="3586" max="3586" width="9.875" style="545" customWidth="1"/>
    <col min="3587" max="3587" width="4" style="545" customWidth="1"/>
    <col min="3588" max="3588" width="10.75" style="545" customWidth="1"/>
    <col min="3589" max="3589" width="8.5" style="545" customWidth="1"/>
    <col min="3590" max="3590" width="6" style="545" customWidth="1"/>
    <col min="3591" max="3591" width="10.5" style="545" customWidth="1"/>
    <col min="3592" max="3592" width="8.125" style="545" customWidth="1"/>
    <col min="3593" max="3593" width="5.5" style="545" customWidth="1"/>
    <col min="3594" max="3594" width="4.125" style="545" customWidth="1"/>
    <col min="3595" max="3595" width="3.75" style="545" customWidth="1"/>
    <col min="3596" max="3596" width="4.375" style="545" customWidth="1"/>
    <col min="3597" max="3597" width="4.625" style="545" customWidth="1"/>
    <col min="3598" max="3598" width="4.875" style="545" customWidth="1"/>
    <col min="3841" max="3841" width="6.25" style="545" customWidth="1"/>
    <col min="3842" max="3842" width="9.875" style="545" customWidth="1"/>
    <col min="3843" max="3843" width="4" style="545" customWidth="1"/>
    <col min="3844" max="3844" width="10.75" style="545" customWidth="1"/>
    <col min="3845" max="3845" width="8.5" style="545" customWidth="1"/>
    <col min="3846" max="3846" width="6" style="545" customWidth="1"/>
    <col min="3847" max="3847" width="10.5" style="545" customWidth="1"/>
    <col min="3848" max="3848" width="8.125" style="545" customWidth="1"/>
    <col min="3849" max="3849" width="5.5" style="545" customWidth="1"/>
    <col min="3850" max="3850" width="4.125" style="545" customWidth="1"/>
    <col min="3851" max="3851" width="3.75" style="545" customWidth="1"/>
    <col min="3852" max="3852" width="4.375" style="545" customWidth="1"/>
    <col min="3853" max="3853" width="4.625" style="545" customWidth="1"/>
    <col min="3854" max="3854" width="4.875" style="545" customWidth="1"/>
    <col min="4097" max="4097" width="6.25" style="545" customWidth="1"/>
    <col min="4098" max="4098" width="9.875" style="545" customWidth="1"/>
    <col min="4099" max="4099" width="4" style="545" customWidth="1"/>
    <col min="4100" max="4100" width="10.75" style="545" customWidth="1"/>
    <col min="4101" max="4101" width="8.5" style="545" customWidth="1"/>
    <col min="4102" max="4102" width="6" style="545" customWidth="1"/>
    <col min="4103" max="4103" width="10.5" style="545" customWidth="1"/>
    <col min="4104" max="4104" width="8.125" style="545" customWidth="1"/>
    <col min="4105" max="4105" width="5.5" style="545" customWidth="1"/>
    <col min="4106" max="4106" width="4.125" style="545" customWidth="1"/>
    <col min="4107" max="4107" width="3.75" style="545" customWidth="1"/>
    <col min="4108" max="4108" width="4.375" style="545" customWidth="1"/>
    <col min="4109" max="4109" width="4.625" style="545" customWidth="1"/>
    <col min="4110" max="4110" width="4.875" style="545" customWidth="1"/>
    <col min="4353" max="4353" width="6.25" style="545" customWidth="1"/>
    <col min="4354" max="4354" width="9.875" style="545" customWidth="1"/>
    <col min="4355" max="4355" width="4" style="545" customWidth="1"/>
    <col min="4356" max="4356" width="10.75" style="545" customWidth="1"/>
    <col min="4357" max="4357" width="8.5" style="545" customWidth="1"/>
    <col min="4358" max="4358" width="6" style="545" customWidth="1"/>
    <col min="4359" max="4359" width="10.5" style="545" customWidth="1"/>
    <col min="4360" max="4360" width="8.125" style="545" customWidth="1"/>
    <col min="4361" max="4361" width="5.5" style="545" customWidth="1"/>
    <col min="4362" max="4362" width="4.125" style="545" customWidth="1"/>
    <col min="4363" max="4363" width="3.75" style="545" customWidth="1"/>
    <col min="4364" max="4364" width="4.375" style="545" customWidth="1"/>
    <col min="4365" max="4365" width="4.625" style="545" customWidth="1"/>
    <col min="4366" max="4366" width="4.875" style="545" customWidth="1"/>
    <col min="4609" max="4609" width="6.25" style="545" customWidth="1"/>
    <col min="4610" max="4610" width="9.875" style="545" customWidth="1"/>
    <col min="4611" max="4611" width="4" style="545" customWidth="1"/>
    <col min="4612" max="4612" width="10.75" style="545" customWidth="1"/>
    <col min="4613" max="4613" width="8.5" style="545" customWidth="1"/>
    <col min="4614" max="4614" width="6" style="545" customWidth="1"/>
    <col min="4615" max="4615" width="10.5" style="545" customWidth="1"/>
    <col min="4616" max="4616" width="8.125" style="545" customWidth="1"/>
    <col min="4617" max="4617" width="5.5" style="545" customWidth="1"/>
    <col min="4618" max="4618" width="4.125" style="545" customWidth="1"/>
    <col min="4619" max="4619" width="3.75" style="545" customWidth="1"/>
    <col min="4620" max="4620" width="4.375" style="545" customWidth="1"/>
    <col min="4621" max="4621" width="4.625" style="545" customWidth="1"/>
    <col min="4622" max="4622" width="4.875" style="545" customWidth="1"/>
    <col min="4865" max="4865" width="6.25" style="545" customWidth="1"/>
    <col min="4866" max="4866" width="9.875" style="545" customWidth="1"/>
    <col min="4867" max="4867" width="4" style="545" customWidth="1"/>
    <col min="4868" max="4868" width="10.75" style="545" customWidth="1"/>
    <col min="4869" max="4869" width="8.5" style="545" customWidth="1"/>
    <col min="4870" max="4870" width="6" style="545" customWidth="1"/>
    <col min="4871" max="4871" width="10.5" style="545" customWidth="1"/>
    <col min="4872" max="4872" width="8.125" style="545" customWidth="1"/>
    <col min="4873" max="4873" width="5.5" style="545" customWidth="1"/>
    <col min="4874" max="4874" width="4.125" style="545" customWidth="1"/>
    <col min="4875" max="4875" width="3.75" style="545" customWidth="1"/>
    <col min="4876" max="4876" width="4.375" style="545" customWidth="1"/>
    <col min="4877" max="4877" width="4.625" style="545" customWidth="1"/>
    <col min="4878" max="4878" width="4.875" style="545" customWidth="1"/>
    <col min="5121" max="5121" width="6.25" style="545" customWidth="1"/>
    <col min="5122" max="5122" width="9.875" style="545" customWidth="1"/>
    <col min="5123" max="5123" width="4" style="545" customWidth="1"/>
    <col min="5124" max="5124" width="10.75" style="545" customWidth="1"/>
    <col min="5125" max="5125" width="8.5" style="545" customWidth="1"/>
    <col min="5126" max="5126" width="6" style="545" customWidth="1"/>
    <col min="5127" max="5127" width="10.5" style="545" customWidth="1"/>
    <col min="5128" max="5128" width="8.125" style="545" customWidth="1"/>
    <col min="5129" max="5129" width="5.5" style="545" customWidth="1"/>
    <col min="5130" max="5130" width="4.125" style="545" customWidth="1"/>
    <col min="5131" max="5131" width="3.75" style="545" customWidth="1"/>
    <col min="5132" max="5132" width="4.375" style="545" customWidth="1"/>
    <col min="5133" max="5133" width="4.625" style="545" customWidth="1"/>
    <col min="5134" max="5134" width="4.875" style="545" customWidth="1"/>
    <col min="5377" max="5377" width="6.25" style="545" customWidth="1"/>
    <col min="5378" max="5378" width="9.875" style="545" customWidth="1"/>
    <col min="5379" max="5379" width="4" style="545" customWidth="1"/>
    <col min="5380" max="5380" width="10.75" style="545" customWidth="1"/>
    <col min="5381" max="5381" width="8.5" style="545" customWidth="1"/>
    <col min="5382" max="5382" width="6" style="545" customWidth="1"/>
    <col min="5383" max="5383" width="10.5" style="545" customWidth="1"/>
    <col min="5384" max="5384" width="8.125" style="545" customWidth="1"/>
    <col min="5385" max="5385" width="5.5" style="545" customWidth="1"/>
    <col min="5386" max="5386" width="4.125" style="545" customWidth="1"/>
    <col min="5387" max="5387" width="3.75" style="545" customWidth="1"/>
    <col min="5388" max="5388" width="4.375" style="545" customWidth="1"/>
    <col min="5389" max="5389" width="4.625" style="545" customWidth="1"/>
    <col min="5390" max="5390" width="4.875" style="545" customWidth="1"/>
    <col min="5633" max="5633" width="6.25" style="545" customWidth="1"/>
    <col min="5634" max="5634" width="9.875" style="545" customWidth="1"/>
    <col min="5635" max="5635" width="4" style="545" customWidth="1"/>
    <col min="5636" max="5636" width="10.75" style="545" customWidth="1"/>
    <col min="5637" max="5637" width="8.5" style="545" customWidth="1"/>
    <col min="5638" max="5638" width="6" style="545" customWidth="1"/>
    <col min="5639" max="5639" width="10.5" style="545" customWidth="1"/>
    <col min="5640" max="5640" width="8.125" style="545" customWidth="1"/>
    <col min="5641" max="5641" width="5.5" style="545" customWidth="1"/>
    <col min="5642" max="5642" width="4.125" style="545" customWidth="1"/>
    <col min="5643" max="5643" width="3.75" style="545" customWidth="1"/>
    <col min="5644" max="5644" width="4.375" style="545" customWidth="1"/>
    <col min="5645" max="5645" width="4.625" style="545" customWidth="1"/>
    <col min="5646" max="5646" width="4.875" style="545" customWidth="1"/>
    <col min="5889" max="5889" width="6.25" style="545" customWidth="1"/>
    <col min="5890" max="5890" width="9.875" style="545" customWidth="1"/>
    <col min="5891" max="5891" width="4" style="545" customWidth="1"/>
    <col min="5892" max="5892" width="10.75" style="545" customWidth="1"/>
    <col min="5893" max="5893" width="8.5" style="545" customWidth="1"/>
    <col min="5894" max="5894" width="6" style="545" customWidth="1"/>
    <col min="5895" max="5895" width="10.5" style="545" customWidth="1"/>
    <col min="5896" max="5896" width="8.125" style="545" customWidth="1"/>
    <col min="5897" max="5897" width="5.5" style="545" customWidth="1"/>
    <col min="5898" max="5898" width="4.125" style="545" customWidth="1"/>
    <col min="5899" max="5899" width="3.75" style="545" customWidth="1"/>
    <col min="5900" max="5900" width="4.375" style="545" customWidth="1"/>
    <col min="5901" max="5901" width="4.625" style="545" customWidth="1"/>
    <col min="5902" max="5902" width="4.875" style="545" customWidth="1"/>
    <col min="6145" max="6145" width="6.25" style="545" customWidth="1"/>
    <col min="6146" max="6146" width="9.875" style="545" customWidth="1"/>
    <col min="6147" max="6147" width="4" style="545" customWidth="1"/>
    <col min="6148" max="6148" width="10.75" style="545" customWidth="1"/>
    <col min="6149" max="6149" width="8.5" style="545" customWidth="1"/>
    <col min="6150" max="6150" width="6" style="545" customWidth="1"/>
    <col min="6151" max="6151" width="10.5" style="545" customWidth="1"/>
    <col min="6152" max="6152" width="8.125" style="545" customWidth="1"/>
    <col min="6153" max="6153" width="5.5" style="545" customWidth="1"/>
    <col min="6154" max="6154" width="4.125" style="545" customWidth="1"/>
    <col min="6155" max="6155" width="3.75" style="545" customWidth="1"/>
    <col min="6156" max="6156" width="4.375" style="545" customWidth="1"/>
    <col min="6157" max="6157" width="4.625" style="545" customWidth="1"/>
    <col min="6158" max="6158" width="4.875" style="545" customWidth="1"/>
    <col min="6401" max="6401" width="6.25" style="545" customWidth="1"/>
    <col min="6402" max="6402" width="9.875" style="545" customWidth="1"/>
    <col min="6403" max="6403" width="4" style="545" customWidth="1"/>
    <col min="6404" max="6404" width="10.75" style="545" customWidth="1"/>
    <col min="6405" max="6405" width="8.5" style="545" customWidth="1"/>
    <col min="6406" max="6406" width="6" style="545" customWidth="1"/>
    <col min="6407" max="6407" width="10.5" style="545" customWidth="1"/>
    <col min="6408" max="6408" width="8.125" style="545" customWidth="1"/>
    <col min="6409" max="6409" width="5.5" style="545" customWidth="1"/>
    <col min="6410" max="6410" width="4.125" style="545" customWidth="1"/>
    <col min="6411" max="6411" width="3.75" style="545" customWidth="1"/>
    <col min="6412" max="6412" width="4.375" style="545" customWidth="1"/>
    <col min="6413" max="6413" width="4.625" style="545" customWidth="1"/>
    <col min="6414" max="6414" width="4.875" style="545" customWidth="1"/>
    <col min="6657" max="6657" width="6.25" style="545" customWidth="1"/>
    <col min="6658" max="6658" width="9.875" style="545" customWidth="1"/>
    <col min="6659" max="6659" width="4" style="545" customWidth="1"/>
    <col min="6660" max="6660" width="10.75" style="545" customWidth="1"/>
    <col min="6661" max="6661" width="8.5" style="545" customWidth="1"/>
    <col min="6662" max="6662" width="6" style="545" customWidth="1"/>
    <col min="6663" max="6663" width="10.5" style="545" customWidth="1"/>
    <col min="6664" max="6664" width="8.125" style="545" customWidth="1"/>
    <col min="6665" max="6665" width="5.5" style="545" customWidth="1"/>
    <col min="6666" max="6666" width="4.125" style="545" customWidth="1"/>
    <col min="6667" max="6667" width="3.75" style="545" customWidth="1"/>
    <col min="6668" max="6668" width="4.375" style="545" customWidth="1"/>
    <col min="6669" max="6669" width="4.625" style="545" customWidth="1"/>
    <col min="6670" max="6670" width="4.875" style="545" customWidth="1"/>
    <col min="6913" max="6913" width="6.25" style="545" customWidth="1"/>
    <col min="6914" max="6914" width="9.875" style="545" customWidth="1"/>
    <col min="6915" max="6915" width="4" style="545" customWidth="1"/>
    <col min="6916" max="6916" width="10.75" style="545" customWidth="1"/>
    <col min="6917" max="6917" width="8.5" style="545" customWidth="1"/>
    <col min="6918" max="6918" width="6" style="545" customWidth="1"/>
    <col min="6919" max="6919" width="10.5" style="545" customWidth="1"/>
    <col min="6920" max="6920" width="8.125" style="545" customWidth="1"/>
    <col min="6921" max="6921" width="5.5" style="545" customWidth="1"/>
    <col min="6922" max="6922" width="4.125" style="545" customWidth="1"/>
    <col min="6923" max="6923" width="3.75" style="545" customWidth="1"/>
    <col min="6924" max="6924" width="4.375" style="545" customWidth="1"/>
    <col min="6925" max="6925" width="4.625" style="545" customWidth="1"/>
    <col min="6926" max="6926" width="4.875" style="545" customWidth="1"/>
    <col min="7169" max="7169" width="6.25" style="545" customWidth="1"/>
    <col min="7170" max="7170" width="9.875" style="545" customWidth="1"/>
    <col min="7171" max="7171" width="4" style="545" customWidth="1"/>
    <col min="7172" max="7172" width="10.75" style="545" customWidth="1"/>
    <col min="7173" max="7173" width="8.5" style="545" customWidth="1"/>
    <col min="7174" max="7174" width="6" style="545" customWidth="1"/>
    <col min="7175" max="7175" width="10.5" style="545" customWidth="1"/>
    <col min="7176" max="7176" width="8.125" style="545" customWidth="1"/>
    <col min="7177" max="7177" width="5.5" style="545" customWidth="1"/>
    <col min="7178" max="7178" width="4.125" style="545" customWidth="1"/>
    <col min="7179" max="7179" width="3.75" style="545" customWidth="1"/>
    <col min="7180" max="7180" width="4.375" style="545" customWidth="1"/>
    <col min="7181" max="7181" width="4.625" style="545" customWidth="1"/>
    <col min="7182" max="7182" width="4.875" style="545" customWidth="1"/>
    <col min="7425" max="7425" width="6.25" style="545" customWidth="1"/>
    <col min="7426" max="7426" width="9.875" style="545" customWidth="1"/>
    <col min="7427" max="7427" width="4" style="545" customWidth="1"/>
    <col min="7428" max="7428" width="10.75" style="545" customWidth="1"/>
    <col min="7429" max="7429" width="8.5" style="545" customWidth="1"/>
    <col min="7430" max="7430" width="6" style="545" customWidth="1"/>
    <col min="7431" max="7431" width="10.5" style="545" customWidth="1"/>
    <col min="7432" max="7432" width="8.125" style="545" customWidth="1"/>
    <col min="7433" max="7433" width="5.5" style="545" customWidth="1"/>
    <col min="7434" max="7434" width="4.125" style="545" customWidth="1"/>
    <col min="7435" max="7435" width="3.75" style="545" customWidth="1"/>
    <col min="7436" max="7436" width="4.375" style="545" customWidth="1"/>
    <col min="7437" max="7437" width="4.625" style="545" customWidth="1"/>
    <col min="7438" max="7438" width="4.875" style="545" customWidth="1"/>
    <col min="7681" max="7681" width="6.25" style="545" customWidth="1"/>
    <col min="7682" max="7682" width="9.875" style="545" customWidth="1"/>
    <col min="7683" max="7683" width="4" style="545" customWidth="1"/>
    <col min="7684" max="7684" width="10.75" style="545" customWidth="1"/>
    <col min="7685" max="7685" width="8.5" style="545" customWidth="1"/>
    <col min="7686" max="7686" width="6" style="545" customWidth="1"/>
    <col min="7687" max="7687" width="10.5" style="545" customWidth="1"/>
    <col min="7688" max="7688" width="8.125" style="545" customWidth="1"/>
    <col min="7689" max="7689" width="5.5" style="545" customWidth="1"/>
    <col min="7690" max="7690" width="4.125" style="545" customWidth="1"/>
    <col min="7691" max="7691" width="3.75" style="545" customWidth="1"/>
    <col min="7692" max="7692" width="4.375" style="545" customWidth="1"/>
    <col min="7693" max="7693" width="4.625" style="545" customWidth="1"/>
    <col min="7694" max="7694" width="4.875" style="545" customWidth="1"/>
    <col min="7937" max="7937" width="6.25" style="545" customWidth="1"/>
    <col min="7938" max="7938" width="9.875" style="545" customWidth="1"/>
    <col min="7939" max="7939" width="4" style="545" customWidth="1"/>
    <col min="7940" max="7940" width="10.75" style="545" customWidth="1"/>
    <col min="7941" max="7941" width="8.5" style="545" customWidth="1"/>
    <col min="7942" max="7942" width="6" style="545" customWidth="1"/>
    <col min="7943" max="7943" width="10.5" style="545" customWidth="1"/>
    <col min="7944" max="7944" width="8.125" style="545" customWidth="1"/>
    <col min="7945" max="7945" width="5.5" style="545" customWidth="1"/>
    <col min="7946" max="7946" width="4.125" style="545" customWidth="1"/>
    <col min="7947" max="7947" width="3.75" style="545" customWidth="1"/>
    <col min="7948" max="7948" width="4.375" style="545" customWidth="1"/>
    <col min="7949" max="7949" width="4.625" style="545" customWidth="1"/>
    <col min="7950" max="7950" width="4.875" style="545" customWidth="1"/>
    <col min="8193" max="8193" width="6.25" style="545" customWidth="1"/>
    <col min="8194" max="8194" width="9.875" style="545" customWidth="1"/>
    <col min="8195" max="8195" width="4" style="545" customWidth="1"/>
    <col min="8196" max="8196" width="10.75" style="545" customWidth="1"/>
    <col min="8197" max="8197" width="8.5" style="545" customWidth="1"/>
    <col min="8198" max="8198" width="6" style="545" customWidth="1"/>
    <col min="8199" max="8199" width="10.5" style="545" customWidth="1"/>
    <col min="8200" max="8200" width="8.125" style="545" customWidth="1"/>
    <col min="8201" max="8201" width="5.5" style="545" customWidth="1"/>
    <col min="8202" max="8202" width="4.125" style="545" customWidth="1"/>
    <col min="8203" max="8203" width="3.75" style="545" customWidth="1"/>
    <col min="8204" max="8204" width="4.375" style="545" customWidth="1"/>
    <col min="8205" max="8205" width="4.625" style="545" customWidth="1"/>
    <col min="8206" max="8206" width="4.875" style="545" customWidth="1"/>
    <col min="8449" max="8449" width="6.25" style="545" customWidth="1"/>
    <col min="8450" max="8450" width="9.875" style="545" customWidth="1"/>
    <col min="8451" max="8451" width="4" style="545" customWidth="1"/>
    <col min="8452" max="8452" width="10.75" style="545" customWidth="1"/>
    <col min="8453" max="8453" width="8.5" style="545" customWidth="1"/>
    <col min="8454" max="8454" width="6" style="545" customWidth="1"/>
    <col min="8455" max="8455" width="10.5" style="545" customWidth="1"/>
    <col min="8456" max="8456" width="8.125" style="545" customWidth="1"/>
    <col min="8457" max="8457" width="5.5" style="545" customWidth="1"/>
    <col min="8458" max="8458" width="4.125" style="545" customWidth="1"/>
    <col min="8459" max="8459" width="3.75" style="545" customWidth="1"/>
    <col min="8460" max="8460" width="4.375" style="545" customWidth="1"/>
    <col min="8461" max="8461" width="4.625" style="545" customWidth="1"/>
    <col min="8462" max="8462" width="4.875" style="545" customWidth="1"/>
    <col min="8705" max="8705" width="6.25" style="545" customWidth="1"/>
    <col min="8706" max="8706" width="9.875" style="545" customWidth="1"/>
    <col min="8707" max="8707" width="4" style="545" customWidth="1"/>
    <col min="8708" max="8708" width="10.75" style="545" customWidth="1"/>
    <col min="8709" max="8709" width="8.5" style="545" customWidth="1"/>
    <col min="8710" max="8710" width="6" style="545" customWidth="1"/>
    <col min="8711" max="8711" width="10.5" style="545" customWidth="1"/>
    <col min="8712" max="8712" width="8.125" style="545" customWidth="1"/>
    <col min="8713" max="8713" width="5.5" style="545" customWidth="1"/>
    <col min="8714" max="8714" width="4.125" style="545" customWidth="1"/>
    <col min="8715" max="8715" width="3.75" style="545" customWidth="1"/>
    <col min="8716" max="8716" width="4.375" style="545" customWidth="1"/>
    <col min="8717" max="8717" width="4.625" style="545" customWidth="1"/>
    <col min="8718" max="8718" width="4.875" style="545" customWidth="1"/>
    <col min="8961" max="8961" width="6.25" style="545" customWidth="1"/>
    <col min="8962" max="8962" width="9.875" style="545" customWidth="1"/>
    <col min="8963" max="8963" width="4" style="545" customWidth="1"/>
    <col min="8964" max="8964" width="10.75" style="545" customWidth="1"/>
    <col min="8965" max="8965" width="8.5" style="545" customWidth="1"/>
    <col min="8966" max="8966" width="6" style="545" customWidth="1"/>
    <col min="8967" max="8967" width="10.5" style="545" customWidth="1"/>
    <col min="8968" max="8968" width="8.125" style="545" customWidth="1"/>
    <col min="8969" max="8969" width="5.5" style="545" customWidth="1"/>
    <col min="8970" max="8970" width="4.125" style="545" customWidth="1"/>
    <col min="8971" max="8971" width="3.75" style="545" customWidth="1"/>
    <col min="8972" max="8972" width="4.375" style="545" customWidth="1"/>
    <col min="8973" max="8973" width="4.625" style="545" customWidth="1"/>
    <col min="8974" max="8974" width="4.875" style="545" customWidth="1"/>
    <col min="9217" max="9217" width="6.25" style="545" customWidth="1"/>
    <col min="9218" max="9218" width="9.875" style="545" customWidth="1"/>
    <col min="9219" max="9219" width="4" style="545" customWidth="1"/>
    <col min="9220" max="9220" width="10.75" style="545" customWidth="1"/>
    <col min="9221" max="9221" width="8.5" style="545" customWidth="1"/>
    <col min="9222" max="9222" width="6" style="545" customWidth="1"/>
    <col min="9223" max="9223" width="10.5" style="545" customWidth="1"/>
    <col min="9224" max="9224" width="8.125" style="545" customWidth="1"/>
    <col min="9225" max="9225" width="5.5" style="545" customWidth="1"/>
    <col min="9226" max="9226" width="4.125" style="545" customWidth="1"/>
    <col min="9227" max="9227" width="3.75" style="545" customWidth="1"/>
    <col min="9228" max="9228" width="4.375" style="545" customWidth="1"/>
    <col min="9229" max="9229" width="4.625" style="545" customWidth="1"/>
    <col min="9230" max="9230" width="4.875" style="545" customWidth="1"/>
    <col min="9473" max="9473" width="6.25" style="545" customWidth="1"/>
    <col min="9474" max="9474" width="9.875" style="545" customWidth="1"/>
    <col min="9475" max="9475" width="4" style="545" customWidth="1"/>
    <col min="9476" max="9476" width="10.75" style="545" customWidth="1"/>
    <col min="9477" max="9477" width="8.5" style="545" customWidth="1"/>
    <col min="9478" max="9478" width="6" style="545" customWidth="1"/>
    <col min="9479" max="9479" width="10.5" style="545" customWidth="1"/>
    <col min="9480" max="9480" width="8.125" style="545" customWidth="1"/>
    <col min="9481" max="9481" width="5.5" style="545" customWidth="1"/>
    <col min="9482" max="9482" width="4.125" style="545" customWidth="1"/>
    <col min="9483" max="9483" width="3.75" style="545" customWidth="1"/>
    <col min="9484" max="9484" width="4.375" style="545" customWidth="1"/>
    <col min="9485" max="9485" width="4.625" style="545" customWidth="1"/>
    <col min="9486" max="9486" width="4.875" style="545" customWidth="1"/>
    <col min="9729" max="9729" width="6.25" style="545" customWidth="1"/>
    <col min="9730" max="9730" width="9.875" style="545" customWidth="1"/>
    <col min="9731" max="9731" width="4" style="545" customWidth="1"/>
    <col min="9732" max="9732" width="10.75" style="545" customWidth="1"/>
    <col min="9733" max="9733" width="8.5" style="545" customWidth="1"/>
    <col min="9734" max="9734" width="6" style="545" customWidth="1"/>
    <col min="9735" max="9735" width="10.5" style="545" customWidth="1"/>
    <col min="9736" max="9736" width="8.125" style="545" customWidth="1"/>
    <col min="9737" max="9737" width="5.5" style="545" customWidth="1"/>
    <col min="9738" max="9738" width="4.125" style="545" customWidth="1"/>
    <col min="9739" max="9739" width="3.75" style="545" customWidth="1"/>
    <col min="9740" max="9740" width="4.375" style="545" customWidth="1"/>
    <col min="9741" max="9741" width="4.625" style="545" customWidth="1"/>
    <col min="9742" max="9742" width="4.875" style="545" customWidth="1"/>
    <col min="9985" max="9985" width="6.25" style="545" customWidth="1"/>
    <col min="9986" max="9986" width="9.875" style="545" customWidth="1"/>
    <col min="9987" max="9987" width="4" style="545" customWidth="1"/>
    <col min="9988" max="9988" width="10.75" style="545" customWidth="1"/>
    <col min="9989" max="9989" width="8.5" style="545" customWidth="1"/>
    <col min="9990" max="9990" width="6" style="545" customWidth="1"/>
    <col min="9991" max="9991" width="10.5" style="545" customWidth="1"/>
    <col min="9992" max="9992" width="8.125" style="545" customWidth="1"/>
    <col min="9993" max="9993" width="5.5" style="545" customWidth="1"/>
    <col min="9994" max="9994" width="4.125" style="545" customWidth="1"/>
    <col min="9995" max="9995" width="3.75" style="545" customWidth="1"/>
    <col min="9996" max="9996" width="4.375" style="545" customWidth="1"/>
    <col min="9997" max="9997" width="4.625" style="545" customWidth="1"/>
    <col min="9998" max="9998" width="4.875" style="545" customWidth="1"/>
    <col min="10241" max="10241" width="6.25" style="545" customWidth="1"/>
    <col min="10242" max="10242" width="9.875" style="545" customWidth="1"/>
    <col min="10243" max="10243" width="4" style="545" customWidth="1"/>
    <col min="10244" max="10244" width="10.75" style="545" customWidth="1"/>
    <col min="10245" max="10245" width="8.5" style="545" customWidth="1"/>
    <col min="10246" max="10246" width="6" style="545" customWidth="1"/>
    <col min="10247" max="10247" width="10.5" style="545" customWidth="1"/>
    <col min="10248" max="10248" width="8.125" style="545" customWidth="1"/>
    <col min="10249" max="10249" width="5.5" style="545" customWidth="1"/>
    <col min="10250" max="10250" width="4.125" style="545" customWidth="1"/>
    <col min="10251" max="10251" width="3.75" style="545" customWidth="1"/>
    <col min="10252" max="10252" width="4.375" style="545" customWidth="1"/>
    <col min="10253" max="10253" width="4.625" style="545" customWidth="1"/>
    <col min="10254" max="10254" width="4.875" style="545" customWidth="1"/>
    <col min="10497" max="10497" width="6.25" style="545" customWidth="1"/>
    <col min="10498" max="10498" width="9.875" style="545" customWidth="1"/>
    <col min="10499" max="10499" width="4" style="545" customWidth="1"/>
    <col min="10500" max="10500" width="10.75" style="545" customWidth="1"/>
    <col min="10501" max="10501" width="8.5" style="545" customWidth="1"/>
    <col min="10502" max="10502" width="6" style="545" customWidth="1"/>
    <col min="10503" max="10503" width="10.5" style="545" customWidth="1"/>
    <col min="10504" max="10504" width="8.125" style="545" customWidth="1"/>
    <col min="10505" max="10505" width="5.5" style="545" customWidth="1"/>
    <col min="10506" max="10506" width="4.125" style="545" customWidth="1"/>
    <col min="10507" max="10507" width="3.75" style="545" customWidth="1"/>
    <col min="10508" max="10508" width="4.375" style="545" customWidth="1"/>
    <col min="10509" max="10509" width="4.625" style="545" customWidth="1"/>
    <col min="10510" max="10510" width="4.875" style="545" customWidth="1"/>
    <col min="10753" max="10753" width="6.25" style="545" customWidth="1"/>
    <col min="10754" max="10754" width="9.875" style="545" customWidth="1"/>
    <col min="10755" max="10755" width="4" style="545" customWidth="1"/>
    <col min="10756" max="10756" width="10.75" style="545" customWidth="1"/>
    <col min="10757" max="10757" width="8.5" style="545" customWidth="1"/>
    <col min="10758" max="10758" width="6" style="545" customWidth="1"/>
    <col min="10759" max="10759" width="10.5" style="545" customWidth="1"/>
    <col min="10760" max="10760" width="8.125" style="545" customWidth="1"/>
    <col min="10761" max="10761" width="5.5" style="545" customWidth="1"/>
    <col min="10762" max="10762" width="4.125" style="545" customWidth="1"/>
    <col min="10763" max="10763" width="3.75" style="545" customWidth="1"/>
    <col min="10764" max="10764" width="4.375" style="545" customWidth="1"/>
    <col min="10765" max="10765" width="4.625" style="545" customWidth="1"/>
    <col min="10766" max="10766" width="4.875" style="545" customWidth="1"/>
    <col min="11009" max="11009" width="6.25" style="545" customWidth="1"/>
    <col min="11010" max="11010" width="9.875" style="545" customWidth="1"/>
    <col min="11011" max="11011" width="4" style="545" customWidth="1"/>
    <col min="11012" max="11012" width="10.75" style="545" customWidth="1"/>
    <col min="11013" max="11013" width="8.5" style="545" customWidth="1"/>
    <col min="11014" max="11014" width="6" style="545" customWidth="1"/>
    <col min="11015" max="11015" width="10.5" style="545" customWidth="1"/>
    <col min="11016" max="11016" width="8.125" style="545" customWidth="1"/>
    <col min="11017" max="11017" width="5.5" style="545" customWidth="1"/>
    <col min="11018" max="11018" width="4.125" style="545" customWidth="1"/>
    <col min="11019" max="11019" width="3.75" style="545" customWidth="1"/>
    <col min="11020" max="11020" width="4.375" style="545" customWidth="1"/>
    <col min="11021" max="11021" width="4.625" style="545" customWidth="1"/>
    <col min="11022" max="11022" width="4.875" style="545" customWidth="1"/>
    <col min="11265" max="11265" width="6.25" style="545" customWidth="1"/>
    <col min="11266" max="11266" width="9.875" style="545" customWidth="1"/>
    <col min="11267" max="11267" width="4" style="545" customWidth="1"/>
    <col min="11268" max="11268" width="10.75" style="545" customWidth="1"/>
    <col min="11269" max="11269" width="8.5" style="545" customWidth="1"/>
    <col min="11270" max="11270" width="6" style="545" customWidth="1"/>
    <col min="11271" max="11271" width="10.5" style="545" customWidth="1"/>
    <col min="11272" max="11272" width="8.125" style="545" customWidth="1"/>
    <col min="11273" max="11273" width="5.5" style="545" customWidth="1"/>
    <col min="11274" max="11274" width="4.125" style="545" customWidth="1"/>
    <col min="11275" max="11275" width="3.75" style="545" customWidth="1"/>
    <col min="11276" max="11276" width="4.375" style="545" customWidth="1"/>
    <col min="11277" max="11277" width="4.625" style="545" customWidth="1"/>
    <col min="11278" max="11278" width="4.875" style="545" customWidth="1"/>
    <col min="11521" max="11521" width="6.25" style="545" customWidth="1"/>
    <col min="11522" max="11522" width="9.875" style="545" customWidth="1"/>
    <col min="11523" max="11523" width="4" style="545" customWidth="1"/>
    <col min="11524" max="11524" width="10.75" style="545" customWidth="1"/>
    <col min="11525" max="11525" width="8.5" style="545" customWidth="1"/>
    <col min="11526" max="11526" width="6" style="545" customWidth="1"/>
    <col min="11527" max="11527" width="10.5" style="545" customWidth="1"/>
    <col min="11528" max="11528" width="8.125" style="545" customWidth="1"/>
    <col min="11529" max="11529" width="5.5" style="545" customWidth="1"/>
    <col min="11530" max="11530" width="4.125" style="545" customWidth="1"/>
    <col min="11531" max="11531" width="3.75" style="545" customWidth="1"/>
    <col min="11532" max="11532" width="4.375" style="545" customWidth="1"/>
    <col min="11533" max="11533" width="4.625" style="545" customWidth="1"/>
    <col min="11534" max="11534" width="4.875" style="545" customWidth="1"/>
    <col min="11777" max="11777" width="6.25" style="545" customWidth="1"/>
    <col min="11778" max="11778" width="9.875" style="545" customWidth="1"/>
    <col min="11779" max="11779" width="4" style="545" customWidth="1"/>
    <col min="11780" max="11780" width="10.75" style="545" customWidth="1"/>
    <col min="11781" max="11781" width="8.5" style="545" customWidth="1"/>
    <col min="11782" max="11782" width="6" style="545" customWidth="1"/>
    <col min="11783" max="11783" width="10.5" style="545" customWidth="1"/>
    <col min="11784" max="11784" width="8.125" style="545" customWidth="1"/>
    <col min="11785" max="11785" width="5.5" style="545" customWidth="1"/>
    <col min="11786" max="11786" width="4.125" style="545" customWidth="1"/>
    <col min="11787" max="11787" width="3.75" style="545" customWidth="1"/>
    <col min="11788" max="11788" width="4.375" style="545" customWidth="1"/>
    <col min="11789" max="11789" width="4.625" style="545" customWidth="1"/>
    <col min="11790" max="11790" width="4.875" style="545" customWidth="1"/>
    <col min="12033" max="12033" width="6.25" style="545" customWidth="1"/>
    <col min="12034" max="12034" width="9.875" style="545" customWidth="1"/>
    <col min="12035" max="12035" width="4" style="545" customWidth="1"/>
    <col min="12036" max="12036" width="10.75" style="545" customWidth="1"/>
    <col min="12037" max="12037" width="8.5" style="545" customWidth="1"/>
    <col min="12038" max="12038" width="6" style="545" customWidth="1"/>
    <col min="12039" max="12039" width="10.5" style="545" customWidth="1"/>
    <col min="12040" max="12040" width="8.125" style="545" customWidth="1"/>
    <col min="12041" max="12041" width="5.5" style="545" customWidth="1"/>
    <col min="12042" max="12042" width="4.125" style="545" customWidth="1"/>
    <col min="12043" max="12043" width="3.75" style="545" customWidth="1"/>
    <col min="12044" max="12044" width="4.375" style="545" customWidth="1"/>
    <col min="12045" max="12045" width="4.625" style="545" customWidth="1"/>
    <col min="12046" max="12046" width="4.875" style="545" customWidth="1"/>
    <col min="12289" max="12289" width="6.25" style="545" customWidth="1"/>
    <col min="12290" max="12290" width="9.875" style="545" customWidth="1"/>
    <col min="12291" max="12291" width="4" style="545" customWidth="1"/>
    <col min="12292" max="12292" width="10.75" style="545" customWidth="1"/>
    <col min="12293" max="12293" width="8.5" style="545" customWidth="1"/>
    <col min="12294" max="12294" width="6" style="545" customWidth="1"/>
    <col min="12295" max="12295" width="10.5" style="545" customWidth="1"/>
    <col min="12296" max="12296" width="8.125" style="545" customWidth="1"/>
    <col min="12297" max="12297" width="5.5" style="545" customWidth="1"/>
    <col min="12298" max="12298" width="4.125" style="545" customWidth="1"/>
    <col min="12299" max="12299" width="3.75" style="545" customWidth="1"/>
    <col min="12300" max="12300" width="4.375" style="545" customWidth="1"/>
    <col min="12301" max="12301" width="4.625" style="545" customWidth="1"/>
    <col min="12302" max="12302" width="4.875" style="545" customWidth="1"/>
    <col min="12545" max="12545" width="6.25" style="545" customWidth="1"/>
    <col min="12546" max="12546" width="9.875" style="545" customWidth="1"/>
    <col min="12547" max="12547" width="4" style="545" customWidth="1"/>
    <col min="12548" max="12548" width="10.75" style="545" customWidth="1"/>
    <col min="12549" max="12549" width="8.5" style="545" customWidth="1"/>
    <col min="12550" max="12550" width="6" style="545" customWidth="1"/>
    <col min="12551" max="12551" width="10.5" style="545" customWidth="1"/>
    <col min="12552" max="12552" width="8.125" style="545" customWidth="1"/>
    <col min="12553" max="12553" width="5.5" style="545" customWidth="1"/>
    <col min="12554" max="12554" width="4.125" style="545" customWidth="1"/>
    <col min="12555" max="12555" width="3.75" style="545" customWidth="1"/>
    <col min="12556" max="12556" width="4.375" style="545" customWidth="1"/>
    <col min="12557" max="12557" width="4.625" style="545" customWidth="1"/>
    <col min="12558" max="12558" width="4.875" style="545" customWidth="1"/>
    <col min="12801" max="12801" width="6.25" style="545" customWidth="1"/>
    <col min="12802" max="12802" width="9.875" style="545" customWidth="1"/>
    <col min="12803" max="12803" width="4" style="545" customWidth="1"/>
    <col min="12804" max="12804" width="10.75" style="545" customWidth="1"/>
    <col min="12805" max="12805" width="8.5" style="545" customWidth="1"/>
    <col min="12806" max="12806" width="6" style="545" customWidth="1"/>
    <col min="12807" max="12807" width="10.5" style="545" customWidth="1"/>
    <col min="12808" max="12808" width="8.125" style="545" customWidth="1"/>
    <col min="12809" max="12809" width="5.5" style="545" customWidth="1"/>
    <col min="12810" max="12810" width="4.125" style="545" customWidth="1"/>
    <col min="12811" max="12811" width="3.75" style="545" customWidth="1"/>
    <col min="12812" max="12812" width="4.375" style="545" customWidth="1"/>
    <col min="12813" max="12813" width="4.625" style="545" customWidth="1"/>
    <col min="12814" max="12814" width="4.875" style="545" customWidth="1"/>
    <col min="13057" max="13057" width="6.25" style="545" customWidth="1"/>
    <col min="13058" max="13058" width="9.875" style="545" customWidth="1"/>
    <col min="13059" max="13059" width="4" style="545" customWidth="1"/>
    <col min="13060" max="13060" width="10.75" style="545" customWidth="1"/>
    <col min="13061" max="13061" width="8.5" style="545" customWidth="1"/>
    <col min="13062" max="13062" width="6" style="545" customWidth="1"/>
    <col min="13063" max="13063" width="10.5" style="545" customWidth="1"/>
    <col min="13064" max="13064" width="8.125" style="545" customWidth="1"/>
    <col min="13065" max="13065" width="5.5" style="545" customWidth="1"/>
    <col min="13066" max="13066" width="4.125" style="545" customWidth="1"/>
    <col min="13067" max="13067" width="3.75" style="545" customWidth="1"/>
    <col min="13068" max="13068" width="4.375" style="545" customWidth="1"/>
    <col min="13069" max="13069" width="4.625" style="545" customWidth="1"/>
    <col min="13070" max="13070" width="4.875" style="545" customWidth="1"/>
    <col min="13313" max="13313" width="6.25" style="545" customWidth="1"/>
    <col min="13314" max="13314" width="9.875" style="545" customWidth="1"/>
    <col min="13315" max="13315" width="4" style="545" customWidth="1"/>
    <col min="13316" max="13316" width="10.75" style="545" customWidth="1"/>
    <col min="13317" max="13317" width="8.5" style="545" customWidth="1"/>
    <col min="13318" max="13318" width="6" style="545" customWidth="1"/>
    <col min="13319" max="13319" width="10.5" style="545" customWidth="1"/>
    <col min="13320" max="13320" width="8.125" style="545" customWidth="1"/>
    <col min="13321" max="13321" width="5.5" style="545" customWidth="1"/>
    <col min="13322" max="13322" width="4.125" style="545" customWidth="1"/>
    <col min="13323" max="13323" width="3.75" style="545" customWidth="1"/>
    <col min="13324" max="13324" width="4.375" style="545" customWidth="1"/>
    <col min="13325" max="13325" width="4.625" style="545" customWidth="1"/>
    <col min="13326" max="13326" width="4.875" style="545" customWidth="1"/>
    <col min="13569" max="13569" width="6.25" style="545" customWidth="1"/>
    <col min="13570" max="13570" width="9.875" style="545" customWidth="1"/>
    <col min="13571" max="13571" width="4" style="545" customWidth="1"/>
    <col min="13572" max="13572" width="10.75" style="545" customWidth="1"/>
    <col min="13573" max="13573" width="8.5" style="545" customWidth="1"/>
    <col min="13574" max="13574" width="6" style="545" customWidth="1"/>
    <col min="13575" max="13575" width="10.5" style="545" customWidth="1"/>
    <col min="13576" max="13576" width="8.125" style="545" customWidth="1"/>
    <col min="13577" max="13577" width="5.5" style="545" customWidth="1"/>
    <col min="13578" max="13578" width="4.125" style="545" customWidth="1"/>
    <col min="13579" max="13579" width="3.75" style="545" customWidth="1"/>
    <col min="13580" max="13580" width="4.375" style="545" customWidth="1"/>
    <col min="13581" max="13581" width="4.625" style="545" customWidth="1"/>
    <col min="13582" max="13582" width="4.875" style="545" customWidth="1"/>
    <col min="13825" max="13825" width="6.25" style="545" customWidth="1"/>
    <col min="13826" max="13826" width="9.875" style="545" customWidth="1"/>
    <col min="13827" max="13827" width="4" style="545" customWidth="1"/>
    <col min="13828" max="13828" width="10.75" style="545" customWidth="1"/>
    <col min="13829" max="13829" width="8.5" style="545" customWidth="1"/>
    <col min="13830" max="13830" width="6" style="545" customWidth="1"/>
    <col min="13831" max="13831" width="10.5" style="545" customWidth="1"/>
    <col min="13832" max="13832" width="8.125" style="545" customWidth="1"/>
    <col min="13833" max="13833" width="5.5" style="545" customWidth="1"/>
    <col min="13834" max="13834" width="4.125" style="545" customWidth="1"/>
    <col min="13835" max="13835" width="3.75" style="545" customWidth="1"/>
    <col min="13836" max="13836" width="4.375" style="545" customWidth="1"/>
    <col min="13837" max="13837" width="4.625" style="545" customWidth="1"/>
    <col min="13838" max="13838" width="4.875" style="545" customWidth="1"/>
    <col min="14081" max="14081" width="6.25" style="545" customWidth="1"/>
    <col min="14082" max="14082" width="9.875" style="545" customWidth="1"/>
    <col min="14083" max="14083" width="4" style="545" customWidth="1"/>
    <col min="14084" max="14084" width="10.75" style="545" customWidth="1"/>
    <col min="14085" max="14085" width="8.5" style="545" customWidth="1"/>
    <col min="14086" max="14086" width="6" style="545" customWidth="1"/>
    <col min="14087" max="14087" width="10.5" style="545" customWidth="1"/>
    <col min="14088" max="14088" width="8.125" style="545" customWidth="1"/>
    <col min="14089" max="14089" width="5.5" style="545" customWidth="1"/>
    <col min="14090" max="14090" width="4.125" style="545" customWidth="1"/>
    <col min="14091" max="14091" width="3.75" style="545" customWidth="1"/>
    <col min="14092" max="14092" width="4.375" style="545" customWidth="1"/>
    <col min="14093" max="14093" width="4.625" style="545" customWidth="1"/>
    <col min="14094" max="14094" width="4.875" style="545" customWidth="1"/>
    <col min="14337" max="14337" width="6.25" style="545" customWidth="1"/>
    <col min="14338" max="14338" width="9.875" style="545" customWidth="1"/>
    <col min="14339" max="14339" width="4" style="545" customWidth="1"/>
    <col min="14340" max="14340" width="10.75" style="545" customWidth="1"/>
    <col min="14341" max="14341" width="8.5" style="545" customWidth="1"/>
    <col min="14342" max="14342" width="6" style="545" customWidth="1"/>
    <col min="14343" max="14343" width="10.5" style="545" customWidth="1"/>
    <col min="14344" max="14344" width="8.125" style="545" customWidth="1"/>
    <col min="14345" max="14345" width="5.5" style="545" customWidth="1"/>
    <col min="14346" max="14346" width="4.125" style="545" customWidth="1"/>
    <col min="14347" max="14347" width="3.75" style="545" customWidth="1"/>
    <col min="14348" max="14348" width="4.375" style="545" customWidth="1"/>
    <col min="14349" max="14349" width="4.625" style="545" customWidth="1"/>
    <col min="14350" max="14350" width="4.875" style="545" customWidth="1"/>
    <col min="14593" max="14593" width="6.25" style="545" customWidth="1"/>
    <col min="14594" max="14594" width="9.875" style="545" customWidth="1"/>
    <col min="14595" max="14595" width="4" style="545" customWidth="1"/>
    <col min="14596" max="14596" width="10.75" style="545" customWidth="1"/>
    <col min="14597" max="14597" width="8.5" style="545" customWidth="1"/>
    <col min="14598" max="14598" width="6" style="545" customWidth="1"/>
    <col min="14599" max="14599" width="10.5" style="545" customWidth="1"/>
    <col min="14600" max="14600" width="8.125" style="545" customWidth="1"/>
    <col min="14601" max="14601" width="5.5" style="545" customWidth="1"/>
    <col min="14602" max="14602" width="4.125" style="545" customWidth="1"/>
    <col min="14603" max="14603" width="3.75" style="545" customWidth="1"/>
    <col min="14604" max="14604" width="4.375" style="545" customWidth="1"/>
    <col min="14605" max="14605" width="4.625" style="545" customWidth="1"/>
    <col min="14606" max="14606" width="4.875" style="545" customWidth="1"/>
    <col min="14849" max="14849" width="6.25" style="545" customWidth="1"/>
    <col min="14850" max="14850" width="9.875" style="545" customWidth="1"/>
    <col min="14851" max="14851" width="4" style="545" customWidth="1"/>
    <col min="14852" max="14852" width="10.75" style="545" customWidth="1"/>
    <col min="14853" max="14853" width="8.5" style="545" customWidth="1"/>
    <col min="14854" max="14854" width="6" style="545" customWidth="1"/>
    <col min="14855" max="14855" width="10.5" style="545" customWidth="1"/>
    <col min="14856" max="14856" width="8.125" style="545" customWidth="1"/>
    <col min="14857" max="14857" width="5.5" style="545" customWidth="1"/>
    <col min="14858" max="14858" width="4.125" style="545" customWidth="1"/>
    <col min="14859" max="14859" width="3.75" style="545" customWidth="1"/>
    <col min="14860" max="14860" width="4.375" style="545" customWidth="1"/>
    <col min="14861" max="14861" width="4.625" style="545" customWidth="1"/>
    <col min="14862" max="14862" width="4.875" style="545" customWidth="1"/>
    <col min="15105" max="15105" width="6.25" style="545" customWidth="1"/>
    <col min="15106" max="15106" width="9.875" style="545" customWidth="1"/>
    <col min="15107" max="15107" width="4" style="545" customWidth="1"/>
    <col min="15108" max="15108" width="10.75" style="545" customWidth="1"/>
    <col min="15109" max="15109" width="8.5" style="545" customWidth="1"/>
    <col min="15110" max="15110" width="6" style="545" customWidth="1"/>
    <col min="15111" max="15111" width="10.5" style="545" customWidth="1"/>
    <col min="15112" max="15112" width="8.125" style="545" customWidth="1"/>
    <col min="15113" max="15113" width="5.5" style="545" customWidth="1"/>
    <col min="15114" max="15114" width="4.125" style="545" customWidth="1"/>
    <col min="15115" max="15115" width="3.75" style="545" customWidth="1"/>
    <col min="15116" max="15116" width="4.375" style="545" customWidth="1"/>
    <col min="15117" max="15117" width="4.625" style="545" customWidth="1"/>
    <col min="15118" max="15118" width="4.875" style="545" customWidth="1"/>
    <col min="15361" max="15361" width="6.25" style="545" customWidth="1"/>
    <col min="15362" max="15362" width="9.875" style="545" customWidth="1"/>
    <col min="15363" max="15363" width="4" style="545" customWidth="1"/>
    <col min="15364" max="15364" width="10.75" style="545" customWidth="1"/>
    <col min="15365" max="15365" width="8.5" style="545" customWidth="1"/>
    <col min="15366" max="15366" width="6" style="545" customWidth="1"/>
    <col min="15367" max="15367" width="10.5" style="545" customWidth="1"/>
    <col min="15368" max="15368" width="8.125" style="545" customWidth="1"/>
    <col min="15369" max="15369" width="5.5" style="545" customWidth="1"/>
    <col min="15370" max="15370" width="4.125" style="545" customWidth="1"/>
    <col min="15371" max="15371" width="3.75" style="545" customWidth="1"/>
    <col min="15372" max="15372" width="4.375" style="545" customWidth="1"/>
    <col min="15373" max="15373" width="4.625" style="545" customWidth="1"/>
    <col min="15374" max="15374" width="4.875" style="545" customWidth="1"/>
    <col min="15617" max="15617" width="6.25" style="545" customWidth="1"/>
    <col min="15618" max="15618" width="9.875" style="545" customWidth="1"/>
    <col min="15619" max="15619" width="4" style="545" customWidth="1"/>
    <col min="15620" max="15620" width="10.75" style="545" customWidth="1"/>
    <col min="15621" max="15621" width="8.5" style="545" customWidth="1"/>
    <col min="15622" max="15622" width="6" style="545" customWidth="1"/>
    <col min="15623" max="15623" width="10.5" style="545" customWidth="1"/>
    <col min="15624" max="15624" width="8.125" style="545" customWidth="1"/>
    <col min="15625" max="15625" width="5.5" style="545" customWidth="1"/>
    <col min="15626" max="15626" width="4.125" style="545" customWidth="1"/>
    <col min="15627" max="15627" width="3.75" style="545" customWidth="1"/>
    <col min="15628" max="15628" width="4.375" style="545" customWidth="1"/>
    <col min="15629" max="15629" width="4.625" style="545" customWidth="1"/>
    <col min="15630" max="15630" width="4.875" style="545" customWidth="1"/>
    <col min="15873" max="15873" width="6.25" style="545" customWidth="1"/>
    <col min="15874" max="15874" width="9.875" style="545" customWidth="1"/>
    <col min="15875" max="15875" width="4" style="545" customWidth="1"/>
    <col min="15876" max="15876" width="10.75" style="545" customWidth="1"/>
    <col min="15877" max="15877" width="8.5" style="545" customWidth="1"/>
    <col min="15878" max="15878" width="6" style="545" customWidth="1"/>
    <col min="15879" max="15879" width="10.5" style="545" customWidth="1"/>
    <col min="15880" max="15880" width="8.125" style="545" customWidth="1"/>
    <col min="15881" max="15881" width="5.5" style="545" customWidth="1"/>
    <col min="15882" max="15882" width="4.125" style="545" customWidth="1"/>
    <col min="15883" max="15883" width="3.75" style="545" customWidth="1"/>
    <col min="15884" max="15884" width="4.375" style="545" customWidth="1"/>
    <col min="15885" max="15885" width="4.625" style="545" customWidth="1"/>
    <col min="15886" max="15886" width="4.875" style="545" customWidth="1"/>
    <col min="16129" max="16129" width="6.25" style="545" customWidth="1"/>
    <col min="16130" max="16130" width="9.875" style="545" customWidth="1"/>
    <col min="16131" max="16131" width="4" style="545" customWidth="1"/>
    <col min="16132" max="16132" width="10.75" style="545" customWidth="1"/>
    <col min="16133" max="16133" width="8.5" style="545" customWidth="1"/>
    <col min="16134" max="16134" width="6" style="545" customWidth="1"/>
    <col min="16135" max="16135" width="10.5" style="545" customWidth="1"/>
    <col min="16136" max="16136" width="8.125" style="545" customWidth="1"/>
    <col min="16137" max="16137" width="5.5" style="545" customWidth="1"/>
    <col min="16138" max="16138" width="4.125" style="545" customWidth="1"/>
    <col min="16139" max="16139" width="3.75" style="545" customWidth="1"/>
    <col min="16140" max="16140" width="4.375" style="545" customWidth="1"/>
    <col min="16141" max="16141" width="4.625" style="545" customWidth="1"/>
    <col min="16142" max="16142" width="4.875" style="545" customWidth="1"/>
  </cols>
  <sheetData>
    <row r="1" spans="1:39" ht="18" customHeight="1" x14ac:dyDescent="0.25">
      <c r="A1" s="933" t="str">
        <f>CONCATENATE(輸入!S18,輸入!T18,CHAR(10),輸入!S19,輸入!T19)</f>
        <v>臺北市政府警察局
信義分局</v>
      </c>
      <c r="B1" s="579"/>
      <c r="C1" s="579"/>
      <c r="D1" s="927" t="s">
        <v>648</v>
      </c>
      <c r="E1" s="579"/>
      <c r="F1" s="579"/>
      <c r="G1" s="953" t="s">
        <v>649</v>
      </c>
      <c r="H1" s="936" t="s">
        <v>650</v>
      </c>
      <c r="I1" s="954" t="str">
        <f>LEFT(下拉用!$J$5,10)</f>
        <v>年月日時分</v>
      </c>
      <c r="J1" s="579"/>
      <c r="K1" s="579"/>
      <c r="L1" s="579"/>
      <c r="M1" s="579"/>
      <c r="N1" s="580"/>
      <c r="O1" s="217"/>
      <c r="P1" s="217"/>
      <c r="Q1" s="217"/>
      <c r="R1" s="217"/>
      <c r="S1" s="217"/>
      <c r="T1" s="217"/>
      <c r="U1" s="217"/>
      <c r="V1" s="217"/>
      <c r="W1" s="217"/>
      <c r="X1" s="217"/>
      <c r="Y1" s="217"/>
      <c r="Z1" s="217"/>
      <c r="AA1" s="217"/>
      <c r="AB1" s="217"/>
      <c r="AC1" s="217"/>
      <c r="AD1" s="217"/>
      <c r="AE1" s="217"/>
      <c r="AF1" s="217"/>
      <c r="AG1" s="217"/>
      <c r="AH1" s="217"/>
      <c r="AI1" s="217"/>
      <c r="AJ1" s="217"/>
      <c r="AK1" s="217"/>
      <c r="AL1" s="217"/>
      <c r="AM1" s="217"/>
    </row>
    <row r="2" spans="1:39" ht="18" customHeight="1" x14ac:dyDescent="0.25">
      <c r="A2" s="601"/>
      <c r="B2" s="681"/>
      <c r="C2" s="681"/>
      <c r="D2" s="952" t="s">
        <v>651</v>
      </c>
      <c r="E2" s="681"/>
      <c r="F2" s="681"/>
      <c r="G2" s="681"/>
      <c r="H2" s="681"/>
      <c r="I2" s="681"/>
      <c r="J2" s="681"/>
      <c r="K2" s="681"/>
      <c r="L2" s="681"/>
      <c r="M2" s="681"/>
      <c r="N2" s="603"/>
      <c r="O2" s="217"/>
      <c r="P2" s="217"/>
      <c r="Q2" s="217"/>
      <c r="R2" s="217"/>
      <c r="S2" s="217"/>
      <c r="T2" s="217"/>
      <c r="U2" s="217"/>
      <c r="V2" s="217"/>
      <c r="W2" s="217"/>
      <c r="X2" s="217"/>
      <c r="Y2" s="217"/>
      <c r="Z2" s="217"/>
      <c r="AA2" s="217"/>
      <c r="AB2" s="217"/>
      <c r="AC2" s="217"/>
      <c r="AD2" s="217"/>
      <c r="AE2" s="217"/>
      <c r="AF2" s="217"/>
      <c r="AG2" s="217"/>
      <c r="AH2" s="217"/>
      <c r="AI2" s="217"/>
      <c r="AJ2" s="217"/>
      <c r="AK2" s="217"/>
      <c r="AL2" s="217"/>
      <c r="AM2" s="217"/>
    </row>
    <row r="3" spans="1:39" ht="18" customHeight="1" x14ac:dyDescent="0.25">
      <c r="A3" s="581"/>
      <c r="B3" s="582"/>
      <c r="C3" s="582"/>
      <c r="D3" s="959" t="s">
        <v>652</v>
      </c>
      <c r="E3" s="582"/>
      <c r="F3" s="582"/>
      <c r="G3" s="582"/>
      <c r="H3" s="929" t="s">
        <v>653</v>
      </c>
      <c r="I3" s="582"/>
      <c r="J3" s="957"/>
      <c r="K3" s="582"/>
      <c r="L3" s="582"/>
      <c r="M3" s="582"/>
      <c r="N3" s="318" t="s">
        <v>654</v>
      </c>
      <c r="O3" s="217"/>
      <c r="P3" s="217"/>
      <c r="Q3" s="217"/>
      <c r="R3" s="217"/>
      <c r="S3" s="217"/>
      <c r="T3" s="217"/>
      <c r="U3" s="217"/>
      <c r="V3" s="217"/>
      <c r="W3" s="217"/>
      <c r="X3" s="217"/>
      <c r="Y3" s="217"/>
      <c r="Z3" s="217"/>
      <c r="AA3" s="217"/>
      <c r="AB3" s="217"/>
      <c r="AC3" s="217"/>
      <c r="AD3" s="217"/>
      <c r="AE3" s="217"/>
      <c r="AF3" s="217"/>
      <c r="AG3" s="217"/>
      <c r="AH3" s="217"/>
      <c r="AI3" s="217"/>
      <c r="AJ3" s="217"/>
      <c r="AK3" s="217"/>
      <c r="AL3" s="217"/>
      <c r="AM3" s="217"/>
    </row>
    <row r="4" spans="1:39" ht="22.5" customHeight="1" x14ac:dyDescent="0.25">
      <c r="A4" s="946" t="s">
        <v>334</v>
      </c>
      <c r="B4" s="457" t="s">
        <v>47</v>
      </c>
      <c r="C4" s="458" t="s">
        <v>183</v>
      </c>
      <c r="D4" s="457" t="s">
        <v>51</v>
      </c>
      <c r="E4" s="457" t="s">
        <v>49</v>
      </c>
      <c r="F4" s="457" t="s">
        <v>54</v>
      </c>
      <c r="G4" s="457" t="s">
        <v>48</v>
      </c>
      <c r="H4" s="607" t="s">
        <v>655</v>
      </c>
      <c r="I4" s="574"/>
      <c r="J4" s="575"/>
      <c r="K4" s="607" t="s">
        <v>656</v>
      </c>
      <c r="L4" s="575"/>
      <c r="M4" s="607" t="s">
        <v>472</v>
      </c>
      <c r="N4" s="575"/>
      <c r="O4" s="217"/>
      <c r="P4" s="217"/>
      <c r="Q4" s="217"/>
      <c r="R4" s="217"/>
      <c r="S4" s="217"/>
      <c r="T4" s="217"/>
      <c r="U4" s="217"/>
      <c r="V4" s="217"/>
      <c r="W4" s="217"/>
      <c r="X4" s="217"/>
      <c r="Y4" s="217"/>
      <c r="Z4" s="217"/>
      <c r="AA4" s="217"/>
      <c r="AB4" s="217"/>
      <c r="AC4" s="217"/>
      <c r="AD4" s="217"/>
      <c r="AE4" s="217"/>
      <c r="AF4" s="217"/>
      <c r="AG4" s="217"/>
      <c r="AH4" s="217"/>
      <c r="AI4" s="217"/>
      <c r="AJ4" s="217"/>
      <c r="AK4" s="217"/>
      <c r="AL4" s="217"/>
      <c r="AM4" s="217"/>
    </row>
    <row r="5" spans="1:39" ht="38.25" customHeight="1" x14ac:dyDescent="0.25">
      <c r="A5" s="940"/>
      <c r="B5" s="457" t="s">
        <v>286</v>
      </c>
      <c r="C5" s="457" t="e">
        <f>VLOOKUP($B$5,個資,11,FALSE)</f>
        <v>#N/A</v>
      </c>
      <c r="D5" s="457" t="e">
        <f>VLOOKUP($B$5,個資,16,FALSE)</f>
        <v>#N/A</v>
      </c>
      <c r="E5" s="457" t="e">
        <f>VLOOKUP($B$5,個資,3,FALSE)</f>
        <v>#N/A</v>
      </c>
      <c r="F5" s="457" t="e">
        <f>VLOOKUP($B$5,個資,8,FALSE)</f>
        <v>#N/A</v>
      </c>
      <c r="G5" s="457" t="e">
        <f>UPPER(VLOOKUP($B$5,個資,2,FALSE))</f>
        <v>#N/A</v>
      </c>
      <c r="H5" s="610" t="e">
        <f>VLOOKUP($B$5,個資,6,FALSE)</f>
        <v>#N/A</v>
      </c>
      <c r="I5" s="574"/>
      <c r="J5" s="575"/>
      <c r="K5" s="610" t="s">
        <v>657</v>
      </c>
      <c r="L5" s="575"/>
      <c r="M5" s="607" t="e">
        <f>IF($B$5="","",VLOOKUP($B$5,個資,12,FALSE))</f>
        <v>#N/A</v>
      </c>
      <c r="N5" s="575"/>
      <c r="O5" s="217"/>
      <c r="P5" s="217"/>
      <c r="Q5" s="217"/>
      <c r="R5" s="217"/>
      <c r="S5" s="217"/>
      <c r="T5" s="217"/>
      <c r="U5" s="217"/>
      <c r="V5" s="217"/>
      <c r="W5" s="217"/>
      <c r="X5" s="217"/>
      <c r="Y5" s="217"/>
      <c r="Z5" s="217"/>
      <c r="AA5" s="217"/>
      <c r="AB5" s="217"/>
      <c r="AC5" s="217"/>
      <c r="AD5" s="217"/>
      <c r="AE5" s="217"/>
      <c r="AF5" s="217"/>
      <c r="AG5" s="217"/>
      <c r="AH5" s="217"/>
      <c r="AI5" s="217"/>
      <c r="AJ5" s="217"/>
      <c r="AK5" s="217"/>
      <c r="AL5" s="217"/>
      <c r="AM5" s="217"/>
    </row>
    <row r="6" spans="1:39" ht="39" customHeight="1" x14ac:dyDescent="0.25">
      <c r="A6" s="577"/>
      <c r="B6" s="457"/>
      <c r="C6" s="457" t="str">
        <f>IFERROR(IF($B$6="","",VLOOKUP($B$6,個資,11,FALSE)),"")</f>
        <v/>
      </c>
      <c r="D6" s="457" t="str">
        <f>IFERROR(IF($B$6="","",VLOOKUP($B$6,個資,16,FALSE)),"")</f>
        <v/>
      </c>
      <c r="E6" s="457" t="str">
        <f>IFERROR(IF($B$6="","",VLOOKUP($B$6,個資,3,FALSE)),"")</f>
        <v/>
      </c>
      <c r="F6" s="457" t="str">
        <f>IFERROR(IF($B$6="","",VLOOKUP($B$6,個資,8,FALSE)),"")</f>
        <v/>
      </c>
      <c r="G6" s="457" t="str">
        <f>IFERROR(IF($B$6="","",UPPER(VLOOKUP($B$6,個資,2,FALSE))),"")</f>
        <v/>
      </c>
      <c r="H6" s="610" t="str">
        <f>IFERROR(IF($B$6="","",VLOOKUP($B$6,個資,6,FALSE)),"")</f>
        <v/>
      </c>
      <c r="I6" s="574"/>
      <c r="J6" s="575"/>
      <c r="K6" s="607"/>
      <c r="L6" s="575"/>
      <c r="M6" s="607" t="str">
        <f>IFERROR(IF($B$6="","",IF($B$6="","",VLOOKUP($B$6,個資,12,FALSE))),"")</f>
        <v/>
      </c>
      <c r="N6" s="575"/>
      <c r="O6" s="217"/>
      <c r="P6" s="217"/>
      <c r="Q6" s="217"/>
      <c r="R6" s="217"/>
      <c r="S6" s="217"/>
      <c r="T6" s="217"/>
      <c r="U6" s="217"/>
      <c r="V6" s="217"/>
      <c r="W6" s="217"/>
      <c r="X6" s="217"/>
      <c r="Y6" s="217"/>
      <c r="Z6" s="217"/>
      <c r="AA6" s="217"/>
      <c r="AB6" s="217"/>
      <c r="AC6" s="217"/>
      <c r="AD6" s="217"/>
      <c r="AE6" s="217"/>
      <c r="AF6" s="217"/>
      <c r="AG6" s="217"/>
      <c r="AH6" s="217"/>
      <c r="AI6" s="217"/>
      <c r="AJ6" s="217"/>
      <c r="AK6" s="217"/>
      <c r="AL6" s="217"/>
      <c r="AM6" s="217"/>
    </row>
    <row r="7" spans="1:39" ht="34.5" customHeight="1" x14ac:dyDescent="0.25">
      <c r="A7" s="939" t="s">
        <v>658</v>
      </c>
      <c r="B7" s="457" t="s">
        <v>47</v>
      </c>
      <c r="C7" s="458" t="s">
        <v>183</v>
      </c>
      <c r="D7" s="607" t="s">
        <v>655</v>
      </c>
      <c r="E7" s="575"/>
      <c r="F7" s="461" t="s">
        <v>659</v>
      </c>
      <c r="G7" s="457" t="s">
        <v>47</v>
      </c>
      <c r="H7" s="457" t="s">
        <v>183</v>
      </c>
      <c r="I7" s="607" t="s">
        <v>655</v>
      </c>
      <c r="J7" s="574"/>
      <c r="K7" s="574"/>
      <c r="L7" s="575"/>
      <c r="M7" s="610" t="s">
        <v>659</v>
      </c>
      <c r="N7" s="575"/>
      <c r="O7" s="217"/>
      <c r="P7" s="217"/>
      <c r="Q7" s="217"/>
      <c r="R7" s="217"/>
      <c r="S7" s="217"/>
      <c r="T7" s="217"/>
      <c r="U7" s="217"/>
      <c r="V7" s="217"/>
      <c r="W7" s="217"/>
      <c r="X7" s="217"/>
      <c r="Y7" s="217"/>
      <c r="Z7" s="217"/>
      <c r="AA7" s="217"/>
      <c r="AB7" s="217"/>
      <c r="AC7" s="217"/>
      <c r="AD7" s="217"/>
      <c r="AE7" s="217"/>
      <c r="AF7" s="217"/>
      <c r="AG7" s="217"/>
      <c r="AH7" s="217"/>
      <c r="AI7" s="217"/>
      <c r="AJ7" s="217"/>
      <c r="AK7" s="217"/>
      <c r="AL7" s="217"/>
      <c r="AM7" s="217"/>
    </row>
    <row r="8" spans="1:39" ht="21" customHeight="1" x14ac:dyDescent="0.25">
      <c r="A8" s="940"/>
      <c r="B8" s="458"/>
      <c r="C8" s="458" t="str">
        <f>IFERROR(IF($B$8="","",VLOOKUP($B$8,個資,11,FALSE)),"")</f>
        <v/>
      </c>
      <c r="D8" s="930" t="str">
        <f>IFERROR(IF($B$8="","",VLOOKUP($B$8,個資,6,FALSE)),"")</f>
        <v/>
      </c>
      <c r="E8" s="575"/>
      <c r="F8" s="458" t="str">
        <f>IFERROR(IF($B$8="","",IF($B$8="","",VLOOKUP($B$8,個資,12,FALSE))),"")</f>
        <v/>
      </c>
      <c r="G8" s="458"/>
      <c r="H8" s="458" t="str">
        <f>IFERROR(IF($G$8="","",VLOOKUP($G$8,個資,11,FALSE)),"")</f>
        <v/>
      </c>
      <c r="I8" s="930" t="str">
        <f>IFERROR(IF($G$8="","",VLOOKUP($G$8,個資,6,FALSE)),"")</f>
        <v/>
      </c>
      <c r="J8" s="574"/>
      <c r="K8" s="574"/>
      <c r="L8" s="575"/>
      <c r="M8" s="613" t="str">
        <f>IFERROR(IF($G$8="","",IF($G$8="","",VLOOKUP($G$8,個資,12,FALSE))),"")</f>
        <v/>
      </c>
      <c r="N8" s="575"/>
      <c r="O8" s="217"/>
      <c r="P8" s="217"/>
      <c r="Q8" s="217"/>
      <c r="R8" s="217"/>
      <c r="S8" s="217"/>
      <c r="T8" s="217"/>
      <c r="U8" s="217"/>
      <c r="V8" s="217"/>
      <c r="W8" s="217"/>
      <c r="X8" s="217"/>
      <c r="Y8" s="217"/>
      <c r="Z8" s="217"/>
      <c r="AA8" s="217"/>
      <c r="AB8" s="217"/>
      <c r="AC8" s="217"/>
      <c r="AD8" s="217"/>
      <c r="AE8" s="217"/>
      <c r="AF8" s="217"/>
      <c r="AG8" s="217"/>
      <c r="AH8" s="217"/>
      <c r="AI8" s="217"/>
      <c r="AJ8" s="217"/>
      <c r="AK8" s="217"/>
      <c r="AL8" s="217"/>
      <c r="AM8" s="217"/>
    </row>
    <row r="9" spans="1:39" ht="23.25" customHeight="1" x14ac:dyDescent="0.25">
      <c r="A9" s="577"/>
      <c r="B9" s="458"/>
      <c r="C9" s="458" t="str">
        <f>IFERROR(IF($B$9="","",VLOOKUP($B$9,個資,11,FALSE)),"")</f>
        <v/>
      </c>
      <c r="D9" s="930" t="str">
        <f>IFERROR(IF($B$9="","",VLOOKUP($B$9,個資,6,FALSE)),"")</f>
        <v/>
      </c>
      <c r="E9" s="575"/>
      <c r="F9" s="458" t="str">
        <f>IFERROR(IF($B$9="","",IF($B$9="","",VLOOKUP($B$9,個資,12,FALSE))),"")</f>
        <v/>
      </c>
      <c r="G9" s="458"/>
      <c r="H9" s="458" t="str">
        <f>IFERROR(IF($G$9="","",VLOOKUP($G$9,個資,11,FALSE)),"")</f>
        <v/>
      </c>
      <c r="I9" s="930" t="str">
        <f>IFERROR(IF($G$9="","",VLOOKUP($G$9,個資,6,FALSE)),"")</f>
        <v/>
      </c>
      <c r="J9" s="574"/>
      <c r="K9" s="574"/>
      <c r="L9" s="575"/>
      <c r="M9" s="613" t="str">
        <f>IFERROR(IF($G$9="","",IF($G$9="","",VLOOKUP($G$9,個資,12,FALSE))),"")</f>
        <v/>
      </c>
      <c r="N9" s="575"/>
      <c r="O9" s="217"/>
      <c r="P9" s="217"/>
      <c r="Q9" s="217"/>
      <c r="R9" s="217"/>
      <c r="S9" s="217"/>
      <c r="T9" s="217"/>
      <c r="U9" s="217"/>
      <c r="V9" s="217"/>
      <c r="W9" s="217"/>
      <c r="X9" s="217"/>
      <c r="Y9" s="217"/>
      <c r="Z9" s="217"/>
      <c r="AA9" s="217"/>
      <c r="AB9" s="217"/>
      <c r="AC9" s="217"/>
      <c r="AD9" s="217"/>
      <c r="AE9" s="217"/>
      <c r="AF9" s="217"/>
      <c r="AG9" s="217"/>
      <c r="AH9" s="217"/>
      <c r="AI9" s="217"/>
      <c r="AJ9" s="217"/>
      <c r="AK9" s="217"/>
      <c r="AL9" s="217"/>
      <c r="AM9" s="217"/>
    </row>
    <row r="10" spans="1:39" ht="45.6" customHeight="1" x14ac:dyDescent="0.25">
      <c r="A10" s="948" t="s">
        <v>660</v>
      </c>
      <c r="B10" s="941" t="str">
        <f>呈報單!$F$16</f>
        <v>一、吳興街所警員蘇詠棠受理民眾黃軾錦報案，於115年09月12日13時30分在臺北市信義區吳興街206號稱有毀損案件(證明單編號：Z115099AWBN1NGL)。警方依規定受理後，調閱店家及公家道路監視器影像，尋線找到嫌疑人並通知到案說明。
二、警方聯繫嫌疑人於114年06月06日18時00分至所說明，但嫌於通知日期仍未至所說明，全案提供相關附件為證。
三、依毀損罪嫌，函送  偵查隊  續辦。</v>
      </c>
      <c r="C10" s="579"/>
      <c r="D10" s="579"/>
      <c r="E10" s="579"/>
      <c r="F10" s="579"/>
      <c r="G10" s="580"/>
      <c r="H10" s="457" t="s">
        <v>268</v>
      </c>
      <c r="I10" s="607" t="str">
        <f>下拉用!$J$5</f>
        <v>年月日時分</v>
      </c>
      <c r="J10" s="574"/>
      <c r="K10" s="574"/>
      <c r="L10" s="574"/>
      <c r="M10" s="574"/>
      <c r="N10" s="575"/>
      <c r="O10" s="217"/>
      <c r="P10" s="217"/>
      <c r="Q10" s="217"/>
      <c r="R10" s="217"/>
      <c r="S10" s="217"/>
      <c r="T10" s="217"/>
      <c r="U10" s="217"/>
      <c r="V10" s="217"/>
      <c r="W10" s="217"/>
      <c r="X10" s="217"/>
      <c r="Y10" s="217"/>
      <c r="Z10" s="217"/>
      <c r="AA10" s="217"/>
      <c r="AB10" s="217"/>
      <c r="AC10" s="217"/>
      <c r="AD10" s="217"/>
      <c r="AE10" s="217"/>
      <c r="AF10" s="217"/>
      <c r="AG10" s="217"/>
      <c r="AH10" s="217"/>
      <c r="AI10" s="217"/>
      <c r="AJ10" s="217"/>
      <c r="AK10" s="217"/>
      <c r="AL10" s="217"/>
      <c r="AM10" s="217"/>
    </row>
    <row r="11" spans="1:39" ht="44.25" customHeight="1" x14ac:dyDescent="0.25">
      <c r="A11" s="940"/>
      <c r="B11" s="601"/>
      <c r="C11" s="681"/>
      <c r="D11" s="681"/>
      <c r="E11" s="681"/>
      <c r="F11" s="681"/>
      <c r="G11" s="603"/>
      <c r="H11" s="457" t="s">
        <v>661</v>
      </c>
      <c r="I11" s="932" t="str">
        <f>輸入!$C$7</f>
        <v>臺北市信義區吳興街206號</v>
      </c>
      <c r="J11" s="574"/>
      <c r="K11" s="574"/>
      <c r="L11" s="574"/>
      <c r="M11" s="574"/>
      <c r="N11" s="575"/>
      <c r="O11" s="217"/>
      <c r="P11" s="217"/>
      <c r="Q11" s="217"/>
      <c r="R11" s="217"/>
      <c r="S11" s="217"/>
      <c r="T11" s="217"/>
      <c r="U11" s="217"/>
      <c r="V11" s="217"/>
      <c r="W11" s="217"/>
      <c r="X11" s="217"/>
      <c r="Y11" s="217"/>
      <c r="Z11" s="217"/>
      <c r="AA11" s="217"/>
      <c r="AB11" s="217"/>
      <c r="AC11" s="217"/>
      <c r="AD11" s="217"/>
      <c r="AE11" s="217"/>
      <c r="AF11" s="217"/>
      <c r="AG11" s="217"/>
      <c r="AH11" s="217"/>
      <c r="AI11" s="217"/>
      <c r="AJ11" s="217"/>
      <c r="AK11" s="217"/>
      <c r="AL11" s="217"/>
      <c r="AM11" s="217"/>
    </row>
    <row r="12" spans="1:39" ht="43.15" customHeight="1" x14ac:dyDescent="0.25">
      <c r="A12" s="577"/>
      <c r="B12" s="581"/>
      <c r="C12" s="582"/>
      <c r="D12" s="582"/>
      <c r="E12" s="582"/>
      <c r="F12" s="582"/>
      <c r="G12" s="583"/>
      <c r="H12" s="319" t="s">
        <v>342</v>
      </c>
      <c r="I12" s="607" t="str">
        <f>呈報單!$G$15</f>
        <v>毀損</v>
      </c>
      <c r="J12" s="574"/>
      <c r="K12" s="574"/>
      <c r="L12" s="574"/>
      <c r="M12" s="574"/>
      <c r="N12" s="575"/>
      <c r="O12" s="217"/>
      <c r="P12" s="217"/>
      <c r="Q12" s="217"/>
      <c r="R12" s="217"/>
      <c r="S12" s="217"/>
      <c r="T12" s="217"/>
      <c r="U12" s="217"/>
      <c r="V12" s="217"/>
      <c r="W12" s="217"/>
      <c r="X12" s="217"/>
      <c r="Y12" s="217"/>
      <c r="Z12" s="217"/>
      <c r="AA12" s="217"/>
      <c r="AB12" s="217"/>
      <c r="AC12" s="217"/>
      <c r="AD12" s="217"/>
      <c r="AE12" s="217"/>
      <c r="AF12" s="217"/>
      <c r="AG12" s="217"/>
      <c r="AH12" s="217"/>
      <c r="AI12" s="217"/>
      <c r="AJ12" s="217"/>
      <c r="AK12" s="217"/>
      <c r="AL12" s="217"/>
      <c r="AM12" s="217"/>
    </row>
    <row r="13" spans="1:39" ht="80.25" customHeight="1" x14ac:dyDescent="0.25">
      <c r="A13" s="320" t="s">
        <v>662</v>
      </c>
      <c r="B13" s="958" t="s">
        <v>663</v>
      </c>
      <c r="C13" s="574"/>
      <c r="D13" s="575"/>
      <c r="E13" s="607"/>
      <c r="F13" s="574"/>
      <c r="G13" s="575"/>
      <c r="H13" s="459" t="s">
        <v>664</v>
      </c>
      <c r="I13" s="607" t="s">
        <v>665</v>
      </c>
      <c r="J13" s="574"/>
      <c r="K13" s="574"/>
      <c r="L13" s="574"/>
      <c r="M13" s="574"/>
      <c r="N13" s="575"/>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row>
    <row r="14" spans="1:39" ht="30" customHeight="1" x14ac:dyDescent="0.25">
      <c r="A14" s="937" t="str">
        <f>CONCATENATE("受理單位:",輸入!$S$18,輸入!$T$18,輸入!$S$19,輸入!$T$19,輸入!$S$20,輸入!$T$20,)</f>
        <v>受理單位:臺北市政府警察局信義分局吳興街派出所</v>
      </c>
      <c r="B14" s="579"/>
      <c r="C14" s="579"/>
      <c r="D14" s="579"/>
      <c r="E14" s="579"/>
      <c r="F14" s="579"/>
      <c r="G14" s="579"/>
      <c r="H14" s="580"/>
      <c r="I14" s="949" t="s">
        <v>666</v>
      </c>
      <c r="J14" s="579"/>
      <c r="K14" s="579"/>
      <c r="L14" s="579"/>
      <c r="M14" s="579"/>
      <c r="N14" s="580"/>
      <c r="O14" s="217"/>
      <c r="P14" s="217"/>
      <c r="Q14" s="217"/>
      <c r="R14" s="217"/>
      <c r="S14" s="217"/>
      <c r="T14" s="217"/>
      <c r="U14" s="217"/>
      <c r="V14" s="217"/>
      <c r="W14" s="217"/>
      <c r="X14" s="217"/>
      <c r="Y14" s="217"/>
      <c r="Z14" s="217"/>
      <c r="AA14" s="217"/>
      <c r="AB14" s="217"/>
      <c r="AC14" s="217"/>
      <c r="AD14" s="217"/>
      <c r="AE14" s="217"/>
      <c r="AF14" s="217"/>
      <c r="AG14" s="217"/>
      <c r="AH14" s="217"/>
      <c r="AI14" s="217"/>
      <c r="AJ14" s="217"/>
      <c r="AK14" s="217"/>
      <c r="AL14" s="217"/>
      <c r="AM14" s="217"/>
    </row>
    <row r="15" spans="1:39" ht="30" customHeight="1" x14ac:dyDescent="0.25">
      <c r="A15" s="956" t="s">
        <v>667</v>
      </c>
      <c r="B15" s="681"/>
      <c r="C15" s="681"/>
      <c r="D15" s="681"/>
      <c r="E15" s="681"/>
      <c r="F15" s="681"/>
      <c r="G15" s="681"/>
      <c r="H15" s="603"/>
      <c r="I15" s="945" t="s">
        <v>668</v>
      </c>
      <c r="J15" s="681"/>
      <c r="K15" s="681"/>
      <c r="L15" s="681"/>
      <c r="M15" s="681"/>
      <c r="N15" s="603"/>
      <c r="O15" s="217"/>
      <c r="P15" s="217"/>
      <c r="Q15" s="217"/>
      <c r="R15" s="217"/>
      <c r="S15" s="217"/>
      <c r="T15" s="217"/>
      <c r="U15" s="217"/>
      <c r="V15" s="217"/>
      <c r="W15" s="217"/>
      <c r="X15" s="217"/>
      <c r="Y15" s="217"/>
      <c r="Z15" s="217"/>
      <c r="AA15" s="217"/>
      <c r="AB15" s="217"/>
      <c r="AC15" s="217"/>
      <c r="AD15" s="217"/>
      <c r="AE15" s="217"/>
      <c r="AF15" s="217"/>
      <c r="AG15" s="217"/>
      <c r="AH15" s="217"/>
      <c r="AI15" s="217"/>
      <c r="AJ15" s="217"/>
      <c r="AK15" s="217"/>
      <c r="AL15" s="217"/>
      <c r="AM15" s="217"/>
    </row>
    <row r="16" spans="1:39" ht="30" customHeight="1" x14ac:dyDescent="0.25">
      <c r="A16" s="950" t="str">
        <f>CONCATENATE("受理員警:警員 ",輸入!$O$8)</f>
        <v>受理員警:警員 蘇詠棠</v>
      </c>
      <c r="B16" s="582"/>
      <c r="C16" s="582"/>
      <c r="D16" s="582"/>
      <c r="E16" s="582"/>
      <c r="F16" s="582"/>
      <c r="G16" s="582"/>
      <c r="H16" s="583"/>
      <c r="I16" s="582"/>
      <c r="J16" s="582"/>
      <c r="K16" s="582"/>
      <c r="L16" s="582"/>
      <c r="M16" s="582"/>
      <c r="N16" s="583"/>
      <c r="O16" s="217"/>
      <c r="P16" s="217"/>
      <c r="Q16" s="217"/>
      <c r="R16" s="217"/>
      <c r="S16" s="217"/>
      <c r="T16" s="217"/>
      <c r="U16" s="217"/>
      <c r="V16" s="217"/>
      <c r="W16" s="217"/>
      <c r="X16" s="217"/>
      <c r="Y16" s="217"/>
      <c r="Z16" s="217"/>
      <c r="AA16" s="217"/>
      <c r="AB16" s="217"/>
      <c r="AC16" s="217"/>
      <c r="AD16" s="217"/>
      <c r="AE16" s="217"/>
      <c r="AF16" s="217"/>
      <c r="AG16" s="217"/>
      <c r="AH16" s="217"/>
      <c r="AI16" s="217"/>
      <c r="AJ16" s="217"/>
      <c r="AK16" s="217"/>
      <c r="AL16" s="217"/>
      <c r="AM16" s="217"/>
    </row>
    <row r="17" spans="1:39" ht="24" customHeight="1" x14ac:dyDescent="0.25">
      <c r="A17" s="938" t="s">
        <v>669</v>
      </c>
      <c r="B17" s="681"/>
      <c r="C17" s="931" t="s">
        <v>670</v>
      </c>
      <c r="D17" s="681"/>
      <c r="E17" s="681"/>
      <c r="F17" s="681"/>
      <c r="G17" s="681"/>
      <c r="H17" s="681"/>
      <c r="I17" s="681"/>
      <c r="J17" s="681"/>
      <c r="K17" s="681"/>
      <c r="L17" s="681"/>
      <c r="M17" s="681"/>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217"/>
      <c r="AL17" s="217"/>
      <c r="AM17" s="217"/>
    </row>
    <row r="18" spans="1:39" ht="33.75" customHeight="1" thickBot="1" x14ac:dyDescent="0.3">
      <c r="A18" s="512"/>
      <c r="B18" s="512"/>
      <c r="C18" s="931" t="s">
        <v>671</v>
      </c>
      <c r="D18" s="681"/>
      <c r="E18" s="681"/>
      <c r="F18" s="681"/>
      <c r="G18" s="681"/>
      <c r="H18" s="681"/>
      <c r="I18" s="681"/>
      <c r="J18" s="681"/>
      <c r="K18" s="681"/>
      <c r="L18" s="681"/>
      <c r="M18" s="681"/>
      <c r="N18" s="217"/>
      <c r="O18" s="217"/>
      <c r="P18" s="217"/>
      <c r="Q18" s="217"/>
      <c r="R18" s="217"/>
      <c r="S18" s="217"/>
      <c r="T18" s="217"/>
      <c r="U18" s="217"/>
      <c r="V18" s="217"/>
      <c r="W18" s="217"/>
      <c r="X18" s="217"/>
      <c r="Y18" s="217"/>
      <c r="Z18" s="217"/>
      <c r="AA18" s="217"/>
      <c r="AB18" s="217"/>
      <c r="AC18" s="217"/>
      <c r="AD18" s="217"/>
      <c r="AE18" s="217"/>
      <c r="AF18" s="217"/>
      <c r="AG18" s="217"/>
      <c r="AH18" s="217"/>
      <c r="AI18" s="217"/>
      <c r="AJ18" s="217"/>
      <c r="AK18" s="217"/>
      <c r="AL18" s="217"/>
      <c r="AM18" s="217"/>
    </row>
    <row r="19" spans="1:39" ht="17.25" customHeight="1" thickTop="1" x14ac:dyDescent="0.25">
      <c r="A19" s="951" t="s">
        <v>324</v>
      </c>
      <c r="B19" s="935"/>
      <c r="C19" s="934" t="s">
        <v>325</v>
      </c>
      <c r="D19" s="935"/>
      <c r="E19" s="934" t="s">
        <v>326</v>
      </c>
      <c r="F19" s="935"/>
      <c r="G19" s="934" t="s">
        <v>327</v>
      </c>
      <c r="H19" s="935"/>
      <c r="I19" s="934" t="s">
        <v>328</v>
      </c>
      <c r="J19" s="955"/>
      <c r="K19" s="955"/>
      <c r="L19" s="955"/>
      <c r="M19" s="955"/>
      <c r="N19" s="935"/>
      <c r="O19" s="217"/>
      <c r="P19" s="217"/>
      <c r="Q19" s="217"/>
      <c r="R19" s="217"/>
      <c r="S19" s="217"/>
      <c r="T19" s="217"/>
      <c r="U19" s="217"/>
      <c r="V19" s="217"/>
      <c r="W19" s="217"/>
      <c r="X19" s="217"/>
      <c r="Y19" s="217"/>
      <c r="Z19" s="217"/>
      <c r="AA19" s="217"/>
      <c r="AB19" s="217"/>
      <c r="AC19" s="217"/>
      <c r="AD19" s="217"/>
      <c r="AE19" s="217"/>
      <c r="AF19" s="217"/>
      <c r="AG19" s="217"/>
      <c r="AH19" s="217"/>
      <c r="AI19" s="217"/>
      <c r="AJ19" s="217"/>
      <c r="AK19" s="217"/>
      <c r="AL19" s="217"/>
      <c r="AM19" s="217"/>
    </row>
    <row r="20" spans="1:39" x14ac:dyDescent="0.25">
      <c r="A20" s="944"/>
      <c r="B20" s="583"/>
      <c r="C20" s="581"/>
      <c r="D20" s="583"/>
      <c r="E20" s="581"/>
      <c r="F20" s="583"/>
      <c r="G20" s="581"/>
      <c r="H20" s="583"/>
      <c r="I20" s="581"/>
      <c r="J20" s="582"/>
      <c r="K20" s="582"/>
      <c r="L20" s="582"/>
      <c r="M20" s="582"/>
      <c r="N20" s="583"/>
      <c r="O20" s="217"/>
      <c r="P20" s="217"/>
      <c r="Q20" s="217"/>
      <c r="R20" s="217"/>
      <c r="S20" s="217"/>
      <c r="T20" s="217"/>
      <c r="U20" s="217"/>
      <c r="V20" s="217"/>
      <c r="W20" s="217"/>
      <c r="X20" s="217"/>
      <c r="Y20" s="217"/>
      <c r="Z20" s="217"/>
      <c r="AA20" s="217"/>
      <c r="AB20" s="217"/>
      <c r="AC20" s="217"/>
      <c r="AD20" s="217"/>
      <c r="AE20" s="217"/>
      <c r="AF20" s="217"/>
      <c r="AG20" s="217"/>
      <c r="AH20" s="217"/>
      <c r="AI20" s="217"/>
      <c r="AJ20" s="217"/>
      <c r="AK20" s="217"/>
      <c r="AL20" s="217"/>
      <c r="AM20" s="217"/>
    </row>
    <row r="21" spans="1:39" ht="20.100000000000001" customHeight="1" x14ac:dyDescent="0.25">
      <c r="A21" s="942" t="s">
        <v>672</v>
      </c>
      <c r="B21" s="580"/>
      <c r="C21" s="947" t="s">
        <v>673</v>
      </c>
      <c r="D21" s="580"/>
      <c r="E21" s="928"/>
      <c r="F21" s="580"/>
      <c r="G21" s="928"/>
      <c r="H21" s="580"/>
      <c r="I21" s="928"/>
      <c r="J21" s="579"/>
      <c r="K21" s="579"/>
      <c r="L21" s="579"/>
      <c r="M21" s="579"/>
      <c r="N21" s="580"/>
      <c r="O21" s="217"/>
      <c r="P21" s="217"/>
      <c r="Q21" s="217"/>
      <c r="R21" s="217"/>
      <c r="S21" s="217"/>
      <c r="T21" s="217"/>
      <c r="U21" s="217"/>
      <c r="V21" s="217"/>
      <c r="W21" s="217"/>
      <c r="X21" s="217"/>
      <c r="Y21" s="217"/>
      <c r="Z21" s="217"/>
      <c r="AA21" s="217"/>
      <c r="AB21" s="217"/>
      <c r="AC21" s="217"/>
      <c r="AD21" s="217"/>
      <c r="AE21" s="217"/>
      <c r="AF21" s="217"/>
      <c r="AG21" s="217"/>
      <c r="AH21" s="217"/>
      <c r="AI21" s="217"/>
      <c r="AJ21" s="217"/>
      <c r="AK21" s="217"/>
      <c r="AL21" s="217"/>
      <c r="AM21" s="217"/>
    </row>
    <row r="22" spans="1:39" ht="20.100000000000001" customHeight="1" x14ac:dyDescent="0.25">
      <c r="A22" s="943"/>
      <c r="B22" s="603"/>
      <c r="C22" s="601"/>
      <c r="D22" s="603"/>
      <c r="E22" s="601"/>
      <c r="F22" s="603"/>
      <c r="G22" s="601"/>
      <c r="H22" s="603"/>
      <c r="I22" s="601"/>
      <c r="J22" s="681"/>
      <c r="K22" s="681"/>
      <c r="L22" s="681"/>
      <c r="M22" s="681"/>
      <c r="N22" s="603"/>
      <c r="O22" s="217"/>
      <c r="P22" s="217"/>
      <c r="Q22" s="217"/>
      <c r="R22" s="217"/>
      <c r="S22" s="217"/>
      <c r="T22" s="217"/>
      <c r="U22" s="217"/>
      <c r="V22" s="217"/>
      <c r="W22" s="217"/>
      <c r="X22" s="217"/>
      <c r="Y22" s="217"/>
      <c r="Z22" s="217"/>
      <c r="AA22" s="217"/>
      <c r="AB22" s="217"/>
      <c r="AC22" s="217"/>
      <c r="AD22" s="217"/>
      <c r="AE22" s="217"/>
      <c r="AF22" s="217"/>
      <c r="AG22" s="217"/>
      <c r="AH22" s="217"/>
      <c r="AI22" s="217"/>
      <c r="AJ22" s="217"/>
      <c r="AK22" s="217"/>
      <c r="AL22" s="217"/>
      <c r="AM22" s="217"/>
    </row>
    <row r="23" spans="1:39" ht="20.100000000000001" customHeight="1" x14ac:dyDescent="0.25">
      <c r="A23" s="943"/>
      <c r="B23" s="603"/>
      <c r="C23" s="601"/>
      <c r="D23" s="603"/>
      <c r="E23" s="601"/>
      <c r="F23" s="603"/>
      <c r="G23" s="601"/>
      <c r="H23" s="603"/>
      <c r="I23" s="601"/>
      <c r="J23" s="681"/>
      <c r="K23" s="681"/>
      <c r="L23" s="681"/>
      <c r="M23" s="681"/>
      <c r="N23" s="603"/>
      <c r="O23" s="217"/>
      <c r="P23" s="217"/>
      <c r="Q23" s="217"/>
      <c r="R23" s="217"/>
      <c r="S23" s="217"/>
      <c r="T23" s="217"/>
      <c r="U23" s="217"/>
      <c r="V23" s="217"/>
      <c r="W23" s="217"/>
      <c r="X23" s="217"/>
      <c r="Y23" s="217"/>
      <c r="Z23" s="217"/>
      <c r="AA23" s="217"/>
      <c r="AB23" s="217"/>
      <c r="AC23" s="217"/>
      <c r="AD23" s="217"/>
      <c r="AE23" s="217"/>
      <c r="AF23" s="217"/>
      <c r="AG23" s="217"/>
      <c r="AH23" s="217"/>
      <c r="AI23" s="217"/>
      <c r="AJ23" s="217"/>
      <c r="AK23" s="217"/>
      <c r="AL23" s="217"/>
      <c r="AM23" s="217"/>
    </row>
    <row r="24" spans="1:39" ht="20.100000000000001" customHeight="1" x14ac:dyDescent="0.25">
      <c r="A24" s="943"/>
      <c r="B24" s="603"/>
      <c r="C24" s="601"/>
      <c r="D24" s="603"/>
      <c r="E24" s="601"/>
      <c r="F24" s="603"/>
      <c r="G24" s="601"/>
      <c r="H24" s="603"/>
      <c r="I24" s="601"/>
      <c r="J24" s="681"/>
      <c r="K24" s="681"/>
      <c r="L24" s="681"/>
      <c r="M24" s="681"/>
      <c r="N24" s="603"/>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c r="AL24" s="217"/>
      <c r="AM24" s="217"/>
    </row>
    <row r="25" spans="1:39" ht="20.100000000000001" customHeight="1" x14ac:dyDescent="0.25">
      <c r="A25" s="943"/>
      <c r="B25" s="603"/>
      <c r="C25" s="601"/>
      <c r="D25" s="603"/>
      <c r="E25" s="601"/>
      <c r="F25" s="603"/>
      <c r="G25" s="601"/>
      <c r="H25" s="603"/>
      <c r="I25" s="601"/>
      <c r="J25" s="681"/>
      <c r="K25" s="681"/>
      <c r="L25" s="681"/>
      <c r="M25" s="681"/>
      <c r="N25" s="603"/>
      <c r="O25" s="217"/>
      <c r="P25" s="217"/>
      <c r="Q25" s="217"/>
      <c r="R25" s="217"/>
      <c r="S25" s="217"/>
      <c r="T25" s="217"/>
      <c r="U25" s="217"/>
      <c r="V25" s="217"/>
      <c r="W25" s="217"/>
      <c r="X25" s="217"/>
      <c r="Y25" s="217"/>
      <c r="Z25" s="217"/>
      <c r="AA25" s="217"/>
      <c r="AB25" s="217"/>
      <c r="AC25" s="217"/>
      <c r="AD25" s="217"/>
      <c r="AE25" s="217"/>
      <c r="AF25" s="217"/>
      <c r="AG25" s="217"/>
      <c r="AH25" s="217"/>
      <c r="AI25" s="217"/>
      <c r="AJ25" s="217"/>
      <c r="AK25" s="217"/>
      <c r="AL25" s="217"/>
      <c r="AM25" s="217"/>
    </row>
    <row r="26" spans="1:39" ht="9" customHeight="1" thickBot="1" x14ac:dyDescent="0.3">
      <c r="A26" s="944"/>
      <c r="B26" s="583"/>
      <c r="C26" s="581"/>
      <c r="D26" s="583"/>
      <c r="E26" s="581"/>
      <c r="F26" s="583"/>
      <c r="G26" s="581"/>
      <c r="H26" s="583"/>
      <c r="I26" s="581"/>
      <c r="J26" s="582"/>
      <c r="K26" s="582"/>
      <c r="L26" s="582"/>
      <c r="M26" s="582"/>
      <c r="N26" s="583"/>
      <c r="O26" s="217"/>
      <c r="P26" s="217"/>
      <c r="Q26" s="217"/>
      <c r="R26" s="217"/>
      <c r="S26" s="217"/>
      <c r="T26" s="217"/>
      <c r="U26" s="217"/>
      <c r="V26" s="217"/>
      <c r="W26" s="217"/>
      <c r="X26" s="217"/>
      <c r="Y26" s="217"/>
      <c r="Z26" s="217"/>
      <c r="AA26" s="217"/>
      <c r="AB26" s="217"/>
      <c r="AC26" s="217"/>
      <c r="AD26" s="217"/>
      <c r="AE26" s="217"/>
      <c r="AF26" s="217"/>
      <c r="AG26" s="217"/>
      <c r="AH26" s="217"/>
      <c r="AI26" s="217"/>
      <c r="AJ26" s="217"/>
      <c r="AK26" s="217"/>
      <c r="AL26" s="217"/>
      <c r="AM26" s="217"/>
    </row>
    <row r="27" spans="1:39" ht="17.25" customHeight="1" thickTop="1" x14ac:dyDescent="0.25">
      <c r="A27" s="217"/>
      <c r="B27" s="217"/>
      <c r="C27" s="217"/>
      <c r="D27" s="217"/>
      <c r="E27" s="217"/>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c r="AE27" s="217"/>
      <c r="AF27" s="217"/>
      <c r="AG27" s="217"/>
      <c r="AH27" s="217"/>
      <c r="AI27" s="217"/>
      <c r="AJ27" s="217"/>
      <c r="AK27" s="217"/>
      <c r="AL27" s="217"/>
      <c r="AM27" s="217"/>
    </row>
    <row r="28" spans="1:39" x14ac:dyDescent="0.25">
      <c r="A28" s="217"/>
      <c r="B28" s="217"/>
      <c r="C28" s="217"/>
      <c r="D28" s="217"/>
      <c r="E28" s="217"/>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c r="AE28" s="217"/>
      <c r="AF28" s="217"/>
      <c r="AG28" s="217"/>
      <c r="AH28" s="217"/>
      <c r="AI28" s="217"/>
      <c r="AJ28" s="217"/>
      <c r="AK28" s="217"/>
      <c r="AL28" s="217"/>
      <c r="AM28" s="217"/>
    </row>
    <row r="29" spans="1:39" x14ac:dyDescent="0.25">
      <c r="A29" s="217"/>
      <c r="B29" s="217"/>
      <c r="C29" s="217"/>
      <c r="D29" s="217"/>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7"/>
      <c r="AI29" s="217"/>
      <c r="AJ29" s="217"/>
      <c r="AK29" s="217"/>
      <c r="AL29" s="217"/>
      <c r="AM29" s="217"/>
    </row>
    <row r="30" spans="1:39" x14ac:dyDescent="0.25">
      <c r="A30" s="217"/>
      <c r="B30" s="217"/>
      <c r="C30" s="217"/>
      <c r="D30" s="217"/>
      <c r="E30" s="217"/>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c r="AE30" s="217"/>
      <c r="AF30" s="217"/>
      <c r="AG30" s="217"/>
      <c r="AH30" s="217"/>
      <c r="AI30" s="217"/>
      <c r="AJ30" s="217"/>
      <c r="AK30" s="217"/>
      <c r="AL30" s="217"/>
      <c r="AM30" s="217"/>
    </row>
    <row r="31" spans="1:39" x14ac:dyDescent="0.25">
      <c r="A31" s="217"/>
      <c r="B31" s="217"/>
      <c r="C31" s="217"/>
      <c r="D31" s="217"/>
      <c r="E31" s="217"/>
      <c r="F31" s="217"/>
      <c r="G31" s="217"/>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c r="AE31" s="217"/>
      <c r="AF31" s="217"/>
      <c r="AG31" s="217"/>
      <c r="AH31" s="217"/>
      <c r="AI31" s="217"/>
      <c r="AJ31" s="217"/>
      <c r="AK31" s="217"/>
      <c r="AL31" s="217"/>
      <c r="AM31" s="217"/>
    </row>
    <row r="32" spans="1:39" x14ac:dyDescent="0.25">
      <c r="A32" s="217"/>
      <c r="B32" s="217"/>
      <c r="C32" s="217"/>
      <c r="D32" s="217"/>
      <c r="E32" s="217"/>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c r="AE32" s="217"/>
      <c r="AF32" s="217"/>
      <c r="AG32" s="217"/>
      <c r="AH32" s="217"/>
      <c r="AI32" s="217"/>
      <c r="AJ32" s="217"/>
      <c r="AK32" s="217"/>
      <c r="AL32" s="217"/>
      <c r="AM32" s="217"/>
    </row>
    <row r="33" spans="1:39" x14ac:dyDescent="0.25">
      <c r="A33" s="217"/>
      <c r="B33" s="217"/>
      <c r="C33" s="217"/>
      <c r="D33" s="217"/>
      <c r="E33" s="217"/>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c r="AE33" s="217"/>
      <c r="AF33" s="217"/>
      <c r="AG33" s="217"/>
      <c r="AH33" s="217"/>
      <c r="AI33" s="217"/>
      <c r="AJ33" s="217"/>
      <c r="AK33" s="217"/>
      <c r="AL33" s="217"/>
      <c r="AM33" s="217"/>
    </row>
    <row r="34" spans="1:39" x14ac:dyDescent="0.25">
      <c r="A34" s="217"/>
      <c r="B34" s="217"/>
      <c r="C34" s="217"/>
      <c r="D34" s="217"/>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7"/>
      <c r="AI34" s="217"/>
      <c r="AJ34" s="217"/>
      <c r="AK34" s="217"/>
      <c r="AL34" s="217"/>
      <c r="AM34" s="217"/>
    </row>
    <row r="35" spans="1:39" x14ac:dyDescent="0.25">
      <c r="A35" s="217"/>
      <c r="B35" s="217"/>
      <c r="C35" s="217"/>
      <c r="D35" s="217"/>
      <c r="E35" s="217"/>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c r="AE35" s="217"/>
      <c r="AF35" s="217"/>
      <c r="AG35" s="217"/>
      <c r="AH35" s="217"/>
      <c r="AI35" s="217"/>
      <c r="AJ35" s="217"/>
      <c r="AK35" s="217"/>
      <c r="AL35" s="217"/>
      <c r="AM35" s="217"/>
    </row>
    <row r="36" spans="1:39" x14ac:dyDescent="0.25">
      <c r="A36" s="217"/>
      <c r="B36" s="217"/>
      <c r="C36" s="217"/>
      <c r="D36" s="217"/>
      <c r="E36" s="217"/>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c r="AE36" s="217"/>
      <c r="AF36" s="217"/>
      <c r="AG36" s="217"/>
      <c r="AH36" s="217"/>
      <c r="AI36" s="217"/>
      <c r="AJ36" s="217"/>
      <c r="AK36" s="217"/>
      <c r="AL36" s="217"/>
      <c r="AM36" s="217"/>
    </row>
    <row r="37" spans="1:39" x14ac:dyDescent="0.25">
      <c r="A37" s="217"/>
      <c r="B37" s="217"/>
      <c r="C37" s="217"/>
      <c r="D37" s="217"/>
      <c r="E37" s="217"/>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c r="AE37" s="217"/>
      <c r="AF37" s="217"/>
      <c r="AG37" s="217"/>
      <c r="AH37" s="217"/>
      <c r="AI37" s="217"/>
      <c r="AJ37" s="217"/>
      <c r="AK37" s="217"/>
      <c r="AL37" s="217"/>
      <c r="AM37" s="217"/>
    </row>
    <row r="38" spans="1:39" x14ac:dyDescent="0.25">
      <c r="A38" s="217"/>
      <c r="B38" s="217"/>
      <c r="C38" s="217"/>
      <c r="D38" s="217"/>
      <c r="E38" s="217"/>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c r="AE38" s="217"/>
      <c r="AF38" s="217"/>
      <c r="AG38" s="217"/>
      <c r="AH38" s="217"/>
      <c r="AI38" s="217"/>
      <c r="AJ38" s="217"/>
      <c r="AK38" s="217"/>
      <c r="AL38" s="217"/>
      <c r="AM38" s="217"/>
    </row>
    <row r="39" spans="1:39" x14ac:dyDescent="0.25">
      <c r="A39" s="217"/>
      <c r="B39" s="217"/>
      <c r="C39" s="217"/>
      <c r="D39" s="217"/>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7"/>
      <c r="AI39" s="217"/>
      <c r="AJ39" s="217"/>
      <c r="AK39" s="217"/>
      <c r="AL39" s="217"/>
      <c r="AM39" s="217"/>
    </row>
    <row r="40" spans="1:39" x14ac:dyDescent="0.25">
      <c r="A40" s="217"/>
      <c r="B40" s="217"/>
      <c r="C40" s="217"/>
      <c r="D40" s="217"/>
      <c r="E40" s="217"/>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c r="AE40" s="217"/>
      <c r="AF40" s="217"/>
      <c r="AG40" s="217"/>
      <c r="AH40" s="217"/>
      <c r="AI40" s="217"/>
      <c r="AJ40" s="217"/>
      <c r="AK40" s="217"/>
      <c r="AL40" s="217"/>
      <c r="AM40" s="217"/>
    </row>
    <row r="41" spans="1:39" x14ac:dyDescent="0.25">
      <c r="A41" s="217"/>
      <c r="B41" s="217"/>
      <c r="C41" s="217"/>
      <c r="D41" s="217"/>
      <c r="E41" s="217"/>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c r="AE41" s="217"/>
      <c r="AF41" s="217"/>
      <c r="AG41" s="217"/>
      <c r="AH41" s="217"/>
      <c r="AI41" s="217"/>
      <c r="AJ41" s="217"/>
      <c r="AK41" s="217"/>
      <c r="AL41" s="217"/>
      <c r="AM41" s="217"/>
    </row>
    <row r="42" spans="1:39" x14ac:dyDescent="0.25">
      <c r="A42" s="217"/>
      <c r="B42" s="217"/>
      <c r="C42" s="217"/>
      <c r="D42" s="217"/>
      <c r="E42" s="217"/>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c r="AE42" s="217"/>
      <c r="AF42" s="217"/>
      <c r="AG42" s="217"/>
      <c r="AH42" s="217"/>
      <c r="AI42" s="217"/>
      <c r="AJ42" s="217"/>
      <c r="AK42" s="217"/>
      <c r="AL42" s="217"/>
      <c r="AM42" s="217"/>
    </row>
    <row r="43" spans="1:39" x14ac:dyDescent="0.25">
      <c r="A43" s="217"/>
      <c r="B43" s="217"/>
      <c r="C43" s="217"/>
      <c r="D43" s="217"/>
      <c r="E43" s="217"/>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7"/>
      <c r="AE43" s="217"/>
      <c r="AF43" s="217"/>
      <c r="AG43" s="217"/>
      <c r="AH43" s="217"/>
      <c r="AI43" s="217"/>
      <c r="AJ43" s="217"/>
      <c r="AK43" s="217"/>
      <c r="AL43" s="217"/>
      <c r="AM43" s="217"/>
    </row>
    <row r="44" spans="1:39" x14ac:dyDescent="0.25">
      <c r="A44" s="217"/>
      <c r="B44" s="217"/>
      <c r="C44" s="217"/>
      <c r="D44" s="217"/>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7"/>
      <c r="AI44" s="217"/>
      <c r="AJ44" s="217"/>
      <c r="AK44" s="217"/>
      <c r="AL44" s="217"/>
      <c r="AM44" s="217"/>
    </row>
    <row r="45" spans="1:39" x14ac:dyDescent="0.25">
      <c r="A45" s="217"/>
      <c r="B45" s="217"/>
      <c r="C45" s="217"/>
      <c r="D45" s="217"/>
      <c r="E45" s="217"/>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c r="AE45" s="217"/>
      <c r="AF45" s="217"/>
      <c r="AG45" s="217"/>
      <c r="AH45" s="217"/>
      <c r="AI45" s="217"/>
      <c r="AJ45" s="217"/>
      <c r="AK45" s="217"/>
      <c r="AL45" s="217"/>
      <c r="AM45" s="217"/>
    </row>
    <row r="46" spans="1:39" x14ac:dyDescent="0.25">
      <c r="A46" s="217"/>
      <c r="B46" s="217"/>
      <c r="C46" s="217"/>
      <c r="D46" s="217"/>
      <c r="E46" s="217"/>
      <c r="F46" s="217"/>
      <c r="G46" s="217"/>
      <c r="H46" s="217"/>
      <c r="I46" s="217"/>
      <c r="J46" s="217"/>
      <c r="K46" s="217"/>
      <c r="L46" s="217"/>
      <c r="M46" s="217"/>
      <c r="N46" s="217"/>
      <c r="O46" s="217"/>
      <c r="P46" s="217"/>
      <c r="Q46" s="217"/>
      <c r="R46" s="217"/>
      <c r="S46" s="217"/>
      <c r="T46" s="217"/>
      <c r="U46" s="217"/>
      <c r="V46" s="217"/>
      <c r="W46" s="217"/>
      <c r="X46" s="217"/>
      <c r="Y46" s="217"/>
      <c r="Z46" s="217"/>
      <c r="AA46" s="217"/>
      <c r="AB46" s="217"/>
      <c r="AC46" s="217"/>
      <c r="AD46" s="217"/>
      <c r="AE46" s="217"/>
      <c r="AF46" s="217"/>
      <c r="AG46" s="217"/>
      <c r="AH46" s="217"/>
      <c r="AI46" s="217"/>
      <c r="AJ46" s="217"/>
      <c r="AK46" s="217"/>
      <c r="AL46" s="217"/>
      <c r="AM46" s="217"/>
    </row>
    <row r="47" spans="1:39" x14ac:dyDescent="0.25">
      <c r="A47" s="217"/>
      <c r="B47" s="217"/>
      <c r="C47" s="217"/>
      <c r="D47" s="217"/>
      <c r="E47" s="217"/>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c r="AE47" s="217"/>
      <c r="AF47" s="217"/>
      <c r="AG47" s="217"/>
      <c r="AH47" s="217"/>
      <c r="AI47" s="217"/>
      <c r="AJ47" s="217"/>
      <c r="AK47" s="217"/>
      <c r="AL47" s="217"/>
      <c r="AM47" s="217"/>
    </row>
    <row r="48" spans="1:39" x14ac:dyDescent="0.25">
      <c r="A48" s="217"/>
      <c r="B48" s="217"/>
      <c r="C48" s="217"/>
      <c r="D48" s="217"/>
      <c r="E48" s="217"/>
      <c r="F48" s="217"/>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c r="AE48" s="217"/>
      <c r="AF48" s="217"/>
      <c r="AG48" s="217"/>
      <c r="AH48" s="217"/>
      <c r="AI48" s="217"/>
      <c r="AJ48" s="217"/>
      <c r="AK48" s="217"/>
      <c r="AL48" s="217"/>
      <c r="AM48" s="217"/>
    </row>
    <row r="49" spans="1:39" x14ac:dyDescent="0.25">
      <c r="A49" s="217"/>
      <c r="B49" s="217"/>
      <c r="C49" s="217"/>
      <c r="D49" s="217"/>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7"/>
      <c r="AI49" s="217"/>
      <c r="AJ49" s="217"/>
      <c r="AK49" s="217"/>
      <c r="AL49" s="217"/>
      <c r="AM49" s="217"/>
    </row>
    <row r="50" spans="1:39" x14ac:dyDescent="0.25">
      <c r="A50" s="217"/>
      <c r="B50" s="217"/>
      <c r="C50" s="217"/>
      <c r="D50" s="217"/>
      <c r="E50" s="217"/>
      <c r="F50" s="217"/>
      <c r="G50" s="217"/>
      <c r="H50" s="217"/>
      <c r="I50" s="217"/>
      <c r="J50" s="217"/>
      <c r="K50" s="217"/>
      <c r="L50" s="217"/>
      <c r="M50" s="217"/>
      <c r="N50" s="217"/>
      <c r="O50" s="217"/>
      <c r="P50" s="217"/>
      <c r="Q50" s="217"/>
      <c r="R50" s="217"/>
      <c r="S50" s="217"/>
      <c r="T50" s="217"/>
      <c r="U50" s="217"/>
      <c r="V50" s="217"/>
      <c r="W50" s="217"/>
      <c r="X50" s="217"/>
      <c r="Y50" s="217"/>
      <c r="Z50" s="217"/>
      <c r="AA50" s="217"/>
      <c r="AB50" s="217"/>
      <c r="AC50" s="217"/>
      <c r="AD50" s="217"/>
      <c r="AE50" s="217"/>
      <c r="AF50" s="217"/>
      <c r="AG50" s="217"/>
      <c r="AH50" s="217"/>
      <c r="AI50" s="217"/>
      <c r="AJ50" s="217"/>
      <c r="AK50" s="217"/>
      <c r="AL50" s="217"/>
      <c r="AM50" s="217"/>
    </row>
    <row r="51" spans="1:39" x14ac:dyDescent="0.25">
      <c r="A51" s="217"/>
      <c r="B51" s="217"/>
      <c r="C51" s="217"/>
      <c r="D51" s="217"/>
      <c r="E51" s="217"/>
      <c r="F51" s="217"/>
      <c r="G51" s="217"/>
      <c r="H51" s="217"/>
      <c r="I51" s="217"/>
      <c r="J51" s="217"/>
      <c r="K51" s="217"/>
      <c r="L51" s="217"/>
      <c r="M51" s="217"/>
      <c r="N51" s="217"/>
      <c r="O51" s="217"/>
      <c r="P51" s="217"/>
      <c r="Q51" s="217"/>
      <c r="R51" s="217"/>
      <c r="S51" s="217"/>
      <c r="T51" s="217"/>
      <c r="U51" s="217"/>
      <c r="V51" s="217"/>
      <c r="W51" s="217"/>
      <c r="X51" s="217"/>
      <c r="Y51" s="217"/>
      <c r="Z51" s="217"/>
      <c r="AA51" s="217"/>
      <c r="AB51" s="217"/>
      <c r="AC51" s="217"/>
      <c r="AD51" s="217"/>
      <c r="AE51" s="217"/>
      <c r="AF51" s="217"/>
      <c r="AG51" s="217"/>
      <c r="AH51" s="217"/>
      <c r="AI51" s="217"/>
      <c r="AJ51" s="217"/>
      <c r="AK51" s="217"/>
      <c r="AL51" s="217"/>
      <c r="AM51" s="217"/>
    </row>
    <row r="52" spans="1:39" x14ac:dyDescent="0.25">
      <c r="A52" s="217"/>
      <c r="B52" s="217"/>
      <c r="C52" s="217"/>
      <c r="D52" s="217"/>
      <c r="E52" s="217"/>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c r="AE52" s="217"/>
      <c r="AF52" s="217"/>
      <c r="AG52" s="217"/>
      <c r="AH52" s="217"/>
      <c r="AI52" s="217"/>
      <c r="AJ52" s="217"/>
      <c r="AK52" s="217"/>
      <c r="AL52" s="217"/>
      <c r="AM52" s="217"/>
    </row>
    <row r="53" spans="1:39" x14ac:dyDescent="0.25">
      <c r="A53" s="217"/>
      <c r="B53" s="217"/>
      <c r="C53" s="217"/>
      <c r="D53" s="217"/>
      <c r="E53" s="217"/>
      <c r="F53" s="217"/>
      <c r="G53" s="217"/>
      <c r="H53" s="217"/>
      <c r="I53" s="217"/>
      <c r="J53" s="217"/>
      <c r="K53" s="217"/>
      <c r="L53" s="217"/>
      <c r="M53" s="217"/>
      <c r="N53" s="217"/>
      <c r="O53" s="217"/>
      <c r="P53" s="217"/>
      <c r="Q53" s="217"/>
      <c r="R53" s="217"/>
      <c r="S53" s="217"/>
      <c r="T53" s="217"/>
      <c r="U53" s="217"/>
      <c r="V53" s="217"/>
      <c r="W53" s="217"/>
      <c r="X53" s="217"/>
      <c r="Y53" s="217"/>
      <c r="Z53" s="217"/>
      <c r="AA53" s="217"/>
      <c r="AB53" s="217"/>
      <c r="AC53" s="217"/>
      <c r="AD53" s="217"/>
      <c r="AE53" s="217"/>
      <c r="AF53" s="217"/>
      <c r="AG53" s="217"/>
      <c r="AH53" s="217"/>
      <c r="AI53" s="217"/>
      <c r="AJ53" s="217"/>
      <c r="AK53" s="217"/>
      <c r="AL53" s="217"/>
      <c r="AM53" s="217"/>
    </row>
    <row r="54" spans="1:39" x14ac:dyDescent="0.25">
      <c r="A54" s="217"/>
      <c r="B54" s="217"/>
      <c r="C54" s="217"/>
      <c r="D54" s="217"/>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7"/>
      <c r="AI54" s="217"/>
      <c r="AJ54" s="217"/>
      <c r="AK54" s="217"/>
      <c r="AL54" s="217"/>
      <c r="AM54" s="217"/>
    </row>
    <row r="55" spans="1:39" x14ac:dyDescent="0.25">
      <c r="A55" s="217"/>
      <c r="B55" s="217"/>
      <c r="C55" s="217"/>
      <c r="D55" s="217"/>
      <c r="E55" s="217"/>
      <c r="F55" s="217"/>
      <c r="G55" s="217"/>
      <c r="H55" s="217"/>
      <c r="I55" s="217"/>
      <c r="J55" s="217"/>
      <c r="K55" s="217"/>
      <c r="L55" s="217"/>
      <c r="M55" s="217"/>
      <c r="N55" s="217"/>
      <c r="O55" s="217"/>
      <c r="P55" s="217"/>
      <c r="Q55" s="217"/>
      <c r="R55" s="217"/>
      <c r="S55" s="217"/>
      <c r="T55" s="217"/>
      <c r="U55" s="217"/>
      <c r="V55" s="217"/>
      <c r="W55" s="217"/>
      <c r="X55" s="217"/>
      <c r="Y55" s="217"/>
      <c r="Z55" s="217"/>
      <c r="AA55" s="217"/>
      <c r="AB55" s="217"/>
      <c r="AC55" s="217"/>
      <c r="AD55" s="217"/>
      <c r="AE55" s="217"/>
      <c r="AF55" s="217"/>
      <c r="AG55" s="217"/>
      <c r="AH55" s="217"/>
      <c r="AI55" s="217"/>
      <c r="AJ55" s="217"/>
      <c r="AK55" s="217"/>
      <c r="AL55" s="217"/>
      <c r="AM55" s="217"/>
    </row>
    <row r="56" spans="1:39" x14ac:dyDescent="0.25">
      <c r="A56" s="217"/>
      <c r="B56" s="217"/>
      <c r="C56" s="217"/>
      <c r="D56" s="217"/>
      <c r="E56" s="217"/>
      <c r="F56" s="217"/>
      <c r="G56" s="217"/>
      <c r="H56" s="217"/>
      <c r="I56" s="217"/>
      <c r="J56" s="217"/>
      <c r="K56" s="217"/>
      <c r="L56" s="217"/>
      <c r="M56" s="217"/>
      <c r="N56" s="217"/>
      <c r="O56" s="217"/>
      <c r="P56" s="217"/>
      <c r="Q56" s="217"/>
      <c r="R56" s="217"/>
      <c r="S56" s="217"/>
      <c r="T56" s="217"/>
      <c r="U56" s="217"/>
      <c r="V56" s="217"/>
      <c r="W56" s="217"/>
      <c r="X56" s="217"/>
      <c r="Y56" s="217"/>
      <c r="Z56" s="217"/>
      <c r="AA56" s="217"/>
      <c r="AB56" s="217"/>
      <c r="AC56" s="217"/>
      <c r="AD56" s="217"/>
      <c r="AE56" s="217"/>
      <c r="AF56" s="217"/>
      <c r="AG56" s="217"/>
      <c r="AH56" s="217"/>
      <c r="AI56" s="217"/>
      <c r="AJ56" s="217"/>
      <c r="AK56" s="217"/>
      <c r="AL56" s="217"/>
      <c r="AM56" s="217"/>
    </row>
    <row r="57" spans="1:39" x14ac:dyDescent="0.25">
      <c r="A57" s="217"/>
      <c r="B57" s="217"/>
      <c r="C57" s="217"/>
      <c r="D57" s="217"/>
      <c r="E57" s="217"/>
      <c r="F57" s="217"/>
      <c r="G57" s="217"/>
      <c r="H57" s="217"/>
      <c r="I57" s="217"/>
      <c r="J57" s="217"/>
      <c r="K57" s="217"/>
      <c r="L57" s="217"/>
      <c r="M57" s="217"/>
      <c r="N57" s="217"/>
      <c r="O57" s="217"/>
      <c r="P57" s="217"/>
      <c r="Q57" s="217"/>
      <c r="R57" s="217"/>
      <c r="S57" s="217"/>
      <c r="T57" s="217"/>
      <c r="U57" s="217"/>
      <c r="V57" s="217"/>
      <c r="W57" s="217"/>
      <c r="X57" s="217"/>
      <c r="Y57" s="217"/>
      <c r="Z57" s="217"/>
      <c r="AA57" s="217"/>
      <c r="AB57" s="217"/>
      <c r="AC57" s="217"/>
      <c r="AD57" s="217"/>
      <c r="AE57" s="217"/>
      <c r="AF57" s="217"/>
      <c r="AG57" s="217"/>
      <c r="AH57" s="217"/>
      <c r="AI57" s="217"/>
      <c r="AJ57" s="217"/>
      <c r="AK57" s="217"/>
      <c r="AL57" s="217"/>
      <c r="AM57" s="217"/>
    </row>
    <row r="58" spans="1:39" x14ac:dyDescent="0.25">
      <c r="A58" s="217"/>
      <c r="B58" s="217"/>
      <c r="C58" s="217"/>
      <c r="D58" s="217"/>
      <c r="E58" s="217"/>
      <c r="F58" s="217"/>
      <c r="G58" s="217"/>
      <c r="H58" s="217"/>
      <c r="I58" s="217"/>
      <c r="J58" s="217"/>
      <c r="K58" s="217"/>
      <c r="L58" s="217"/>
      <c r="M58" s="217"/>
      <c r="N58" s="217"/>
      <c r="O58" s="217"/>
      <c r="P58" s="217"/>
      <c r="Q58" s="217"/>
      <c r="R58" s="217"/>
      <c r="S58" s="217"/>
      <c r="T58" s="217"/>
      <c r="U58" s="217"/>
      <c r="V58" s="217"/>
      <c r="W58" s="217"/>
      <c r="X58" s="217"/>
      <c r="Y58" s="217"/>
      <c r="Z58" s="217"/>
      <c r="AA58" s="217"/>
      <c r="AB58" s="217"/>
      <c r="AC58" s="217"/>
      <c r="AD58" s="217"/>
      <c r="AE58" s="217"/>
      <c r="AF58" s="217"/>
      <c r="AG58" s="217"/>
      <c r="AH58" s="217"/>
      <c r="AI58" s="217"/>
      <c r="AJ58" s="217"/>
      <c r="AK58" s="217"/>
      <c r="AL58" s="217"/>
      <c r="AM58" s="217"/>
    </row>
    <row r="59" spans="1:39" x14ac:dyDescent="0.25">
      <c r="A59" s="217"/>
      <c r="B59" s="217"/>
      <c r="C59" s="217"/>
      <c r="D59" s="217"/>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7"/>
      <c r="AI59" s="217"/>
      <c r="AJ59" s="217"/>
      <c r="AK59" s="217"/>
      <c r="AL59" s="217"/>
      <c r="AM59" s="217"/>
    </row>
    <row r="60" spans="1:39" x14ac:dyDescent="0.25">
      <c r="A60" s="217"/>
      <c r="B60" s="217"/>
      <c r="C60" s="217"/>
      <c r="D60" s="217"/>
      <c r="E60" s="217"/>
      <c r="F60" s="217"/>
      <c r="G60" s="217"/>
      <c r="H60" s="217"/>
      <c r="I60" s="217"/>
      <c r="J60" s="217"/>
      <c r="K60" s="217"/>
      <c r="L60" s="217"/>
      <c r="M60" s="217"/>
      <c r="N60" s="217"/>
      <c r="O60" s="217"/>
      <c r="P60" s="217"/>
      <c r="Q60" s="217"/>
      <c r="R60" s="217"/>
      <c r="S60" s="217"/>
      <c r="T60" s="217"/>
      <c r="U60" s="217"/>
      <c r="V60" s="217"/>
      <c r="W60" s="217"/>
      <c r="X60" s="217"/>
      <c r="Y60" s="217"/>
      <c r="Z60" s="217"/>
      <c r="AA60" s="217"/>
      <c r="AB60" s="217"/>
      <c r="AC60" s="217"/>
      <c r="AD60" s="217"/>
      <c r="AE60" s="217"/>
      <c r="AF60" s="217"/>
      <c r="AG60" s="217"/>
      <c r="AH60" s="217"/>
      <c r="AI60" s="217"/>
      <c r="AJ60" s="217"/>
      <c r="AK60" s="217"/>
      <c r="AL60" s="217"/>
      <c r="AM60" s="217"/>
    </row>
    <row r="61" spans="1:39" x14ac:dyDescent="0.25">
      <c r="A61" s="217"/>
      <c r="B61" s="217"/>
      <c r="C61" s="217"/>
      <c r="D61" s="217"/>
      <c r="E61" s="217"/>
      <c r="F61" s="217"/>
      <c r="G61" s="217"/>
      <c r="H61" s="217"/>
      <c r="I61" s="217"/>
      <c r="J61" s="217"/>
      <c r="K61" s="217"/>
      <c r="L61" s="217"/>
      <c r="M61" s="217"/>
      <c r="N61" s="217"/>
      <c r="O61" s="217"/>
      <c r="P61" s="217"/>
      <c r="Q61" s="217"/>
      <c r="R61" s="217"/>
      <c r="S61" s="217"/>
      <c r="T61" s="217"/>
      <c r="U61" s="217"/>
      <c r="V61" s="217"/>
      <c r="W61" s="217"/>
      <c r="X61" s="217"/>
      <c r="Y61" s="217"/>
      <c r="Z61" s="217"/>
      <c r="AA61" s="217"/>
      <c r="AB61" s="217"/>
      <c r="AC61" s="217"/>
      <c r="AD61" s="217"/>
      <c r="AE61" s="217"/>
      <c r="AF61" s="217"/>
      <c r="AG61" s="217"/>
      <c r="AH61" s="217"/>
      <c r="AI61" s="217"/>
      <c r="AJ61" s="217"/>
      <c r="AK61" s="217"/>
      <c r="AL61" s="217"/>
      <c r="AM61" s="217"/>
    </row>
    <row r="62" spans="1:39" x14ac:dyDescent="0.25">
      <c r="A62" s="217"/>
      <c r="B62" s="217"/>
      <c r="C62" s="217"/>
      <c r="D62" s="217"/>
      <c r="E62" s="217"/>
      <c r="F62" s="217"/>
      <c r="G62" s="217"/>
      <c r="H62" s="217"/>
      <c r="I62" s="217"/>
      <c r="J62" s="217"/>
      <c r="K62" s="217"/>
      <c r="L62" s="217"/>
      <c r="M62" s="217"/>
      <c r="N62" s="217"/>
      <c r="O62" s="217"/>
      <c r="P62" s="217"/>
      <c r="Q62" s="217"/>
      <c r="R62" s="217"/>
      <c r="S62" s="217"/>
      <c r="T62" s="217"/>
      <c r="U62" s="217"/>
      <c r="V62" s="217"/>
      <c r="W62" s="217"/>
      <c r="X62" s="217"/>
      <c r="Y62" s="217"/>
      <c r="Z62" s="217"/>
      <c r="AA62" s="217"/>
      <c r="AB62" s="217"/>
      <c r="AC62" s="217"/>
      <c r="AD62" s="217"/>
      <c r="AE62" s="217"/>
      <c r="AF62" s="217"/>
      <c r="AG62" s="217"/>
      <c r="AH62" s="217"/>
      <c r="AI62" s="217"/>
      <c r="AJ62" s="217"/>
      <c r="AK62" s="217"/>
      <c r="AL62" s="217"/>
      <c r="AM62" s="217"/>
    </row>
    <row r="63" spans="1:39" x14ac:dyDescent="0.25">
      <c r="A63" s="217"/>
      <c r="B63" s="217"/>
      <c r="C63" s="217"/>
      <c r="D63" s="217"/>
      <c r="E63" s="217"/>
      <c r="F63" s="217"/>
      <c r="G63" s="217"/>
      <c r="H63" s="217"/>
      <c r="I63" s="217"/>
      <c r="J63" s="217"/>
      <c r="K63" s="217"/>
      <c r="L63" s="217"/>
      <c r="M63" s="217"/>
      <c r="N63" s="217"/>
      <c r="O63" s="217"/>
      <c r="P63" s="217"/>
      <c r="Q63" s="217"/>
      <c r="R63" s="217"/>
      <c r="S63" s="217"/>
      <c r="T63" s="217"/>
      <c r="U63" s="217"/>
      <c r="V63" s="217"/>
      <c r="W63" s="217"/>
      <c r="X63" s="217"/>
      <c r="Y63" s="217"/>
      <c r="Z63" s="217"/>
      <c r="AA63" s="217"/>
      <c r="AB63" s="217"/>
      <c r="AC63" s="217"/>
      <c r="AD63" s="217"/>
      <c r="AE63" s="217"/>
      <c r="AF63" s="217"/>
      <c r="AG63" s="217"/>
      <c r="AH63" s="217"/>
      <c r="AI63" s="217"/>
      <c r="AJ63" s="217"/>
      <c r="AK63" s="217"/>
      <c r="AL63" s="217"/>
      <c r="AM63" s="217"/>
    </row>
    <row r="64" spans="1:39" x14ac:dyDescent="0.25">
      <c r="A64" s="217"/>
      <c r="B64" s="217"/>
      <c r="C64" s="217"/>
      <c r="D64" s="217"/>
      <c r="E64" s="217"/>
      <c r="F64" s="217"/>
      <c r="G64" s="217"/>
      <c r="H64" s="217"/>
      <c r="I64" s="217"/>
      <c r="J64" s="217"/>
      <c r="K64" s="217"/>
      <c r="L64" s="217"/>
      <c r="M64" s="217"/>
      <c r="N64" s="217"/>
      <c r="O64" s="217"/>
      <c r="P64" s="217"/>
      <c r="Q64" s="217"/>
      <c r="R64" s="217"/>
      <c r="S64" s="217"/>
      <c r="T64" s="217"/>
      <c r="U64" s="217"/>
      <c r="V64" s="217"/>
      <c r="W64" s="217"/>
      <c r="X64" s="217"/>
      <c r="Y64" s="217"/>
      <c r="Z64" s="217"/>
      <c r="AA64" s="217"/>
      <c r="AB64" s="217"/>
      <c r="AC64" s="217"/>
      <c r="AD64" s="217"/>
      <c r="AE64" s="217"/>
      <c r="AF64" s="217"/>
      <c r="AG64" s="217"/>
      <c r="AH64" s="217"/>
      <c r="AI64" s="217"/>
      <c r="AJ64" s="217"/>
      <c r="AK64" s="217"/>
      <c r="AL64" s="217"/>
      <c r="AM64" s="217"/>
    </row>
    <row r="65" spans="1:39" x14ac:dyDescent="0.25">
      <c r="A65" s="217"/>
      <c r="B65" s="217"/>
      <c r="C65" s="217"/>
      <c r="D65" s="217"/>
      <c r="E65" s="217"/>
      <c r="F65" s="217"/>
      <c r="G65" s="217"/>
      <c r="H65" s="217"/>
      <c r="I65" s="217"/>
      <c r="J65" s="217"/>
      <c r="K65" s="217"/>
      <c r="L65" s="217"/>
      <c r="M65" s="217"/>
      <c r="N65" s="217"/>
      <c r="O65" s="217"/>
      <c r="P65" s="217"/>
      <c r="Q65" s="217"/>
      <c r="R65" s="217"/>
      <c r="S65" s="217"/>
      <c r="T65" s="217"/>
      <c r="U65" s="217"/>
      <c r="V65" s="217"/>
      <c r="W65" s="217"/>
      <c r="X65" s="217"/>
      <c r="Y65" s="217"/>
      <c r="Z65" s="217"/>
      <c r="AA65" s="217"/>
      <c r="AB65" s="217"/>
      <c r="AC65" s="217"/>
      <c r="AD65" s="217"/>
      <c r="AE65" s="217"/>
      <c r="AF65" s="217"/>
      <c r="AG65" s="217"/>
      <c r="AH65" s="217"/>
      <c r="AI65" s="217"/>
      <c r="AJ65" s="217"/>
      <c r="AK65" s="217"/>
      <c r="AL65" s="217"/>
      <c r="AM65" s="217"/>
    </row>
    <row r="66" spans="1:39" x14ac:dyDescent="0.25">
      <c r="A66" s="217"/>
      <c r="B66" s="217"/>
      <c r="C66" s="217"/>
      <c r="D66" s="217"/>
      <c r="E66" s="217"/>
      <c r="F66" s="217"/>
      <c r="G66" s="217"/>
      <c r="H66" s="217"/>
      <c r="I66" s="217"/>
      <c r="J66" s="217"/>
      <c r="K66" s="217"/>
      <c r="L66" s="217"/>
      <c r="M66" s="217"/>
      <c r="N66" s="217"/>
      <c r="O66" s="217"/>
      <c r="P66" s="217"/>
      <c r="Q66" s="217"/>
      <c r="R66" s="217"/>
      <c r="S66" s="217"/>
      <c r="T66" s="217"/>
      <c r="U66" s="217"/>
      <c r="V66" s="217"/>
      <c r="W66" s="217"/>
      <c r="X66" s="217"/>
      <c r="Y66" s="217"/>
      <c r="Z66" s="217"/>
      <c r="AA66" s="217"/>
      <c r="AB66" s="217"/>
      <c r="AC66" s="217"/>
      <c r="AD66" s="217"/>
      <c r="AE66" s="217"/>
      <c r="AF66" s="217"/>
      <c r="AG66" s="217"/>
      <c r="AH66" s="217"/>
      <c r="AI66" s="217"/>
      <c r="AJ66" s="217"/>
      <c r="AK66" s="217"/>
      <c r="AL66" s="217"/>
      <c r="AM66" s="217"/>
    </row>
    <row r="67" spans="1:39" x14ac:dyDescent="0.25">
      <c r="A67" s="217"/>
      <c r="B67" s="217"/>
      <c r="C67" s="217"/>
      <c r="D67" s="217"/>
      <c r="E67" s="217"/>
      <c r="F67" s="217"/>
      <c r="G67" s="217"/>
      <c r="H67" s="217"/>
      <c r="I67" s="217"/>
      <c r="J67" s="217"/>
      <c r="K67" s="217"/>
      <c r="L67" s="217"/>
      <c r="M67" s="217"/>
      <c r="N67" s="217"/>
      <c r="O67" s="217"/>
      <c r="P67" s="217"/>
      <c r="Q67" s="217"/>
      <c r="R67" s="217"/>
      <c r="S67" s="217"/>
      <c r="T67" s="217"/>
      <c r="U67" s="217"/>
      <c r="V67" s="217"/>
      <c r="W67" s="217"/>
      <c r="X67" s="217"/>
      <c r="Y67" s="217"/>
      <c r="Z67" s="217"/>
      <c r="AA67" s="217"/>
      <c r="AB67" s="217"/>
      <c r="AC67" s="217"/>
      <c r="AD67" s="217"/>
      <c r="AE67" s="217"/>
      <c r="AF67" s="217"/>
      <c r="AG67" s="217"/>
      <c r="AH67" s="217"/>
      <c r="AI67" s="217"/>
      <c r="AJ67" s="217"/>
      <c r="AK67" s="217"/>
      <c r="AL67" s="217"/>
      <c r="AM67" s="217"/>
    </row>
    <row r="68" spans="1:39" x14ac:dyDescent="0.25">
      <c r="A68" s="217"/>
      <c r="B68" s="217"/>
      <c r="C68" s="217"/>
      <c r="D68" s="217"/>
      <c r="E68" s="217"/>
      <c r="F68" s="217"/>
      <c r="G68" s="217"/>
      <c r="H68" s="217"/>
      <c r="I68" s="217"/>
      <c r="J68" s="217"/>
      <c r="K68" s="217"/>
      <c r="L68" s="217"/>
      <c r="M68" s="217"/>
      <c r="N68" s="217"/>
      <c r="O68" s="217"/>
      <c r="P68" s="217"/>
      <c r="Q68" s="217"/>
      <c r="R68" s="217"/>
      <c r="S68" s="217"/>
      <c r="T68" s="217"/>
      <c r="U68" s="217"/>
      <c r="V68" s="217"/>
      <c r="W68" s="217"/>
      <c r="X68" s="217"/>
      <c r="Y68" s="217"/>
      <c r="Z68" s="217"/>
      <c r="AA68" s="217"/>
      <c r="AB68" s="217"/>
      <c r="AC68" s="217"/>
      <c r="AD68" s="217"/>
      <c r="AE68" s="217"/>
      <c r="AF68" s="217"/>
      <c r="AG68" s="217"/>
      <c r="AH68" s="217"/>
      <c r="AI68" s="217"/>
      <c r="AJ68" s="217"/>
      <c r="AK68" s="217"/>
      <c r="AL68" s="217"/>
      <c r="AM68" s="217"/>
    </row>
    <row r="69" spans="1:39" x14ac:dyDescent="0.25">
      <c r="A69" s="217"/>
      <c r="B69" s="217"/>
      <c r="C69" s="217"/>
      <c r="D69" s="217"/>
      <c r="E69" s="217"/>
      <c r="F69" s="217"/>
      <c r="G69" s="217"/>
      <c r="H69" s="217"/>
      <c r="I69" s="217"/>
      <c r="J69" s="217"/>
      <c r="K69" s="217"/>
      <c r="L69" s="217"/>
      <c r="M69" s="217"/>
      <c r="N69" s="217"/>
      <c r="O69" s="217"/>
      <c r="P69" s="217"/>
      <c r="Q69" s="217"/>
      <c r="R69" s="217"/>
      <c r="S69" s="217"/>
      <c r="T69" s="217"/>
      <c r="U69" s="217"/>
      <c r="V69" s="217"/>
      <c r="W69" s="217"/>
      <c r="X69" s="217"/>
      <c r="Y69" s="217"/>
      <c r="Z69" s="217"/>
      <c r="AA69" s="217"/>
      <c r="AB69" s="217"/>
      <c r="AC69" s="217"/>
      <c r="AD69" s="217"/>
      <c r="AE69" s="217"/>
      <c r="AF69" s="217"/>
      <c r="AG69" s="217"/>
      <c r="AH69" s="217"/>
      <c r="AI69" s="217"/>
      <c r="AJ69" s="217"/>
      <c r="AK69" s="217"/>
      <c r="AL69" s="217"/>
      <c r="AM69" s="217"/>
    </row>
    <row r="70" spans="1:39" x14ac:dyDescent="0.25">
      <c r="A70" s="217"/>
      <c r="B70" s="217"/>
      <c r="C70" s="217"/>
      <c r="D70" s="217"/>
      <c r="E70" s="217"/>
      <c r="F70" s="217"/>
      <c r="G70" s="217"/>
      <c r="H70" s="217"/>
      <c r="I70" s="217"/>
      <c r="J70" s="217"/>
      <c r="K70" s="217"/>
      <c r="L70" s="217"/>
      <c r="M70" s="217"/>
      <c r="N70" s="217"/>
      <c r="O70" s="217"/>
      <c r="P70" s="217"/>
      <c r="Q70" s="217"/>
      <c r="R70" s="217"/>
      <c r="S70" s="217"/>
      <c r="T70" s="217"/>
      <c r="U70" s="217"/>
      <c r="V70" s="217"/>
      <c r="W70" s="217"/>
      <c r="X70" s="217"/>
      <c r="Y70" s="217"/>
      <c r="Z70" s="217"/>
      <c r="AA70" s="217"/>
      <c r="AB70" s="217"/>
      <c r="AC70" s="217"/>
      <c r="AD70" s="217"/>
      <c r="AE70" s="217"/>
      <c r="AF70" s="217"/>
      <c r="AG70" s="217"/>
      <c r="AH70" s="217"/>
      <c r="AI70" s="217"/>
      <c r="AJ70" s="217"/>
      <c r="AK70" s="217"/>
      <c r="AL70" s="217"/>
      <c r="AM70" s="217"/>
    </row>
    <row r="71" spans="1:39" x14ac:dyDescent="0.25">
      <c r="A71" s="217"/>
      <c r="B71" s="217"/>
      <c r="C71" s="217"/>
      <c r="D71" s="217"/>
      <c r="E71" s="217"/>
      <c r="F71" s="217"/>
      <c r="G71" s="217"/>
      <c r="H71" s="217"/>
      <c r="I71" s="217"/>
      <c r="J71" s="217"/>
      <c r="K71" s="217"/>
      <c r="L71" s="217"/>
      <c r="M71" s="217"/>
      <c r="N71" s="217"/>
      <c r="O71" s="217"/>
      <c r="P71" s="217"/>
      <c r="Q71" s="217"/>
      <c r="R71" s="217"/>
      <c r="S71" s="217"/>
      <c r="T71" s="217"/>
      <c r="U71" s="217"/>
      <c r="V71" s="217"/>
      <c r="W71" s="217"/>
      <c r="X71" s="217"/>
      <c r="Y71" s="217"/>
      <c r="Z71" s="217"/>
      <c r="AA71" s="217"/>
      <c r="AB71" s="217"/>
      <c r="AC71" s="217"/>
      <c r="AD71" s="217"/>
      <c r="AE71" s="217"/>
      <c r="AF71" s="217"/>
      <c r="AG71" s="217"/>
      <c r="AH71" s="217"/>
      <c r="AI71" s="217"/>
      <c r="AJ71" s="217"/>
      <c r="AK71" s="217"/>
      <c r="AL71" s="217"/>
      <c r="AM71" s="217"/>
    </row>
    <row r="72" spans="1:39" x14ac:dyDescent="0.25">
      <c r="A72" s="217"/>
      <c r="B72" s="217"/>
      <c r="C72" s="217"/>
      <c r="D72" s="217"/>
      <c r="E72" s="217"/>
      <c r="F72" s="217"/>
      <c r="G72" s="217"/>
      <c r="H72" s="217"/>
      <c r="I72" s="217"/>
      <c r="J72" s="217"/>
      <c r="K72" s="217"/>
      <c r="L72" s="217"/>
      <c r="M72" s="217"/>
      <c r="N72" s="217"/>
      <c r="O72" s="217"/>
      <c r="P72" s="217"/>
      <c r="Q72" s="217"/>
      <c r="R72" s="217"/>
      <c r="S72" s="217"/>
      <c r="T72" s="217"/>
      <c r="U72" s="217"/>
      <c r="V72" s="217"/>
      <c r="W72" s="217"/>
      <c r="X72" s="217"/>
      <c r="Y72" s="217"/>
      <c r="Z72" s="217"/>
      <c r="AA72" s="217"/>
      <c r="AB72" s="217"/>
      <c r="AC72" s="217"/>
      <c r="AD72" s="217"/>
      <c r="AE72" s="217"/>
      <c r="AF72" s="217"/>
      <c r="AG72" s="217"/>
      <c r="AH72" s="217"/>
      <c r="AI72" s="217"/>
      <c r="AJ72" s="217"/>
      <c r="AK72" s="217"/>
      <c r="AL72" s="217"/>
      <c r="AM72" s="217"/>
    </row>
  </sheetData>
  <mergeCells count="55">
    <mergeCell ref="D2:F2"/>
    <mergeCell ref="G1:G3"/>
    <mergeCell ref="I1:N2"/>
    <mergeCell ref="I19:N20"/>
    <mergeCell ref="I8:L8"/>
    <mergeCell ref="E13:G13"/>
    <mergeCell ref="A15:H15"/>
    <mergeCell ref="J3:M3"/>
    <mergeCell ref="K5:L5"/>
    <mergeCell ref="M9:N9"/>
    <mergeCell ref="B13:D13"/>
    <mergeCell ref="M5:N5"/>
    <mergeCell ref="D3:F3"/>
    <mergeCell ref="I10:N10"/>
    <mergeCell ref="M6:N6"/>
    <mergeCell ref="H5:J5"/>
    <mergeCell ref="I21:N26"/>
    <mergeCell ref="B10:G12"/>
    <mergeCell ref="I12:N12"/>
    <mergeCell ref="K4:L4"/>
    <mergeCell ref="A21:B26"/>
    <mergeCell ref="I15:N16"/>
    <mergeCell ref="A4:A6"/>
    <mergeCell ref="C21:D26"/>
    <mergeCell ref="I9:L9"/>
    <mergeCell ref="A10:A12"/>
    <mergeCell ref="I14:N14"/>
    <mergeCell ref="A16:H16"/>
    <mergeCell ref="A19:B20"/>
    <mergeCell ref="C19:D20"/>
    <mergeCell ref="M7:N7"/>
    <mergeCell ref="D7:E7"/>
    <mergeCell ref="I13:N13"/>
    <mergeCell ref="K6:L6"/>
    <mergeCell ref="A14:H14"/>
    <mergeCell ref="I7:L7"/>
    <mergeCell ref="A17:B17"/>
    <mergeCell ref="D9:E9"/>
    <mergeCell ref="A7:A9"/>
    <mergeCell ref="D1:F1"/>
    <mergeCell ref="M8:N8"/>
    <mergeCell ref="E21:F26"/>
    <mergeCell ref="H3:I3"/>
    <mergeCell ref="D8:E8"/>
    <mergeCell ref="G21:H26"/>
    <mergeCell ref="C17:M17"/>
    <mergeCell ref="I11:N11"/>
    <mergeCell ref="A1:C3"/>
    <mergeCell ref="H4:J4"/>
    <mergeCell ref="E19:F20"/>
    <mergeCell ref="G19:H20"/>
    <mergeCell ref="H1:H2"/>
    <mergeCell ref="M4:N4"/>
    <mergeCell ref="C18:M18"/>
    <mergeCell ref="H6:J6"/>
  </mergeCells>
  <phoneticPr fontId="1" type="noConversion"/>
  <dataValidations count="1">
    <dataValidation type="list" allowBlank="1" showInputMessage="1" showErrorMessage="1" sqref="B5:B6 B8:B9 G8:G9" xr:uid="{00000000-0002-0000-1D00-000000000000}">
      <formula1>姓名</formula1>
    </dataValidation>
  </dataValidation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工作表20">
    <tabColor theme="9" tint="0.59999389629810485"/>
  </sheetPr>
  <dimension ref="A1:G18"/>
  <sheetViews>
    <sheetView showGridLines="0" view="pageBreakPreview" zoomScale="130" zoomScaleNormal="100" zoomScaleSheetLayoutView="130" workbookViewId="0">
      <selection activeCell="I7" sqref="I7"/>
    </sheetView>
  </sheetViews>
  <sheetFormatPr defaultRowHeight="16.5" x14ac:dyDescent="0.25"/>
  <cols>
    <col min="1" max="7" width="12.375" style="545" customWidth="1"/>
  </cols>
  <sheetData>
    <row r="1" spans="1:7" ht="67.5" customHeight="1" x14ac:dyDescent="0.25">
      <c r="A1" s="962" t="s">
        <v>674</v>
      </c>
      <c r="B1" s="681"/>
      <c r="C1" s="681"/>
      <c r="D1" s="681"/>
      <c r="E1" s="681"/>
      <c r="F1" s="681"/>
      <c r="G1" s="681"/>
    </row>
    <row r="2" spans="1:7" ht="12" customHeight="1" x14ac:dyDescent="0.25">
      <c r="A2" s="160"/>
    </row>
    <row r="3" spans="1:7" ht="40.5" customHeight="1" x14ac:dyDescent="0.25">
      <c r="A3" s="964" t="str">
        <f>CONCATENATE("行為人 ",word用!$H$2," 因涉嫌加暴行於他人案件,經",輸入!$R$13,輸入!$S$13,輸入!$R$14,輸入!$S$14,"以違反「違反社會秩序維護法」第87條第1項第1款之規定,於",LEFT(下拉用!$J$5,10),"查獲並處分在案,本人同意捨棄聲明異議。")</f>
        <v>行為人 顏文祥 因涉嫌加暴行於他人案件,經以違反「違反社會秩序維護法」第87條第1項第1款之規定,於年月日時分查獲並處分在案,本人同意捨棄聲明異議。</v>
      </c>
      <c r="B3" s="681"/>
      <c r="C3" s="681"/>
      <c r="D3" s="681"/>
      <c r="E3" s="681"/>
      <c r="F3" s="681"/>
      <c r="G3" s="681"/>
    </row>
    <row r="4" spans="1:7" ht="40.5" customHeight="1" x14ac:dyDescent="0.25">
      <c r="A4" s="681"/>
      <c r="B4" s="681"/>
      <c r="C4" s="681"/>
      <c r="D4" s="681"/>
      <c r="E4" s="681"/>
      <c r="F4" s="681"/>
      <c r="G4" s="681"/>
    </row>
    <row r="5" spans="1:7" ht="40.5" customHeight="1" x14ac:dyDescent="0.25">
      <c r="A5" s="681"/>
      <c r="B5" s="681"/>
      <c r="C5" s="681"/>
      <c r="D5" s="681"/>
      <c r="E5" s="681"/>
      <c r="F5" s="681"/>
      <c r="G5" s="681"/>
    </row>
    <row r="6" spans="1:7" ht="40.5" customHeight="1" x14ac:dyDescent="0.25">
      <c r="A6" s="681"/>
      <c r="B6" s="681"/>
      <c r="C6" s="681"/>
      <c r="D6" s="681"/>
      <c r="E6" s="681"/>
      <c r="F6" s="681"/>
      <c r="G6" s="681"/>
    </row>
    <row r="7" spans="1:7" ht="40.5" customHeight="1" x14ac:dyDescent="0.25">
      <c r="A7" s="681"/>
      <c r="B7" s="681"/>
      <c r="C7" s="681"/>
      <c r="D7" s="681"/>
      <c r="E7" s="681"/>
      <c r="F7" s="681"/>
      <c r="G7" s="681"/>
    </row>
    <row r="8" spans="1:7" ht="40.5" customHeight="1" x14ac:dyDescent="0.25">
      <c r="A8" s="681"/>
      <c r="B8" s="681"/>
      <c r="C8" s="681"/>
      <c r="D8" s="681"/>
      <c r="E8" s="681"/>
      <c r="F8" s="681"/>
      <c r="G8" s="681"/>
    </row>
    <row r="9" spans="1:7" ht="40.5" customHeight="1" x14ac:dyDescent="0.25">
      <c r="A9" s="515"/>
      <c r="B9" s="515"/>
      <c r="C9" s="515"/>
      <c r="D9" s="515"/>
      <c r="E9" s="515"/>
      <c r="F9" s="515"/>
      <c r="G9" s="515"/>
    </row>
    <row r="10" spans="1:7" s="158" customFormat="1" ht="54" customHeight="1" x14ac:dyDescent="0.25">
      <c r="A10" s="159" t="s">
        <v>675</v>
      </c>
    </row>
    <row r="11" spans="1:7" s="158" customFormat="1" ht="54" customHeight="1" x14ac:dyDescent="0.25">
      <c r="A11" s="960"/>
      <c r="B11" s="961"/>
      <c r="C11" s="961"/>
      <c r="D11" s="961"/>
      <c r="E11" s="961"/>
      <c r="F11" s="961"/>
      <c r="G11" s="961"/>
    </row>
    <row r="12" spans="1:7" s="158" customFormat="1" ht="40.5" customHeight="1" x14ac:dyDescent="0.25">
      <c r="A12" s="965"/>
      <c r="B12" s="961"/>
      <c r="C12" s="961"/>
      <c r="D12" s="961"/>
      <c r="E12" s="961"/>
      <c r="F12" s="961"/>
      <c r="G12" s="961"/>
    </row>
    <row r="13" spans="1:7" s="158" customFormat="1" ht="45" customHeight="1" x14ac:dyDescent="0.25">
      <c r="A13" s="960" t="s">
        <v>676</v>
      </c>
      <c r="B13" s="961"/>
      <c r="C13" s="961"/>
      <c r="D13" s="961"/>
      <c r="E13" s="961"/>
      <c r="F13" s="961"/>
      <c r="G13" s="961"/>
    </row>
    <row r="14" spans="1:7" s="158" customFormat="1" ht="45" customHeight="1" x14ac:dyDescent="0.25">
      <c r="A14" s="960" t="s">
        <v>677</v>
      </c>
      <c r="B14" s="961"/>
      <c r="C14" s="961"/>
      <c r="D14" s="961"/>
      <c r="E14" s="961"/>
      <c r="F14" s="961"/>
      <c r="G14" s="961"/>
    </row>
    <row r="15" spans="1:7" s="158" customFormat="1" ht="45" customHeight="1" x14ac:dyDescent="0.25">
      <c r="A15" s="960" t="s">
        <v>678</v>
      </c>
      <c r="B15" s="961"/>
      <c r="C15" s="961"/>
      <c r="D15" s="961"/>
      <c r="E15" s="961"/>
      <c r="F15" s="961"/>
      <c r="G15" s="961"/>
    </row>
    <row r="16" spans="1:7" s="158" customFormat="1" ht="45" customHeight="1" x14ac:dyDescent="0.25"/>
    <row r="17" spans="1:7" s="158" customFormat="1" ht="40.5" customHeight="1" x14ac:dyDescent="0.25">
      <c r="A17" s="514"/>
      <c r="B17" s="514"/>
      <c r="C17" s="514"/>
      <c r="D17" s="514"/>
      <c r="E17" s="514"/>
      <c r="F17" s="514"/>
      <c r="G17" s="514"/>
    </row>
    <row r="18" spans="1:7" s="158" customFormat="1" ht="40.5" customHeight="1" x14ac:dyDescent="0.25">
      <c r="A18" s="963" t="str">
        <f>CONCATENATE("中　華　民　國",LEFT(下拉用!$J$5,10))</f>
        <v>中　華　民　國年月日時分</v>
      </c>
      <c r="B18" s="961"/>
      <c r="C18" s="961"/>
      <c r="D18" s="961"/>
      <c r="E18" s="961"/>
      <c r="F18" s="961"/>
      <c r="G18" s="961"/>
    </row>
  </sheetData>
  <mergeCells count="8">
    <mergeCell ref="A13:G13"/>
    <mergeCell ref="A14:G14"/>
    <mergeCell ref="A1:G1"/>
    <mergeCell ref="A18:G18"/>
    <mergeCell ref="A3:G8"/>
    <mergeCell ref="A12:G12"/>
    <mergeCell ref="A15:G15"/>
    <mergeCell ref="A11:G11"/>
  </mergeCells>
  <phoneticPr fontId="1" type="noConversion"/>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工作表21">
    <tabColor theme="9" tint="0.59999389629810485"/>
  </sheetPr>
  <dimension ref="A1:G18"/>
  <sheetViews>
    <sheetView showGridLines="0" view="pageBreakPreview" zoomScale="130" zoomScaleNormal="100" zoomScaleSheetLayoutView="130" workbookViewId="0">
      <selection activeCell="A19" sqref="A19"/>
    </sheetView>
  </sheetViews>
  <sheetFormatPr defaultRowHeight="16.5" x14ac:dyDescent="0.25"/>
  <cols>
    <col min="1" max="7" width="12.375" style="545" customWidth="1"/>
  </cols>
  <sheetData>
    <row r="1" spans="1:7" ht="67.5" customHeight="1" x14ac:dyDescent="0.25">
      <c r="A1" s="962" t="s">
        <v>679</v>
      </c>
      <c r="B1" s="681"/>
      <c r="C1" s="681"/>
      <c r="D1" s="681"/>
      <c r="E1" s="681"/>
      <c r="F1" s="681"/>
      <c r="G1" s="681"/>
    </row>
    <row r="2" spans="1:7" ht="12" customHeight="1" x14ac:dyDescent="0.25">
      <c r="A2" s="160"/>
    </row>
    <row r="3" spans="1:7" ht="40.5" customHeight="1" x14ac:dyDescent="0.25">
      <c r="A3" s="964" t="str">
        <f>CONCATENATE("聲請人",word用!$H$2,"於",下拉用!$J$5,"在",輸入!$C$7,"涉嫌違反社會秩序維護法之相關規定，經",輸入!$S$18,輸入!$T$18,輸入!$S$19,輸入!$T$19,"訊問後移送臺灣臺北地方法院臺北簡易庭裁定，對於此案件臺灣臺北地方法院臺北簡易庭所為之裁定，聲請人捨棄抗告權。")</f>
        <v>聲請人顏文祥於年月日時分在臺北市信義區吳興街206號涉嫌違反社會秩序維護法之相關規定，經臺北市政府警察局信義分局訊問後移送臺灣臺北地方法院臺北簡易庭裁定，對於此案件臺灣臺北地方法院臺北簡易庭所為之裁定，聲請人捨棄抗告權。</v>
      </c>
      <c r="B3" s="681"/>
      <c r="C3" s="681"/>
      <c r="D3" s="681"/>
      <c r="E3" s="681"/>
      <c r="F3" s="681"/>
      <c r="G3" s="681"/>
    </row>
    <row r="4" spans="1:7" ht="40.5" customHeight="1" x14ac:dyDescent="0.25">
      <c r="A4" s="681"/>
      <c r="B4" s="681"/>
      <c r="C4" s="681"/>
      <c r="D4" s="681"/>
      <c r="E4" s="681"/>
      <c r="F4" s="681"/>
      <c r="G4" s="681"/>
    </row>
    <row r="5" spans="1:7" ht="40.5" customHeight="1" x14ac:dyDescent="0.25">
      <c r="A5" s="681"/>
      <c r="B5" s="681"/>
      <c r="C5" s="681"/>
      <c r="D5" s="681"/>
      <c r="E5" s="681"/>
      <c r="F5" s="681"/>
      <c r="G5" s="681"/>
    </row>
    <row r="6" spans="1:7" ht="40.5" customHeight="1" x14ac:dyDescent="0.25">
      <c r="A6" s="681"/>
      <c r="B6" s="681"/>
      <c r="C6" s="681"/>
      <c r="D6" s="681"/>
      <c r="E6" s="681"/>
      <c r="F6" s="681"/>
      <c r="G6" s="681"/>
    </row>
    <row r="7" spans="1:7" ht="40.5" customHeight="1" x14ac:dyDescent="0.25">
      <c r="A7" s="681"/>
      <c r="B7" s="681"/>
      <c r="C7" s="681"/>
      <c r="D7" s="681"/>
      <c r="E7" s="681"/>
      <c r="F7" s="681"/>
      <c r="G7" s="681"/>
    </row>
    <row r="8" spans="1:7" ht="40.5" customHeight="1" x14ac:dyDescent="0.25">
      <c r="A8" s="681"/>
      <c r="B8" s="681"/>
      <c r="C8" s="681"/>
      <c r="D8" s="681"/>
      <c r="E8" s="681"/>
      <c r="F8" s="681"/>
      <c r="G8" s="681"/>
    </row>
    <row r="9" spans="1:7" ht="40.5" customHeight="1" x14ac:dyDescent="0.25">
      <c r="A9" s="515"/>
      <c r="B9" s="515"/>
      <c r="C9" s="515"/>
      <c r="D9" s="515"/>
      <c r="E9" s="515"/>
      <c r="F9" s="515"/>
      <c r="G9" s="515"/>
    </row>
    <row r="10" spans="1:7" s="158" customFormat="1" ht="54" customHeight="1" x14ac:dyDescent="0.25">
      <c r="A10" s="159" t="s">
        <v>680</v>
      </c>
    </row>
    <row r="11" spans="1:7" s="158" customFormat="1" ht="54" customHeight="1" x14ac:dyDescent="0.25">
      <c r="A11" s="960" t="s">
        <v>681</v>
      </c>
      <c r="B11" s="961"/>
      <c r="C11" s="961"/>
      <c r="D11" s="961"/>
      <c r="E11" s="961"/>
      <c r="F11" s="961"/>
      <c r="G11" s="961"/>
    </row>
    <row r="12" spans="1:7" s="158" customFormat="1" ht="40.5" customHeight="1" x14ac:dyDescent="0.25">
      <c r="A12" s="965"/>
      <c r="B12" s="961"/>
      <c r="C12" s="961"/>
      <c r="D12" s="961"/>
      <c r="E12" s="961"/>
      <c r="F12" s="961"/>
      <c r="G12" s="961"/>
    </row>
    <row r="13" spans="1:7" s="158" customFormat="1" ht="45" customHeight="1" x14ac:dyDescent="0.25">
      <c r="A13" s="960" t="s">
        <v>682</v>
      </c>
      <c r="B13" s="961"/>
      <c r="C13" s="961"/>
      <c r="D13" s="961"/>
      <c r="E13" s="961"/>
      <c r="F13" s="961"/>
      <c r="G13" s="961"/>
    </row>
    <row r="14" spans="1:7" s="158" customFormat="1" ht="45" customHeight="1" x14ac:dyDescent="0.25">
      <c r="A14" s="960" t="s">
        <v>683</v>
      </c>
      <c r="B14" s="961"/>
      <c r="C14" s="961"/>
      <c r="D14" s="961"/>
      <c r="E14" s="961"/>
      <c r="F14" s="961"/>
      <c r="G14" s="961"/>
    </row>
    <row r="15" spans="1:7" s="158" customFormat="1" ht="45" customHeight="1" x14ac:dyDescent="0.25">
      <c r="A15" s="960" t="s">
        <v>677</v>
      </c>
      <c r="B15" s="961"/>
      <c r="C15" s="961"/>
      <c r="D15" s="961"/>
      <c r="E15" s="961"/>
      <c r="F15" s="961"/>
      <c r="G15" s="961"/>
    </row>
    <row r="16" spans="1:7" s="158" customFormat="1" ht="45" customHeight="1" x14ac:dyDescent="0.25">
      <c r="A16" s="960" t="s">
        <v>678</v>
      </c>
      <c r="B16" s="961"/>
      <c r="C16" s="961"/>
      <c r="D16" s="961"/>
      <c r="E16" s="961"/>
      <c r="F16" s="961"/>
      <c r="G16" s="961"/>
    </row>
    <row r="17" spans="1:7" s="158" customFormat="1" ht="40.5" customHeight="1" x14ac:dyDescent="0.25">
      <c r="A17" s="514"/>
      <c r="B17" s="514"/>
      <c r="C17" s="514"/>
      <c r="D17" s="514"/>
      <c r="E17" s="514"/>
      <c r="F17" s="514"/>
      <c r="G17" s="514"/>
    </row>
    <row r="18" spans="1:7" s="158" customFormat="1" ht="40.5" customHeight="1" x14ac:dyDescent="0.25">
      <c r="A18" s="963" t="str">
        <f>CONCATENATE("中　華　民　國",LEFT(下拉用!$J$5,10))</f>
        <v>中　華　民　國年月日時分</v>
      </c>
      <c r="B18" s="961"/>
      <c r="C18" s="961"/>
      <c r="D18" s="961"/>
      <c r="E18" s="961"/>
      <c r="F18" s="961"/>
      <c r="G18" s="961"/>
    </row>
  </sheetData>
  <mergeCells count="9">
    <mergeCell ref="A13:G13"/>
    <mergeCell ref="A14:G14"/>
    <mergeCell ref="A1:G1"/>
    <mergeCell ref="A18:G18"/>
    <mergeCell ref="A3:G8"/>
    <mergeCell ref="A12:G12"/>
    <mergeCell ref="A16:G16"/>
    <mergeCell ref="A15:G15"/>
    <mergeCell ref="A11:G11"/>
  </mergeCells>
  <phoneticPr fontId="1" type="noConversion"/>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工作表22">
    <tabColor theme="9" tint="0.59999389629810485"/>
  </sheetPr>
  <dimension ref="A1:G31"/>
  <sheetViews>
    <sheetView view="pageBreakPreview" zoomScale="85" zoomScaleNormal="100" zoomScaleSheetLayoutView="85" workbookViewId="0">
      <selection activeCell="G4" sqref="G4"/>
    </sheetView>
  </sheetViews>
  <sheetFormatPr defaultRowHeight="16.5" x14ac:dyDescent="0.25"/>
  <cols>
    <col min="1" max="1" width="5" style="545" customWidth="1"/>
    <col min="2" max="2" width="8.875" style="545" customWidth="1"/>
    <col min="3" max="3" width="16.5" style="545" customWidth="1"/>
    <col min="4" max="5" width="15.125" style="545" customWidth="1"/>
    <col min="6" max="7" width="15" style="545" customWidth="1"/>
  </cols>
  <sheetData>
    <row r="1" spans="1:7" ht="27.75" customHeight="1" x14ac:dyDescent="0.25">
      <c r="A1" s="966" t="str">
        <f>CONCATENATE(輸入!$S$18,輸入!$T$18,輸入!$S$19,輸入!$T$19,"送達證書")</f>
        <v>臺北市政府警察局信義分局送達證書</v>
      </c>
      <c r="B1" s="681"/>
      <c r="C1" s="681"/>
      <c r="D1" s="681"/>
      <c r="E1" s="681"/>
      <c r="F1" s="681"/>
      <c r="G1" s="681"/>
    </row>
    <row r="2" spans="1:7" ht="20.25" customHeight="1" x14ac:dyDescent="0.25">
      <c r="A2" s="663"/>
      <c r="B2" s="681"/>
      <c r="C2" s="681"/>
      <c r="D2" s="681"/>
      <c r="E2" s="681"/>
      <c r="F2" s="681"/>
      <c r="G2" s="681"/>
    </row>
    <row r="3" spans="1:7" ht="22.5" customHeight="1" x14ac:dyDescent="0.25">
      <c r="A3" s="584" t="s">
        <v>684</v>
      </c>
      <c r="B3" s="580"/>
      <c r="C3" s="984" t="s">
        <v>685</v>
      </c>
      <c r="D3" s="579"/>
      <c r="E3" s="579"/>
      <c r="F3" s="579"/>
      <c r="G3" s="580"/>
    </row>
    <row r="4" spans="1:7" ht="22.5" customHeight="1" x14ac:dyDescent="0.25">
      <c r="A4" s="601"/>
      <c r="B4" s="603"/>
      <c r="C4" s="988" t="str">
        <f>word用!$H$2</f>
        <v>顏文祥</v>
      </c>
      <c r="D4" s="681"/>
      <c r="E4" s="681"/>
      <c r="F4" s="681"/>
      <c r="G4" s="537" t="str">
        <f>IF(word用!$R$2="男","先生"," ")</f>
        <v>先生</v>
      </c>
    </row>
    <row r="5" spans="1:7" ht="22.5" customHeight="1" x14ac:dyDescent="0.25">
      <c r="A5" s="601"/>
      <c r="B5" s="603"/>
      <c r="C5" s="601"/>
      <c r="D5" s="681"/>
      <c r="E5" s="681"/>
      <c r="F5" s="681"/>
      <c r="G5" s="537" t="str">
        <f>IF(word用!$R$2="女","女士"," ")</f>
        <v xml:space="preserve"> </v>
      </c>
    </row>
    <row r="6" spans="1:7" ht="22.5" customHeight="1" x14ac:dyDescent="0.25">
      <c r="A6" s="581"/>
      <c r="B6" s="583"/>
      <c r="C6" s="972" t="str">
        <f>CONCATENATE("住：",word用!$N$2,"")</f>
        <v>住：臺北市信義區信義路五段150巷477號</v>
      </c>
      <c r="D6" s="582"/>
      <c r="E6" s="582"/>
      <c r="F6" s="582"/>
      <c r="G6" s="583"/>
    </row>
    <row r="7" spans="1:7" ht="22.5" customHeight="1" x14ac:dyDescent="0.25">
      <c r="A7" s="584" t="s">
        <v>686</v>
      </c>
      <c r="B7" s="580"/>
      <c r="C7" s="973" t="str">
        <f>CONCATENATE(,LEFT(下拉用!$J$10,10),"違反社會秩序維護法案件處分書（收據）")</f>
        <v>日期：中華民國 年月違反社會秩序維護法案件處分書（收據）</v>
      </c>
      <c r="D7" s="579"/>
      <c r="E7" s="579"/>
      <c r="F7" s="579"/>
      <c r="G7" s="580"/>
    </row>
    <row r="8" spans="1:7" ht="22.5" customHeight="1" x14ac:dyDescent="0.25">
      <c r="A8" s="581"/>
      <c r="B8" s="583"/>
      <c r="C8" s="972" t="s">
        <v>687</v>
      </c>
      <c r="D8" s="582"/>
      <c r="E8" s="582"/>
      <c r="F8" s="582"/>
      <c r="G8" s="583"/>
    </row>
    <row r="9" spans="1:7" ht="22.5" customHeight="1" x14ac:dyDescent="0.25">
      <c r="A9" s="584" t="s">
        <v>688</v>
      </c>
      <c r="B9" s="580"/>
      <c r="C9" s="975" t="s">
        <v>689</v>
      </c>
      <c r="D9" s="579"/>
      <c r="E9" s="579"/>
      <c r="F9" s="579"/>
      <c r="G9" s="580"/>
    </row>
    <row r="10" spans="1:7" ht="22.5" customHeight="1" x14ac:dyDescent="0.25">
      <c r="A10" s="581"/>
      <c r="B10" s="583"/>
      <c r="C10" s="581"/>
      <c r="D10" s="582"/>
      <c r="E10" s="582"/>
      <c r="F10" s="582"/>
      <c r="G10" s="583"/>
    </row>
    <row r="11" spans="1:7" ht="22.5" customHeight="1" x14ac:dyDescent="0.25">
      <c r="A11" s="584" t="s">
        <v>690</v>
      </c>
      <c r="B11" s="580"/>
      <c r="C11" s="970" t="s">
        <v>691</v>
      </c>
      <c r="D11" s="579"/>
      <c r="E11" s="579"/>
      <c r="F11" s="579"/>
      <c r="G11" s="580"/>
    </row>
    <row r="12" spans="1:7" ht="22.5" customHeight="1" x14ac:dyDescent="0.25">
      <c r="A12" s="581"/>
      <c r="B12" s="583"/>
      <c r="C12" s="581"/>
      <c r="D12" s="582"/>
      <c r="E12" s="582"/>
      <c r="F12" s="582"/>
      <c r="G12" s="583"/>
    </row>
    <row r="13" spans="1:7" ht="15.75" customHeight="1" x14ac:dyDescent="0.25">
      <c r="A13" s="980" t="s">
        <v>692</v>
      </c>
      <c r="B13" s="980" t="s">
        <v>693</v>
      </c>
      <c r="C13" s="978" t="s">
        <v>694</v>
      </c>
      <c r="D13" s="580"/>
      <c r="E13" s="987" t="s">
        <v>695</v>
      </c>
      <c r="F13" s="156" t="s">
        <v>696</v>
      </c>
      <c r="G13" s="977"/>
    </row>
    <row r="14" spans="1:7" ht="15.75" customHeight="1" x14ac:dyDescent="0.25">
      <c r="A14" s="940"/>
      <c r="B14" s="940"/>
      <c r="C14" s="581"/>
      <c r="D14" s="583"/>
      <c r="E14" s="581"/>
      <c r="F14" s="157" t="s">
        <v>697</v>
      </c>
      <c r="G14" s="583"/>
    </row>
    <row r="15" spans="1:7" ht="15.75" customHeight="1" x14ac:dyDescent="0.25">
      <c r="A15" s="940"/>
      <c r="B15" s="940"/>
      <c r="C15" s="968" t="s">
        <v>698</v>
      </c>
      <c r="D15" s="580"/>
      <c r="E15" s="516" t="s">
        <v>699</v>
      </c>
      <c r="F15" s="156" t="s">
        <v>696</v>
      </c>
      <c r="G15" s="977"/>
    </row>
    <row r="16" spans="1:7" ht="15.75" customHeight="1" x14ac:dyDescent="0.25">
      <c r="A16" s="940"/>
      <c r="B16" s="940"/>
      <c r="C16" s="601"/>
      <c r="D16" s="603"/>
      <c r="E16" s="155" t="s">
        <v>700</v>
      </c>
      <c r="F16" s="154" t="s">
        <v>697</v>
      </c>
      <c r="G16" s="583"/>
    </row>
    <row r="17" spans="1:7" ht="15.75" customHeight="1" x14ac:dyDescent="0.25">
      <c r="A17" s="940"/>
      <c r="B17" s="940"/>
      <c r="C17" s="601"/>
      <c r="D17" s="603"/>
      <c r="E17" s="974" t="s">
        <v>701</v>
      </c>
      <c r="F17" s="579"/>
      <c r="G17" s="580"/>
    </row>
    <row r="18" spans="1:7" ht="15.75" customHeight="1" x14ac:dyDescent="0.25">
      <c r="A18" s="940"/>
      <c r="B18" s="940"/>
      <c r="C18" s="581"/>
      <c r="D18" s="583"/>
      <c r="E18" s="971" t="s">
        <v>702</v>
      </c>
      <c r="F18" s="582"/>
      <c r="G18" s="583"/>
    </row>
    <row r="19" spans="1:7" ht="57" customHeight="1" x14ac:dyDescent="0.25">
      <c r="A19" s="940"/>
      <c r="B19" s="940"/>
      <c r="C19" s="968" t="s">
        <v>703</v>
      </c>
      <c r="D19" s="575"/>
      <c r="E19" s="986" t="s">
        <v>704</v>
      </c>
      <c r="F19" s="582"/>
      <c r="G19" s="583"/>
    </row>
    <row r="20" spans="1:7" ht="55.5" customHeight="1" x14ac:dyDescent="0.25">
      <c r="A20" s="940"/>
      <c r="B20" s="940"/>
      <c r="C20" s="968" t="s">
        <v>705</v>
      </c>
      <c r="D20" s="575"/>
      <c r="E20" s="985" t="s">
        <v>706</v>
      </c>
      <c r="F20" s="574"/>
      <c r="G20" s="153" t="s">
        <v>707</v>
      </c>
    </row>
    <row r="21" spans="1:7" ht="113.25" customHeight="1" x14ac:dyDescent="0.25">
      <c r="A21" s="577"/>
      <c r="B21" s="577"/>
      <c r="C21" s="967" t="s">
        <v>708</v>
      </c>
      <c r="D21" s="580"/>
      <c r="E21" s="970" t="s">
        <v>709</v>
      </c>
      <c r="F21" s="574"/>
      <c r="G21" s="575"/>
    </row>
    <row r="22" spans="1:7" x14ac:dyDescent="0.25">
      <c r="A22" s="584" t="s">
        <v>710</v>
      </c>
      <c r="B22" s="574"/>
      <c r="C22" s="575"/>
      <c r="D22" s="576" t="s">
        <v>711</v>
      </c>
      <c r="E22" s="575"/>
      <c r="F22" s="576" t="s">
        <v>712</v>
      </c>
      <c r="G22" s="575"/>
    </row>
    <row r="23" spans="1:7" x14ac:dyDescent="0.25">
      <c r="A23" s="660" t="s">
        <v>713</v>
      </c>
      <c r="B23" s="579"/>
      <c r="C23" s="580"/>
      <c r="D23" s="969" t="s">
        <v>714</v>
      </c>
      <c r="E23" s="580"/>
      <c r="F23" s="969" t="s">
        <v>714</v>
      </c>
      <c r="G23" s="580"/>
    </row>
    <row r="24" spans="1:7" x14ac:dyDescent="0.25">
      <c r="A24" s="601"/>
      <c r="B24" s="681"/>
      <c r="C24" s="603"/>
      <c r="D24" s="601"/>
      <c r="E24" s="603"/>
      <c r="F24" s="601"/>
      <c r="G24" s="603"/>
    </row>
    <row r="25" spans="1:7" x14ac:dyDescent="0.25">
      <c r="A25" s="581"/>
      <c r="B25" s="582"/>
      <c r="C25" s="583"/>
      <c r="D25" s="581"/>
      <c r="E25" s="583"/>
      <c r="F25" s="581"/>
      <c r="G25" s="583"/>
    </row>
    <row r="26" spans="1:7" x14ac:dyDescent="0.25">
      <c r="A26" s="584" t="s">
        <v>715</v>
      </c>
      <c r="B26" s="574"/>
      <c r="C26" s="575"/>
      <c r="D26" s="576" t="s">
        <v>716</v>
      </c>
      <c r="E26" s="575"/>
      <c r="F26" s="576" t="s">
        <v>717</v>
      </c>
      <c r="G26" s="575"/>
    </row>
    <row r="27" spans="1:7" ht="28.5" customHeight="1" x14ac:dyDescent="0.25">
      <c r="A27" s="784" t="s">
        <v>718</v>
      </c>
      <c r="B27" s="579"/>
      <c r="C27" s="580"/>
      <c r="D27" s="982" t="s">
        <v>719</v>
      </c>
      <c r="E27" s="579"/>
      <c r="F27" s="592"/>
      <c r="G27" s="580"/>
    </row>
    <row r="28" spans="1:7" ht="28.5" customHeight="1" x14ac:dyDescent="0.25">
      <c r="A28" s="601"/>
      <c r="B28" s="681"/>
      <c r="C28" s="603"/>
      <c r="D28" s="681"/>
      <c r="E28" s="681"/>
      <c r="F28" s="601"/>
      <c r="G28" s="603"/>
    </row>
    <row r="29" spans="1:7" ht="28.5" customHeight="1" x14ac:dyDescent="0.25">
      <c r="A29" s="979" t="s">
        <v>720</v>
      </c>
      <c r="B29" s="582"/>
      <c r="C29" s="583"/>
      <c r="D29" s="983" t="s">
        <v>720</v>
      </c>
      <c r="E29" s="582"/>
      <c r="F29" s="581"/>
      <c r="G29" s="583"/>
    </row>
    <row r="30" spans="1:7" ht="27.75" customHeight="1" x14ac:dyDescent="0.25">
      <c r="A30" s="981" t="str">
        <f>LEFT(下拉用!$J$10,10)</f>
        <v>日期：中華民國 年月</v>
      </c>
      <c r="B30" s="681"/>
      <c r="C30" s="681"/>
      <c r="F30" s="976" t="s">
        <v>721</v>
      </c>
      <c r="G30" s="583"/>
    </row>
    <row r="31" spans="1:7" x14ac:dyDescent="0.25">
      <c r="A31" s="108"/>
    </row>
  </sheetData>
  <mergeCells count="44">
    <mergeCell ref="C3:G3"/>
    <mergeCell ref="A26:C26"/>
    <mergeCell ref="C20:D20"/>
    <mergeCell ref="E20:F20"/>
    <mergeCell ref="A9:B10"/>
    <mergeCell ref="A3:B6"/>
    <mergeCell ref="E19:G19"/>
    <mergeCell ref="C6:G6"/>
    <mergeCell ref="E13:E14"/>
    <mergeCell ref="C4:F5"/>
    <mergeCell ref="B13:B21"/>
    <mergeCell ref="G13:G14"/>
    <mergeCell ref="C11:G12"/>
    <mergeCell ref="F30:G30"/>
    <mergeCell ref="A22:C22"/>
    <mergeCell ref="G15:G16"/>
    <mergeCell ref="C13:D14"/>
    <mergeCell ref="A29:C29"/>
    <mergeCell ref="F26:G26"/>
    <mergeCell ref="A23:C25"/>
    <mergeCell ref="A13:A21"/>
    <mergeCell ref="A30:C30"/>
    <mergeCell ref="A27:C28"/>
    <mergeCell ref="D27:E28"/>
    <mergeCell ref="D29:E29"/>
    <mergeCell ref="F27:G29"/>
    <mergeCell ref="D26:E26"/>
    <mergeCell ref="D22:E22"/>
    <mergeCell ref="A1:G1"/>
    <mergeCell ref="C21:D21"/>
    <mergeCell ref="A11:B12"/>
    <mergeCell ref="C15:D18"/>
    <mergeCell ref="F23:G25"/>
    <mergeCell ref="F22:G22"/>
    <mergeCell ref="E21:G21"/>
    <mergeCell ref="E18:G18"/>
    <mergeCell ref="C8:G8"/>
    <mergeCell ref="C7:G7"/>
    <mergeCell ref="A7:B8"/>
    <mergeCell ref="C19:D19"/>
    <mergeCell ref="E17:G17"/>
    <mergeCell ref="A2:G2"/>
    <mergeCell ref="D23:E25"/>
    <mergeCell ref="C9:G10"/>
  </mergeCells>
  <phoneticPr fontId="1" type="noConversion"/>
  <pageMargins left="0.47244094488188981" right="0.47244094488188981" top="0.51181102362204722" bottom="0.51181102362204722" header="0.31496062992125978" footer="0.31496062992125978"/>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工作表23">
    <tabColor theme="9" tint="0.59999389629810485"/>
  </sheetPr>
  <dimension ref="A1:G21"/>
  <sheetViews>
    <sheetView view="pageBreakPreview" zoomScale="115" zoomScaleNormal="100" zoomScaleSheetLayoutView="115" workbookViewId="0">
      <selection activeCell="A17" sqref="A17:G17"/>
    </sheetView>
  </sheetViews>
  <sheetFormatPr defaultRowHeight="16.5" x14ac:dyDescent="0.25"/>
  <cols>
    <col min="1" max="1" width="10.375" style="545" customWidth="1"/>
    <col min="2" max="2" width="7.5" style="545" customWidth="1"/>
    <col min="3" max="3" width="9" style="545" customWidth="1"/>
    <col min="4" max="5" width="13.5" style="545" customWidth="1"/>
    <col min="6" max="6" width="14" style="545" customWidth="1"/>
    <col min="7" max="7" width="18.875" style="545" customWidth="1"/>
  </cols>
  <sheetData>
    <row r="1" spans="1:7" ht="27.75" customHeight="1" x14ac:dyDescent="0.25">
      <c r="A1" s="996" t="str">
        <f>CONCATENATE(輸入!$S$18,輸入!$T$18,輸入!$S$19,輸入!$T$19,"送達證書")</f>
        <v>臺北市政府警察局信義分局送達證書</v>
      </c>
      <c r="B1" s="574"/>
      <c r="C1" s="574"/>
      <c r="D1" s="574"/>
      <c r="E1" s="574"/>
      <c r="F1" s="574"/>
      <c r="G1" s="575"/>
    </row>
    <row r="2" spans="1:7" ht="36.75" customHeight="1" x14ac:dyDescent="0.25">
      <c r="A2" s="992" t="s">
        <v>2</v>
      </c>
      <c r="B2" s="575"/>
      <c r="C2" s="994" t="s">
        <v>687</v>
      </c>
      <c r="D2" s="574"/>
      <c r="E2" s="574"/>
      <c r="F2" s="574"/>
      <c r="G2" s="575"/>
    </row>
    <row r="3" spans="1:7" ht="36.75" customHeight="1" x14ac:dyDescent="0.25">
      <c r="A3" s="992" t="s">
        <v>722</v>
      </c>
      <c r="B3" s="575"/>
      <c r="C3" s="991" t="s">
        <v>723</v>
      </c>
      <c r="D3" s="579"/>
      <c r="E3" s="579"/>
      <c r="F3" s="579"/>
      <c r="G3" s="580"/>
    </row>
    <row r="4" spans="1:7" ht="18.75" customHeight="1" x14ac:dyDescent="0.25">
      <c r="A4" s="992" t="s">
        <v>724</v>
      </c>
      <c r="B4" s="580"/>
      <c r="C4" s="996" t="str">
        <f>word用!$H$2</f>
        <v>顏文祥</v>
      </c>
      <c r="D4" s="580"/>
      <c r="E4" s="989" t="str">
        <f>IF(word用!$R$2="男","先生"," ")</f>
        <v>先生</v>
      </c>
      <c r="F4" s="579"/>
      <c r="G4" s="580"/>
    </row>
    <row r="5" spans="1:7" ht="18.75" customHeight="1" x14ac:dyDescent="0.25">
      <c r="A5" s="581"/>
      <c r="B5" s="583"/>
      <c r="C5" s="581"/>
      <c r="D5" s="583"/>
      <c r="E5" s="998" t="str">
        <f>IF(word用!$R$2="女","女士"," ")</f>
        <v xml:space="preserve"> </v>
      </c>
      <c r="F5" s="582"/>
      <c r="G5" s="583"/>
    </row>
    <row r="6" spans="1:7" ht="41.25" customHeight="1" x14ac:dyDescent="0.25">
      <c r="A6" s="465" t="s">
        <v>725</v>
      </c>
      <c r="B6" s="522"/>
      <c r="C6" s="993" t="s">
        <v>726</v>
      </c>
      <c r="D6" s="582"/>
      <c r="E6" s="582"/>
      <c r="F6" s="582"/>
      <c r="G6" s="583"/>
    </row>
    <row r="7" spans="1:7" ht="22.5" customHeight="1" x14ac:dyDescent="0.25">
      <c r="A7" s="656" t="s">
        <v>727</v>
      </c>
      <c r="B7" s="997"/>
      <c r="C7" s="990" t="s">
        <v>728</v>
      </c>
      <c r="D7" s="574"/>
      <c r="E7" s="574"/>
      <c r="F7" s="574"/>
      <c r="G7" s="575"/>
    </row>
    <row r="8" spans="1:7" ht="45" customHeight="1" x14ac:dyDescent="0.25">
      <c r="A8" s="940"/>
      <c r="B8" s="940"/>
      <c r="C8" s="520" t="s">
        <v>729</v>
      </c>
      <c r="D8" s="997"/>
      <c r="E8" s="575"/>
      <c r="F8" s="520" t="s">
        <v>730</v>
      </c>
      <c r="G8" s="522"/>
    </row>
    <row r="9" spans="1:7" ht="45" customHeight="1" x14ac:dyDescent="0.25">
      <c r="A9" s="577"/>
      <c r="B9" s="577"/>
      <c r="C9" s="520" t="s">
        <v>731</v>
      </c>
      <c r="D9" s="997"/>
      <c r="E9" s="575"/>
      <c r="F9" s="520" t="s">
        <v>730</v>
      </c>
      <c r="G9" s="522"/>
    </row>
    <row r="10" spans="1:7" ht="93.75" customHeight="1" x14ac:dyDescent="0.25">
      <c r="A10" s="465" t="s">
        <v>732</v>
      </c>
      <c r="B10" s="522"/>
      <c r="C10" s="990" t="s">
        <v>733</v>
      </c>
      <c r="D10" s="574"/>
      <c r="E10" s="574"/>
      <c r="F10" s="574"/>
      <c r="G10" s="575"/>
    </row>
    <row r="11" spans="1:7" ht="26.25" customHeight="1" x14ac:dyDescent="0.25">
      <c r="A11" s="656" t="s">
        <v>734</v>
      </c>
      <c r="B11" s="997"/>
      <c r="C11" s="657" t="s">
        <v>735</v>
      </c>
      <c r="D11" s="574"/>
      <c r="E11" s="574"/>
      <c r="F11" s="574"/>
      <c r="G11" s="575"/>
    </row>
    <row r="12" spans="1:7" ht="24" customHeight="1" x14ac:dyDescent="0.25">
      <c r="A12" s="577"/>
      <c r="B12" s="577"/>
      <c r="C12" s="990" t="s">
        <v>736</v>
      </c>
      <c r="D12" s="574"/>
      <c r="E12" s="574"/>
      <c r="F12" s="574"/>
      <c r="G12" s="575"/>
    </row>
    <row r="13" spans="1:7" ht="46.5" customHeight="1" x14ac:dyDescent="0.25">
      <c r="A13" s="465" t="s">
        <v>737</v>
      </c>
      <c r="B13" s="522"/>
      <c r="C13" s="990" t="s">
        <v>738</v>
      </c>
      <c r="D13" s="574"/>
      <c r="E13" s="574"/>
      <c r="F13" s="574"/>
      <c r="G13" s="575"/>
    </row>
    <row r="14" spans="1:7" ht="45.75" customHeight="1" x14ac:dyDescent="0.25">
      <c r="A14" s="994" t="s">
        <v>739</v>
      </c>
      <c r="B14" s="574"/>
      <c r="C14" s="574"/>
      <c r="D14" s="574"/>
      <c r="E14" s="574"/>
      <c r="F14" s="574"/>
      <c r="G14" s="575"/>
    </row>
    <row r="15" spans="1:7" ht="41.25" customHeight="1" x14ac:dyDescent="0.25">
      <c r="A15" s="992" t="s">
        <v>740</v>
      </c>
      <c r="B15" s="575"/>
      <c r="C15" s="990" t="str">
        <f>CONCATENATE("中華民國　　年　　月　　日　　時　　分")</f>
        <v>中華民國　　年　　月　　日　　時　　分</v>
      </c>
      <c r="D15" s="574"/>
      <c r="E15" s="574"/>
      <c r="F15" s="574"/>
      <c r="G15" s="575"/>
    </row>
    <row r="16" spans="1:7" ht="41.25" customHeight="1" x14ac:dyDescent="0.25">
      <c r="A16" s="992" t="s">
        <v>741</v>
      </c>
      <c r="B16" s="575"/>
      <c r="C16" s="990"/>
      <c r="D16" s="574"/>
      <c r="E16" s="574"/>
      <c r="F16" s="574"/>
      <c r="G16" s="575"/>
    </row>
    <row r="17" spans="1:7" ht="35.25" customHeight="1" x14ac:dyDescent="0.25">
      <c r="A17" s="995" t="str">
        <f>CONCATENATE("中華民國　",LEFT(下拉用!$J$10,10),"製作")</f>
        <v>中華民國　日期：中華民國 年月製作</v>
      </c>
      <c r="B17" s="681"/>
      <c r="C17" s="681"/>
      <c r="D17" s="681"/>
      <c r="E17" s="681"/>
      <c r="F17" s="681"/>
      <c r="G17" s="603"/>
    </row>
    <row r="18" spans="1:7" ht="35.25" customHeight="1" x14ac:dyDescent="0.25">
      <c r="A18" s="993" t="s">
        <v>742</v>
      </c>
      <c r="B18" s="582"/>
      <c r="C18" s="582"/>
      <c r="D18" s="582"/>
      <c r="E18" s="582"/>
      <c r="F18" s="582"/>
      <c r="G18" s="583"/>
    </row>
    <row r="19" spans="1:7" x14ac:dyDescent="0.25">
      <c r="A19" s="505" t="s">
        <v>743</v>
      </c>
    </row>
    <row r="20" spans="1:7" ht="35.25" customHeight="1" x14ac:dyDescent="0.25">
      <c r="A20" s="709" t="s">
        <v>744</v>
      </c>
      <c r="B20" s="681"/>
      <c r="C20" s="681"/>
      <c r="D20" s="681"/>
      <c r="E20" s="681"/>
      <c r="F20" s="681"/>
      <c r="G20" s="681"/>
    </row>
    <row r="21" spans="1:7" x14ac:dyDescent="0.25">
      <c r="A21" s="764" t="s">
        <v>745</v>
      </c>
      <c r="B21" s="681"/>
      <c r="C21" s="681"/>
      <c r="D21" s="681"/>
      <c r="E21" s="681"/>
      <c r="F21" s="681"/>
      <c r="G21" s="681"/>
    </row>
  </sheetData>
  <mergeCells count="30">
    <mergeCell ref="A2:B2"/>
    <mergeCell ref="A1:G1"/>
    <mergeCell ref="C12:G12"/>
    <mergeCell ref="C2:G2"/>
    <mergeCell ref="C11:G11"/>
    <mergeCell ref="D9:E9"/>
    <mergeCell ref="D8:E8"/>
    <mergeCell ref="C4:D5"/>
    <mergeCell ref="C7:G7"/>
    <mergeCell ref="A7:A9"/>
    <mergeCell ref="E5:G5"/>
    <mergeCell ref="B11:B12"/>
    <mergeCell ref="A4:B5"/>
    <mergeCell ref="C10:G10"/>
    <mergeCell ref="B7:B9"/>
    <mergeCell ref="C6:G6"/>
    <mergeCell ref="A21:G21"/>
    <mergeCell ref="E4:G4"/>
    <mergeCell ref="C13:G13"/>
    <mergeCell ref="A11:A12"/>
    <mergeCell ref="C3:G3"/>
    <mergeCell ref="A3:B3"/>
    <mergeCell ref="A20:G20"/>
    <mergeCell ref="A16:B16"/>
    <mergeCell ref="C16:G16"/>
    <mergeCell ref="A18:G18"/>
    <mergeCell ref="A14:G14"/>
    <mergeCell ref="A15:B15"/>
    <mergeCell ref="A17:G17"/>
    <mergeCell ref="C15:G15"/>
  </mergeCells>
  <phoneticPr fontId="1" type="noConversion"/>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工作表34">
    <tabColor theme="9"/>
  </sheetPr>
  <dimension ref="A1:AR21"/>
  <sheetViews>
    <sheetView showGridLines="0" view="pageBreakPreview" zoomScale="115" zoomScaleNormal="100" zoomScaleSheetLayoutView="115" workbookViewId="0">
      <selection activeCell="E9" sqref="E9:T10"/>
    </sheetView>
  </sheetViews>
  <sheetFormatPr defaultRowHeight="16.5" x14ac:dyDescent="0.25"/>
  <cols>
    <col min="1" max="4" width="3.75" style="545" customWidth="1"/>
    <col min="5" max="19" width="3" style="545" customWidth="1"/>
    <col min="20" max="44" width="3.25" style="545" customWidth="1"/>
  </cols>
  <sheetData>
    <row r="1" spans="1:30" x14ac:dyDescent="0.25">
      <c r="A1" s="1009" t="str">
        <f>CONCATENATE(,輸入!$S$18,輸入!$T$18,輸入!$S$19,輸入!$T$19,輸入!$S$20,輸入!$T$20,CHAR(10),"偵辦",word用!$E$2,"案件手機查扣紀錄表")</f>
        <v>臺北市政府警察局信義分局吳興街派出所
偵辦毀損案件手機查扣紀錄表</v>
      </c>
      <c r="B1" s="579"/>
      <c r="C1" s="579"/>
      <c r="D1" s="579"/>
      <c r="E1" s="579"/>
      <c r="F1" s="579"/>
      <c r="G1" s="579"/>
      <c r="H1" s="579"/>
      <c r="I1" s="579"/>
      <c r="J1" s="579"/>
      <c r="K1" s="579"/>
      <c r="L1" s="579"/>
      <c r="M1" s="579"/>
      <c r="N1" s="579"/>
      <c r="O1" s="579"/>
      <c r="P1" s="579"/>
      <c r="Q1" s="579"/>
      <c r="R1" s="579"/>
      <c r="S1" s="579"/>
      <c r="T1" s="579"/>
      <c r="U1" s="579"/>
      <c r="V1" s="579"/>
      <c r="W1" s="579"/>
      <c r="X1" s="579"/>
      <c r="Y1" s="579"/>
      <c r="Z1" s="580"/>
      <c r="AA1" s="217"/>
      <c r="AB1" s="217"/>
      <c r="AC1" s="217"/>
      <c r="AD1" s="217"/>
    </row>
    <row r="2" spans="1:30" ht="21" customHeight="1" x14ac:dyDescent="0.25">
      <c r="A2" s="601"/>
      <c r="B2" s="681"/>
      <c r="C2" s="681"/>
      <c r="D2" s="681"/>
      <c r="E2" s="681"/>
      <c r="F2" s="681"/>
      <c r="G2" s="681"/>
      <c r="H2" s="681"/>
      <c r="I2" s="681"/>
      <c r="J2" s="681"/>
      <c r="K2" s="681"/>
      <c r="L2" s="681"/>
      <c r="M2" s="681"/>
      <c r="N2" s="681"/>
      <c r="O2" s="681"/>
      <c r="P2" s="681"/>
      <c r="Q2" s="681"/>
      <c r="R2" s="681"/>
      <c r="S2" s="681"/>
      <c r="T2" s="681"/>
      <c r="U2" s="681"/>
      <c r="V2" s="681"/>
      <c r="W2" s="681"/>
      <c r="X2" s="681"/>
      <c r="Y2" s="681"/>
      <c r="Z2" s="603"/>
      <c r="AA2" s="217"/>
      <c r="AB2" s="217"/>
      <c r="AC2" s="217"/>
      <c r="AD2" s="217"/>
    </row>
    <row r="3" spans="1:30" x14ac:dyDescent="0.25">
      <c r="A3" s="601"/>
      <c r="B3" s="681"/>
      <c r="C3" s="681"/>
      <c r="D3" s="681"/>
      <c r="E3" s="681"/>
      <c r="F3" s="681"/>
      <c r="G3" s="681"/>
      <c r="H3" s="681"/>
      <c r="I3" s="681"/>
      <c r="J3" s="681"/>
      <c r="K3" s="681"/>
      <c r="L3" s="681"/>
      <c r="M3" s="681"/>
      <c r="N3" s="681"/>
      <c r="O3" s="681"/>
      <c r="P3" s="681"/>
      <c r="Q3" s="681"/>
      <c r="R3" s="681"/>
      <c r="S3" s="681"/>
      <c r="T3" s="681"/>
      <c r="U3" s="681"/>
      <c r="V3" s="681"/>
      <c r="W3" s="681"/>
      <c r="X3" s="681"/>
      <c r="Y3" s="681"/>
      <c r="Z3" s="603"/>
      <c r="AA3" s="217"/>
      <c r="AB3" s="217"/>
      <c r="AC3" s="217"/>
      <c r="AD3" s="217"/>
    </row>
    <row r="4" spans="1:30" x14ac:dyDescent="0.25">
      <c r="A4" s="581"/>
      <c r="B4" s="582"/>
      <c r="C4" s="582"/>
      <c r="D4" s="582"/>
      <c r="E4" s="582"/>
      <c r="F4" s="582"/>
      <c r="G4" s="582"/>
      <c r="H4" s="582"/>
      <c r="I4" s="582"/>
      <c r="J4" s="582"/>
      <c r="K4" s="582"/>
      <c r="L4" s="582"/>
      <c r="M4" s="582"/>
      <c r="N4" s="582"/>
      <c r="O4" s="582"/>
      <c r="P4" s="582"/>
      <c r="Q4" s="582"/>
      <c r="R4" s="582"/>
      <c r="S4" s="582"/>
      <c r="T4" s="582"/>
      <c r="U4" s="582"/>
      <c r="V4" s="582"/>
      <c r="W4" s="582"/>
      <c r="X4" s="582"/>
      <c r="Y4" s="582"/>
      <c r="Z4" s="583"/>
      <c r="AA4" s="217"/>
      <c r="AB4" s="217"/>
      <c r="AC4" s="217"/>
      <c r="AD4" s="217"/>
    </row>
    <row r="5" spans="1:30" ht="21" customHeight="1" x14ac:dyDescent="0.25">
      <c r="A5" s="1000" t="s">
        <v>2</v>
      </c>
      <c r="B5" s="579"/>
      <c r="C5" s="579"/>
      <c r="D5" s="580"/>
      <c r="E5" s="1000" t="str">
        <f>CONCATENATE(word用!$E$2,"案")</f>
        <v>毀損案</v>
      </c>
      <c r="F5" s="579"/>
      <c r="G5" s="579"/>
      <c r="H5" s="579"/>
      <c r="I5" s="579"/>
      <c r="J5" s="579"/>
      <c r="K5" s="579"/>
      <c r="L5" s="579"/>
      <c r="M5" s="579"/>
      <c r="N5" s="579"/>
      <c r="O5" s="579"/>
      <c r="P5" s="579"/>
      <c r="Q5" s="579"/>
      <c r="R5" s="579"/>
      <c r="S5" s="579"/>
      <c r="T5" s="579"/>
      <c r="U5" s="579"/>
      <c r="V5" s="579"/>
      <c r="W5" s="579"/>
      <c r="X5" s="579"/>
      <c r="Y5" s="579"/>
      <c r="Z5" s="580"/>
      <c r="AA5" s="439"/>
      <c r="AB5" s="439"/>
      <c r="AC5" s="439"/>
      <c r="AD5" s="439"/>
    </row>
    <row r="6" spans="1:30" ht="21" customHeight="1" x14ac:dyDescent="0.25">
      <c r="A6" s="581"/>
      <c r="B6" s="582"/>
      <c r="C6" s="582"/>
      <c r="D6" s="583"/>
      <c r="E6" s="581"/>
      <c r="F6" s="582"/>
      <c r="G6" s="582"/>
      <c r="H6" s="582"/>
      <c r="I6" s="582"/>
      <c r="J6" s="582"/>
      <c r="K6" s="582"/>
      <c r="L6" s="582"/>
      <c r="M6" s="582"/>
      <c r="N6" s="582"/>
      <c r="O6" s="582"/>
      <c r="P6" s="582"/>
      <c r="Q6" s="582"/>
      <c r="R6" s="582"/>
      <c r="S6" s="582"/>
      <c r="T6" s="582"/>
      <c r="U6" s="582"/>
      <c r="V6" s="582"/>
      <c r="W6" s="582"/>
      <c r="X6" s="582"/>
      <c r="Y6" s="582"/>
      <c r="Z6" s="583"/>
      <c r="AA6" s="439"/>
      <c r="AB6" s="439"/>
      <c r="AC6" s="439"/>
      <c r="AD6" s="439"/>
    </row>
    <row r="7" spans="1:30" ht="21" customHeight="1" x14ac:dyDescent="0.25">
      <c r="A7" s="1000" t="s">
        <v>340</v>
      </c>
      <c r="B7" s="579"/>
      <c r="C7" s="579"/>
      <c r="D7" s="580"/>
      <c r="E7" s="1005" t="str">
        <f>下拉用!$J$5</f>
        <v>年月日時分</v>
      </c>
      <c r="F7" s="579"/>
      <c r="G7" s="579"/>
      <c r="H7" s="579"/>
      <c r="I7" s="579"/>
      <c r="J7" s="579"/>
      <c r="K7" s="579"/>
      <c r="L7" s="579"/>
      <c r="M7" s="579"/>
      <c r="N7" s="579"/>
      <c r="O7" s="579"/>
      <c r="P7" s="579"/>
      <c r="Q7" s="579"/>
      <c r="R7" s="579"/>
      <c r="S7" s="579"/>
      <c r="T7" s="580"/>
      <c r="U7" s="439"/>
      <c r="V7" s="439"/>
      <c r="W7" s="439"/>
      <c r="X7" s="439"/>
      <c r="Y7" s="439"/>
      <c r="Z7" s="440"/>
      <c r="AA7" s="439"/>
      <c r="AB7" s="439"/>
      <c r="AC7" s="439"/>
      <c r="AD7" s="439"/>
    </row>
    <row r="8" spans="1:30" ht="21" customHeight="1" x14ac:dyDescent="0.25">
      <c r="A8" s="581"/>
      <c r="B8" s="582"/>
      <c r="C8" s="582"/>
      <c r="D8" s="583"/>
      <c r="E8" s="581"/>
      <c r="F8" s="582"/>
      <c r="G8" s="582"/>
      <c r="H8" s="582"/>
      <c r="I8" s="582"/>
      <c r="J8" s="582"/>
      <c r="K8" s="582"/>
      <c r="L8" s="582"/>
      <c r="M8" s="582"/>
      <c r="N8" s="582"/>
      <c r="O8" s="582"/>
      <c r="P8" s="582"/>
      <c r="Q8" s="582"/>
      <c r="R8" s="582"/>
      <c r="S8" s="582"/>
      <c r="T8" s="583"/>
      <c r="U8" s="439"/>
      <c r="V8" s="439"/>
      <c r="W8" s="439"/>
      <c r="X8" s="439"/>
      <c r="Y8" s="439"/>
      <c r="Z8" s="440"/>
      <c r="AA8" s="439"/>
      <c r="AB8" s="439"/>
      <c r="AC8" s="439"/>
      <c r="AD8" s="439"/>
    </row>
    <row r="9" spans="1:30" ht="21" customHeight="1" x14ac:dyDescent="0.25">
      <c r="A9" s="1000" t="s">
        <v>341</v>
      </c>
      <c r="B9" s="579"/>
      <c r="C9" s="579"/>
      <c r="D9" s="580"/>
      <c r="E9" s="1011" t="str">
        <f>word用!$Y$2</f>
        <v>臺北市信義區吳興街206號</v>
      </c>
      <c r="F9" s="579"/>
      <c r="G9" s="579"/>
      <c r="H9" s="579"/>
      <c r="I9" s="579"/>
      <c r="J9" s="579"/>
      <c r="K9" s="579"/>
      <c r="L9" s="579"/>
      <c r="M9" s="579"/>
      <c r="N9" s="579"/>
      <c r="O9" s="579"/>
      <c r="P9" s="579"/>
      <c r="Q9" s="579"/>
      <c r="R9" s="579"/>
      <c r="S9" s="579"/>
      <c r="T9" s="580"/>
      <c r="U9" s="439"/>
      <c r="V9" s="439"/>
      <c r="W9" s="439"/>
      <c r="X9" s="439"/>
      <c r="Y9" s="439"/>
      <c r="Z9" s="440"/>
      <c r="AA9" s="439"/>
      <c r="AB9" s="439"/>
      <c r="AC9" s="439"/>
      <c r="AD9" s="439"/>
    </row>
    <row r="10" spans="1:30" ht="21" customHeight="1" x14ac:dyDescent="0.25">
      <c r="A10" s="581"/>
      <c r="B10" s="582"/>
      <c r="C10" s="582"/>
      <c r="D10" s="583"/>
      <c r="E10" s="581"/>
      <c r="F10" s="582"/>
      <c r="G10" s="582"/>
      <c r="H10" s="582"/>
      <c r="I10" s="582"/>
      <c r="J10" s="582"/>
      <c r="K10" s="582"/>
      <c r="L10" s="582"/>
      <c r="M10" s="582"/>
      <c r="N10" s="582"/>
      <c r="O10" s="582"/>
      <c r="P10" s="582"/>
      <c r="Q10" s="582"/>
      <c r="R10" s="582"/>
      <c r="S10" s="582"/>
      <c r="T10" s="583"/>
      <c r="U10" s="441"/>
      <c r="V10" s="441"/>
      <c r="W10" s="441"/>
      <c r="X10" s="441"/>
      <c r="Y10" s="441"/>
      <c r="Z10" s="442"/>
      <c r="AA10" s="439"/>
      <c r="AB10" s="439"/>
      <c r="AC10" s="439"/>
      <c r="AD10" s="439"/>
    </row>
    <row r="11" spans="1:30" ht="21" customHeight="1" x14ac:dyDescent="0.25">
      <c r="A11" s="1007" t="s">
        <v>746</v>
      </c>
      <c r="B11" s="579"/>
      <c r="C11" s="579"/>
      <c r="D11" s="580"/>
      <c r="E11" s="1012"/>
      <c r="F11" s="579"/>
      <c r="G11" s="579"/>
      <c r="H11" s="579"/>
      <c r="I11" s="1002" t="s">
        <v>747</v>
      </c>
      <c r="J11" s="579"/>
      <c r="K11" s="1003"/>
      <c r="L11" s="579"/>
      <c r="M11" s="579"/>
      <c r="N11" s="579"/>
      <c r="O11" s="579"/>
      <c r="P11" s="579"/>
      <c r="Q11" s="1002" t="s">
        <v>748</v>
      </c>
      <c r="R11" s="579"/>
      <c r="S11" s="1010"/>
      <c r="T11" s="579"/>
      <c r="U11" s="579"/>
      <c r="V11" s="1002" t="s">
        <v>749</v>
      </c>
      <c r="W11" s="579"/>
      <c r="X11" s="216"/>
      <c r="Y11" s="216"/>
      <c r="Z11" s="215"/>
      <c r="AA11" s="439"/>
      <c r="AB11" s="439"/>
      <c r="AC11" s="439"/>
      <c r="AD11" s="439"/>
    </row>
    <row r="12" spans="1:30" ht="21" customHeight="1" x14ac:dyDescent="0.25">
      <c r="A12" s="581"/>
      <c r="B12" s="582"/>
      <c r="C12" s="582"/>
      <c r="D12" s="583"/>
      <c r="E12" s="581"/>
      <c r="F12" s="582"/>
      <c r="G12" s="582"/>
      <c r="H12" s="582"/>
      <c r="I12" s="582"/>
      <c r="J12" s="582"/>
      <c r="K12" s="582"/>
      <c r="L12" s="582"/>
      <c r="M12" s="582"/>
      <c r="N12" s="582"/>
      <c r="O12" s="582"/>
      <c r="P12" s="582"/>
      <c r="Q12" s="582"/>
      <c r="R12" s="582"/>
      <c r="S12" s="582"/>
      <c r="T12" s="582"/>
      <c r="U12" s="582"/>
      <c r="V12" s="582"/>
      <c r="W12" s="582"/>
      <c r="X12" s="441"/>
      <c r="Y12" s="441"/>
      <c r="Z12" s="442"/>
      <c r="AA12" s="439"/>
      <c r="AB12" s="439"/>
      <c r="AC12" s="439"/>
      <c r="AD12" s="439"/>
    </row>
    <row r="13" spans="1:30" ht="21" customHeight="1" x14ac:dyDescent="0.25">
      <c r="A13" s="610" t="s">
        <v>750</v>
      </c>
      <c r="B13" s="579"/>
      <c r="C13" s="579"/>
      <c r="D13" s="580"/>
      <c r="E13" s="1012" t="s">
        <v>751</v>
      </c>
      <c r="F13" s="579"/>
      <c r="G13" s="579"/>
      <c r="H13" s="1001" t="str">
        <f>word用!$K$2</f>
        <v>0935680306</v>
      </c>
      <c r="I13" s="579"/>
      <c r="J13" s="579"/>
      <c r="K13" s="579"/>
      <c r="L13" s="579"/>
      <c r="M13" s="579"/>
      <c r="N13" s="579"/>
      <c r="O13" s="1008" t="s">
        <v>752</v>
      </c>
      <c r="P13" s="575"/>
      <c r="Q13" s="1000"/>
      <c r="R13" s="574"/>
      <c r="S13" s="574"/>
      <c r="T13" s="574"/>
      <c r="U13" s="574"/>
      <c r="V13" s="574"/>
      <c r="W13" s="574"/>
      <c r="X13" s="574"/>
      <c r="Y13" s="574"/>
      <c r="Z13" s="575"/>
      <c r="AA13" s="439"/>
      <c r="AB13" s="439"/>
      <c r="AC13" s="439"/>
      <c r="AD13" s="439"/>
    </row>
    <row r="14" spans="1:30" ht="21" customHeight="1" x14ac:dyDescent="0.25">
      <c r="A14" s="581"/>
      <c r="B14" s="582"/>
      <c r="C14" s="582"/>
      <c r="D14" s="583"/>
      <c r="E14" s="581"/>
      <c r="F14" s="582"/>
      <c r="G14" s="582"/>
      <c r="H14" s="582"/>
      <c r="I14" s="582"/>
      <c r="J14" s="582"/>
      <c r="K14" s="582"/>
      <c r="L14" s="582"/>
      <c r="M14" s="582"/>
      <c r="N14" s="582"/>
      <c r="O14" s="1006" t="s">
        <v>753</v>
      </c>
      <c r="P14" s="583"/>
      <c r="Q14" s="1004"/>
      <c r="R14" s="574"/>
      <c r="S14" s="574"/>
      <c r="T14" s="574"/>
      <c r="U14" s="574"/>
      <c r="V14" s="574"/>
      <c r="W14" s="574"/>
      <c r="X14" s="574"/>
      <c r="Y14" s="574"/>
      <c r="Z14" s="575"/>
      <c r="AA14" s="439"/>
      <c r="AB14" s="439"/>
      <c r="AC14" s="439"/>
      <c r="AD14" s="439"/>
    </row>
    <row r="15" spans="1:30" ht="25.5" customHeight="1" x14ac:dyDescent="0.25">
      <c r="A15" s="1000" t="s">
        <v>754</v>
      </c>
      <c r="B15" s="574"/>
      <c r="C15" s="574"/>
      <c r="D15" s="575"/>
      <c r="E15" s="214" t="s">
        <v>755</v>
      </c>
      <c r="F15" s="1002" t="s">
        <v>756</v>
      </c>
      <c r="G15" s="574"/>
      <c r="H15" s="574"/>
      <c r="I15" s="214" t="str">
        <f>IF(ISBLANK($N$15),"□","V")</f>
        <v>□</v>
      </c>
      <c r="J15" s="1002" t="s">
        <v>757</v>
      </c>
      <c r="K15" s="574"/>
      <c r="L15" s="574"/>
      <c r="M15" s="574"/>
      <c r="N15" s="999"/>
      <c r="O15" s="574"/>
      <c r="P15" s="574"/>
      <c r="Q15" s="574"/>
      <c r="R15" s="574"/>
      <c r="S15" s="574"/>
      <c r="T15" s="574"/>
      <c r="U15" s="574"/>
      <c r="V15" s="574"/>
      <c r="W15" s="574"/>
      <c r="X15" s="574"/>
      <c r="Y15" s="574"/>
      <c r="Z15" s="575"/>
      <c r="AA15" s="439"/>
      <c r="AB15" s="439"/>
      <c r="AC15" s="439"/>
      <c r="AD15" s="439"/>
    </row>
    <row r="16" spans="1:30" ht="25.5" customHeight="1" x14ac:dyDescent="0.25">
      <c r="A16" s="1000" t="s">
        <v>758</v>
      </c>
      <c r="B16" s="574"/>
      <c r="C16" s="574"/>
      <c r="D16" s="575"/>
      <c r="E16" s="214" t="s">
        <v>755</v>
      </c>
      <c r="F16" s="1002" t="s">
        <v>756</v>
      </c>
      <c r="G16" s="574"/>
      <c r="H16" s="574"/>
      <c r="I16" s="214" t="str">
        <f>IF(ISBLANK($N$16),"□","V")</f>
        <v>□</v>
      </c>
      <c r="J16" s="1002" t="s">
        <v>757</v>
      </c>
      <c r="K16" s="574"/>
      <c r="L16" s="574"/>
      <c r="M16" s="574"/>
      <c r="N16" s="999"/>
      <c r="O16" s="574"/>
      <c r="P16" s="574"/>
      <c r="Q16" s="574"/>
      <c r="R16" s="574"/>
      <c r="S16" s="574"/>
      <c r="T16" s="574"/>
      <c r="U16" s="574"/>
      <c r="V16" s="574"/>
      <c r="W16" s="574"/>
      <c r="X16" s="574"/>
      <c r="Y16" s="574"/>
      <c r="Z16" s="575"/>
      <c r="AA16" s="439"/>
      <c r="AB16" s="439"/>
      <c r="AC16" s="439"/>
      <c r="AD16" s="439"/>
    </row>
    <row r="17" spans="1:30" ht="21" customHeight="1" x14ac:dyDescent="0.25">
      <c r="A17" s="439"/>
      <c r="B17" s="439"/>
      <c r="C17" s="439"/>
      <c r="D17" s="439"/>
      <c r="E17" s="439"/>
      <c r="F17" s="439"/>
      <c r="G17" s="439"/>
      <c r="H17" s="439"/>
      <c r="I17" s="439"/>
      <c r="J17" s="439"/>
      <c r="K17" s="439"/>
      <c r="L17" s="439"/>
      <c r="M17" s="439"/>
      <c r="N17" s="439"/>
      <c r="O17" s="439"/>
      <c r="P17" s="439"/>
      <c r="Q17" s="439"/>
      <c r="R17" s="439"/>
      <c r="S17" s="439"/>
      <c r="T17" s="439"/>
      <c r="U17" s="439"/>
      <c r="V17" s="439"/>
      <c r="W17" s="439"/>
      <c r="X17" s="439"/>
      <c r="Y17" s="439"/>
      <c r="Z17" s="439"/>
      <c r="AA17" s="439"/>
      <c r="AB17" s="439"/>
      <c r="AC17" s="439"/>
      <c r="AD17" s="439"/>
    </row>
    <row r="18" spans="1:30" ht="21" customHeight="1" x14ac:dyDescent="0.25">
      <c r="A18" s="439"/>
      <c r="B18" s="439"/>
      <c r="C18" s="439"/>
      <c r="D18" s="439"/>
      <c r="E18" s="439"/>
      <c r="F18" s="439"/>
      <c r="G18" s="439"/>
      <c r="H18" s="439"/>
      <c r="I18" s="439"/>
      <c r="J18" s="439"/>
      <c r="K18" s="439"/>
      <c r="L18" s="439"/>
      <c r="M18" s="439"/>
      <c r="N18" s="439"/>
      <c r="O18" s="439"/>
      <c r="P18" s="439"/>
      <c r="Q18" s="439"/>
      <c r="R18" s="439"/>
      <c r="S18" s="439"/>
      <c r="T18" s="439"/>
      <c r="U18" s="439"/>
      <c r="V18" s="439"/>
      <c r="W18" s="439"/>
      <c r="X18" s="439"/>
      <c r="Y18" s="439"/>
      <c r="Z18" s="439"/>
      <c r="AA18" s="439"/>
      <c r="AB18" s="439"/>
      <c r="AC18" s="439"/>
      <c r="AD18" s="439"/>
    </row>
    <row r="19" spans="1:30" ht="21" customHeight="1" x14ac:dyDescent="0.25">
      <c r="A19" s="439"/>
      <c r="B19" s="439"/>
      <c r="C19" s="439"/>
      <c r="D19" s="439"/>
      <c r="E19" s="439"/>
      <c r="F19" s="439"/>
      <c r="G19" s="439"/>
      <c r="H19" s="439"/>
      <c r="I19" s="439"/>
      <c r="J19" s="439"/>
      <c r="K19" s="439"/>
      <c r="L19" s="439"/>
      <c r="M19" s="439"/>
      <c r="N19" s="439"/>
      <c r="O19" s="439"/>
      <c r="P19" s="439"/>
      <c r="Q19" s="439"/>
      <c r="R19" s="439"/>
      <c r="S19" s="439"/>
      <c r="T19" s="439"/>
      <c r="U19" s="439"/>
      <c r="V19" s="439"/>
      <c r="W19" s="439"/>
      <c r="X19" s="439"/>
      <c r="Y19" s="439"/>
      <c r="Z19" s="439"/>
      <c r="AA19" s="439"/>
      <c r="AB19" s="439"/>
      <c r="AC19" s="439"/>
      <c r="AD19" s="439"/>
    </row>
    <row r="20" spans="1:30" ht="21" customHeight="1" x14ac:dyDescent="0.25">
      <c r="A20" s="439"/>
      <c r="B20" s="439"/>
      <c r="C20" s="439"/>
      <c r="D20" s="439"/>
      <c r="E20" s="439"/>
      <c r="F20" s="439"/>
      <c r="G20" s="439"/>
      <c r="H20" s="439"/>
      <c r="I20" s="439"/>
      <c r="J20" s="439"/>
      <c r="K20" s="439"/>
      <c r="L20" s="439"/>
      <c r="M20" s="439"/>
      <c r="N20" s="439"/>
      <c r="O20" s="439"/>
      <c r="P20" s="439"/>
      <c r="Q20" s="439"/>
      <c r="R20" s="439"/>
      <c r="S20" s="439"/>
      <c r="T20" s="439"/>
      <c r="U20" s="439"/>
      <c r="V20" s="439"/>
      <c r="W20" s="439"/>
      <c r="X20" s="439"/>
      <c r="Y20" s="439"/>
      <c r="Z20" s="439"/>
      <c r="AA20" s="439"/>
      <c r="AB20" s="439"/>
      <c r="AC20" s="439"/>
      <c r="AD20" s="439"/>
    </row>
    <row r="21" spans="1:30" ht="21" customHeight="1" x14ac:dyDescent="0.25">
      <c r="A21" s="439"/>
      <c r="B21" s="439"/>
      <c r="C21" s="439"/>
      <c r="D21" s="439"/>
      <c r="E21" s="439"/>
      <c r="F21" s="439"/>
      <c r="G21" s="439"/>
      <c r="H21" s="439"/>
      <c r="I21" s="439"/>
      <c r="J21" s="439"/>
      <c r="K21" s="439"/>
      <c r="L21" s="439"/>
      <c r="M21" s="439"/>
      <c r="N21" s="439"/>
      <c r="O21" s="439"/>
      <c r="P21" s="439"/>
      <c r="Q21" s="439"/>
      <c r="R21" s="439"/>
      <c r="S21" s="439"/>
      <c r="T21" s="439"/>
      <c r="U21" s="439"/>
      <c r="V21" s="439"/>
      <c r="W21" s="439"/>
      <c r="X21" s="439"/>
      <c r="Y21" s="439"/>
      <c r="Z21" s="439"/>
      <c r="AA21" s="439"/>
      <c r="AB21" s="439"/>
      <c r="AC21" s="439"/>
      <c r="AD21" s="439"/>
    </row>
  </sheetData>
  <mergeCells count="29">
    <mergeCell ref="A1:Z4"/>
    <mergeCell ref="E5:Z6"/>
    <mergeCell ref="V11:W12"/>
    <mergeCell ref="A7:D8"/>
    <mergeCell ref="N15:Z15"/>
    <mergeCell ref="S11:U12"/>
    <mergeCell ref="Q11:R12"/>
    <mergeCell ref="Q13:Z13"/>
    <mergeCell ref="A15:D15"/>
    <mergeCell ref="E9:T10"/>
    <mergeCell ref="E13:G14"/>
    <mergeCell ref="F15:H15"/>
    <mergeCell ref="E11:H12"/>
    <mergeCell ref="N16:Z16"/>
    <mergeCell ref="A5:D6"/>
    <mergeCell ref="H13:N14"/>
    <mergeCell ref="A13:D14"/>
    <mergeCell ref="I11:J12"/>
    <mergeCell ref="K11:P12"/>
    <mergeCell ref="A16:D16"/>
    <mergeCell ref="J15:M15"/>
    <mergeCell ref="Q14:Z14"/>
    <mergeCell ref="E7:T8"/>
    <mergeCell ref="F16:H16"/>
    <mergeCell ref="A9:D10"/>
    <mergeCell ref="O14:P14"/>
    <mergeCell ref="J16:M16"/>
    <mergeCell ref="A11:D12"/>
    <mergeCell ref="O13:P13"/>
  </mergeCells>
  <phoneticPr fontId="1" type="noConversion"/>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工作表36">
    <tabColor theme="9"/>
    <pageSetUpPr fitToPage="1"/>
  </sheetPr>
  <dimension ref="A1:G35"/>
  <sheetViews>
    <sheetView view="pageLayout" zoomScaleNormal="100" workbookViewId="0">
      <selection activeCell="D28" sqref="D28:E31"/>
    </sheetView>
  </sheetViews>
  <sheetFormatPr defaultRowHeight="12.75" x14ac:dyDescent="0.25"/>
  <cols>
    <col min="1" max="1" width="21.125" style="189" customWidth="1"/>
    <col min="2" max="2" width="33.875" style="189" customWidth="1"/>
    <col min="3" max="3" width="13" style="189" customWidth="1"/>
    <col min="4" max="4" width="22.625" style="189" customWidth="1"/>
    <col min="5" max="5" width="16.5" style="189" customWidth="1"/>
    <col min="6" max="6" width="14.875" style="189" customWidth="1"/>
    <col min="7" max="7" width="5.375" style="189" customWidth="1"/>
    <col min="8" max="8" width="9" style="189" customWidth="1"/>
    <col min="9" max="16384" width="9" style="189"/>
  </cols>
  <sheetData>
    <row r="1" spans="1:7" ht="19.5" customHeight="1" x14ac:dyDescent="0.25">
      <c r="A1" s="1013" t="s">
        <v>759</v>
      </c>
      <c r="B1" s="1014"/>
      <c r="C1" s="1014"/>
      <c r="D1" s="1014"/>
      <c r="E1" s="1014"/>
      <c r="F1" s="1014"/>
    </row>
    <row r="2" spans="1:7" ht="27" customHeight="1" x14ac:dyDescent="0.25">
      <c r="A2" s="196" t="s">
        <v>760</v>
      </c>
      <c r="B2" s="196"/>
      <c r="C2" s="196" t="s">
        <v>761</v>
      </c>
      <c r="D2" s="1025" t="str">
        <f>下拉用!$J$6</f>
        <v>114年05月05日05時05分</v>
      </c>
      <c r="E2" s="1026"/>
      <c r="F2" s="196" t="s">
        <v>762</v>
      </c>
      <c r="G2" s="1021" t="s">
        <v>763</v>
      </c>
    </row>
    <row r="3" spans="1:7" ht="27" customHeight="1" x14ac:dyDescent="0.25">
      <c r="A3" s="196" t="s">
        <v>764</v>
      </c>
      <c r="B3" s="198" t="str">
        <f>CONCATENATE(輸入!$S$18,輸入!$T$18,輸入!$S$19,輸入!$T$19)</f>
        <v>臺北市政府警察局信義分局</v>
      </c>
      <c r="C3" s="1025" t="s">
        <v>765</v>
      </c>
      <c r="D3" s="1034" t="s">
        <v>766</v>
      </c>
      <c r="E3" s="1028"/>
      <c r="F3" s="1015"/>
      <c r="G3" s="1020"/>
    </row>
    <row r="4" spans="1:7" ht="27" customHeight="1" x14ac:dyDescent="0.25">
      <c r="A4" s="196" t="s">
        <v>767</v>
      </c>
      <c r="B4" s="198" t="str">
        <f>CONCATENATE(輸入!$S$18,輸入!$T$18,輸入!$S$19,輸入!$T$19)</f>
        <v>臺北市政府警察局信義分局</v>
      </c>
      <c r="C4" s="1023"/>
      <c r="D4" s="1020"/>
      <c r="E4" s="1029"/>
      <c r="F4" s="1023"/>
      <c r="G4" s="1020"/>
    </row>
    <row r="5" spans="1:7" ht="45.95" customHeight="1" x14ac:dyDescent="0.25">
      <c r="A5" s="196" t="s">
        <v>768</v>
      </c>
      <c r="B5" s="198" t="str">
        <f>輸入!$S$23</f>
        <v>台北市信義區吳興街262號</v>
      </c>
      <c r="C5" s="1023"/>
      <c r="D5" s="1020"/>
      <c r="E5" s="1029"/>
      <c r="F5" s="1023"/>
      <c r="G5" s="1020"/>
    </row>
    <row r="6" spans="1:7" ht="27" customHeight="1" x14ac:dyDescent="0.25">
      <c r="A6" s="196" t="s">
        <v>509</v>
      </c>
      <c r="B6" s="196" t="str">
        <f>輸入!$T$21</f>
        <v>(02)27398997</v>
      </c>
      <c r="C6" s="1023"/>
      <c r="D6" s="1020"/>
      <c r="E6" s="1029"/>
      <c r="F6" s="1023"/>
      <c r="G6" s="1020"/>
    </row>
    <row r="7" spans="1:7" ht="14.1" customHeight="1" x14ac:dyDescent="0.25">
      <c r="A7" s="1025" t="s">
        <v>769</v>
      </c>
      <c r="B7" s="1015" t="str">
        <f>word用!$H$2</f>
        <v>顏文祥</v>
      </c>
      <c r="C7" s="1016"/>
      <c r="D7" s="1030"/>
      <c r="E7" s="1031"/>
      <c r="F7" s="1016"/>
      <c r="G7" s="1020"/>
    </row>
    <row r="8" spans="1:7" ht="33.950000000000003" customHeight="1" x14ac:dyDescent="0.25">
      <c r="A8" s="1016"/>
      <c r="B8" s="1016"/>
      <c r="C8" s="1025" t="s">
        <v>770</v>
      </c>
      <c r="D8" s="1034" t="s">
        <v>771</v>
      </c>
      <c r="E8" s="1035" t="s">
        <v>772</v>
      </c>
      <c r="F8" s="1028"/>
      <c r="G8" s="1020"/>
    </row>
    <row r="9" spans="1:7" ht="13.35" customHeight="1" x14ac:dyDescent="0.25">
      <c r="A9" s="1025" t="s">
        <v>467</v>
      </c>
      <c r="B9" s="1015" t="str">
        <f>UPPER(VLOOKUP($B$7,個資,2,FALSE))</f>
        <v>A126819564</v>
      </c>
      <c r="C9" s="1023"/>
      <c r="D9" s="1016"/>
      <c r="E9" s="1030"/>
      <c r="F9" s="1031"/>
      <c r="G9" s="1020"/>
    </row>
    <row r="10" spans="1:7" ht="33.950000000000003" customHeight="1" x14ac:dyDescent="0.25">
      <c r="A10" s="1016"/>
      <c r="B10" s="1016"/>
      <c r="C10" s="1023"/>
      <c r="D10" s="1022"/>
      <c r="E10" s="1022"/>
      <c r="F10" s="1028"/>
      <c r="G10" s="1020"/>
    </row>
    <row r="11" spans="1:7" ht="53.25" customHeight="1" x14ac:dyDescent="0.25">
      <c r="A11" s="196" t="s">
        <v>768</v>
      </c>
      <c r="B11" s="196" t="str">
        <f>VLOOKUP($B$7,個資,6,FALSE)</f>
        <v>臺北市信義區信義路五段150巷477號</v>
      </c>
      <c r="C11" s="1023"/>
      <c r="D11" s="1023"/>
      <c r="E11" s="1020"/>
      <c r="F11" s="1029"/>
      <c r="G11" s="1020"/>
    </row>
    <row r="12" spans="1:7" ht="27" customHeight="1" x14ac:dyDescent="0.25">
      <c r="A12" s="196" t="s">
        <v>509</v>
      </c>
      <c r="B12" s="444" t="str">
        <f>CONCATENATE("0",VLOOKUP($B$7,個資,4,FALSE))</f>
        <v>0935680306</v>
      </c>
      <c r="C12" s="1016"/>
      <c r="D12" s="1016"/>
      <c r="E12" s="1030"/>
      <c r="F12" s="1031"/>
      <c r="G12" s="1020"/>
    </row>
    <row r="13" spans="1:7" ht="27" customHeight="1" x14ac:dyDescent="0.25">
      <c r="A13" s="196" t="s">
        <v>773</v>
      </c>
      <c r="B13" s="197" t="s">
        <v>774</v>
      </c>
      <c r="C13" s="196" t="s">
        <v>775</v>
      </c>
      <c r="D13" s="1038"/>
      <c r="E13" s="1039"/>
      <c r="F13" s="1026"/>
      <c r="G13" s="1020"/>
    </row>
    <row r="14" spans="1:7" ht="28.5" customHeight="1" x14ac:dyDescent="0.25">
      <c r="A14" s="1017" t="s">
        <v>776</v>
      </c>
      <c r="B14" s="1018"/>
      <c r="C14" s="1018"/>
      <c r="D14" s="1018"/>
      <c r="E14" s="1018"/>
      <c r="F14" s="1018"/>
    </row>
    <row r="15" spans="1:7" ht="19.5" customHeight="1" x14ac:dyDescent="0.25">
      <c r="A15" s="1037" t="s">
        <v>777</v>
      </c>
      <c r="B15" s="1018"/>
      <c r="C15" s="1018"/>
      <c r="D15" s="1018"/>
      <c r="E15" s="1018"/>
      <c r="F15" s="1018"/>
    </row>
    <row r="16" spans="1:7" ht="27" customHeight="1" x14ac:dyDescent="0.25">
      <c r="A16" s="526" t="s">
        <v>760</v>
      </c>
      <c r="B16" s="194"/>
      <c r="C16" s="194" t="s">
        <v>761</v>
      </c>
      <c r="D16" s="1027" t="str">
        <f>下拉用!$J$6</f>
        <v>114年05月05日05時05分</v>
      </c>
      <c r="E16" s="575"/>
      <c r="F16" s="526" t="s">
        <v>762</v>
      </c>
      <c r="G16" s="1019" t="s">
        <v>778</v>
      </c>
    </row>
    <row r="17" spans="1:7" ht="27" customHeight="1" x14ac:dyDescent="0.25">
      <c r="A17" s="526" t="s">
        <v>764</v>
      </c>
      <c r="B17" s="190" t="str">
        <f>CONCATENATE(輸入!$S$18,輸入!$T$18,輸入!$S$19,輸入!$T$19)</f>
        <v>臺北市政府警察局信義分局</v>
      </c>
      <c r="C17" s="1033" t="s">
        <v>765</v>
      </c>
      <c r="D17" s="1040" t="s">
        <v>766</v>
      </c>
      <c r="E17" s="580"/>
      <c r="F17" s="1041"/>
      <c r="G17" s="1020"/>
    </row>
    <row r="18" spans="1:7" ht="27" customHeight="1" x14ac:dyDescent="0.25">
      <c r="A18" s="526" t="s">
        <v>767</v>
      </c>
      <c r="B18" s="190" t="str">
        <f>CONCATENATE(輸入!$S$18,輸入!$T$18,輸入!$S$19,輸入!$T$19)</f>
        <v>臺北市政府警察局信義分局</v>
      </c>
      <c r="C18" s="940"/>
      <c r="D18" s="601"/>
      <c r="E18" s="603"/>
      <c r="F18" s="940"/>
      <c r="G18" s="1020"/>
    </row>
    <row r="19" spans="1:7" ht="60" customHeight="1" x14ac:dyDescent="0.25">
      <c r="A19" s="526" t="s">
        <v>768</v>
      </c>
      <c r="B19" s="190" t="str">
        <f>輸入!$S$23</f>
        <v>台北市信義區吳興街262號</v>
      </c>
      <c r="C19" s="940"/>
      <c r="D19" s="601"/>
      <c r="E19" s="603"/>
      <c r="F19" s="940"/>
      <c r="G19" s="1020"/>
    </row>
    <row r="20" spans="1:7" ht="27" customHeight="1" x14ac:dyDescent="0.25">
      <c r="A20" s="526" t="s">
        <v>509</v>
      </c>
      <c r="B20" s="194" t="str">
        <f>輸入!$T$21</f>
        <v>(02)27398997</v>
      </c>
      <c r="C20" s="577"/>
      <c r="D20" s="581"/>
      <c r="E20" s="583"/>
      <c r="F20" s="577"/>
      <c r="G20" s="1020"/>
    </row>
    <row r="21" spans="1:7" ht="81.75" customHeight="1" x14ac:dyDescent="0.25">
      <c r="A21" s="1024" t="s">
        <v>779</v>
      </c>
      <c r="B21" s="193" t="s">
        <v>780</v>
      </c>
      <c r="C21" s="1036" t="s">
        <v>781</v>
      </c>
      <c r="D21" s="579"/>
      <c r="E21" s="579"/>
      <c r="F21" s="193" t="s">
        <v>782</v>
      </c>
      <c r="G21" s="1020"/>
    </row>
    <row r="22" spans="1:7" ht="60" customHeight="1" x14ac:dyDescent="0.25">
      <c r="A22" s="577"/>
      <c r="B22" s="193" t="s">
        <v>783</v>
      </c>
      <c r="C22" s="1018"/>
      <c r="D22" s="1018"/>
      <c r="E22" s="1018"/>
      <c r="F22" s="192"/>
      <c r="G22" s="1020"/>
    </row>
    <row r="23" spans="1:7" ht="27" customHeight="1" x14ac:dyDescent="0.25">
      <c r="A23" s="527" t="s">
        <v>773</v>
      </c>
      <c r="B23" s="528" t="s">
        <v>774</v>
      </c>
      <c r="C23" s="526" t="s">
        <v>775</v>
      </c>
      <c r="D23" s="1032"/>
      <c r="E23" s="574"/>
      <c r="F23" s="575"/>
      <c r="G23" s="1020"/>
    </row>
    <row r="24" spans="1:7" ht="27" customHeight="1" x14ac:dyDescent="0.3">
      <c r="A24" s="195"/>
      <c r="B24" s="195"/>
      <c r="C24" s="195"/>
      <c r="D24" s="190" t="s">
        <v>784</v>
      </c>
      <c r="E24" s="1032"/>
      <c r="F24" s="575"/>
      <c r="G24" s="1020"/>
    </row>
    <row r="25" spans="1:7" ht="28.5" customHeight="1" x14ac:dyDescent="0.25">
      <c r="A25" s="1017" t="s">
        <v>776</v>
      </c>
      <c r="B25" s="1018"/>
      <c r="C25" s="1018"/>
      <c r="D25" s="1018"/>
      <c r="E25" s="1018"/>
      <c r="F25" s="1018"/>
    </row>
    <row r="26" spans="1:7" ht="19.5" customHeight="1" x14ac:dyDescent="0.25">
      <c r="A26" s="1037" t="s">
        <v>785</v>
      </c>
      <c r="B26" s="1018"/>
      <c r="C26" s="1018"/>
      <c r="D26" s="1018"/>
      <c r="E26" s="1018"/>
      <c r="F26" s="1018"/>
    </row>
    <row r="27" spans="1:7" ht="27" customHeight="1" x14ac:dyDescent="0.25">
      <c r="A27" s="526" t="s">
        <v>760</v>
      </c>
      <c r="B27" s="194"/>
      <c r="C27" s="194" t="s">
        <v>761</v>
      </c>
      <c r="D27" s="1027" t="str">
        <f>下拉用!$J$6</f>
        <v>114年05月05日05時05分</v>
      </c>
      <c r="E27" s="575"/>
      <c r="F27" s="526" t="s">
        <v>762</v>
      </c>
      <c r="G27" s="1021" t="s">
        <v>786</v>
      </c>
    </row>
    <row r="28" spans="1:7" ht="27" customHeight="1" x14ac:dyDescent="0.25">
      <c r="A28" s="526" t="s">
        <v>764</v>
      </c>
      <c r="B28" s="190" t="str">
        <f>CONCATENATE(輸入!$S$18,輸入!$T$18,輸入!$S$19,輸入!$T$19)</f>
        <v>臺北市政府警察局信義分局</v>
      </c>
      <c r="C28" s="1033" t="s">
        <v>765</v>
      </c>
      <c r="D28" s="1040" t="s">
        <v>766</v>
      </c>
      <c r="E28" s="580"/>
      <c r="F28" s="1041"/>
      <c r="G28" s="1020"/>
    </row>
    <row r="29" spans="1:7" ht="27" customHeight="1" x14ac:dyDescent="0.25">
      <c r="A29" s="526" t="s">
        <v>767</v>
      </c>
      <c r="B29" s="190" t="str">
        <f>CONCATENATE(輸入!$S$18,輸入!$T$18,輸入!$S$19,輸入!$T$19)</f>
        <v>臺北市政府警察局信義分局</v>
      </c>
      <c r="C29" s="940"/>
      <c r="D29" s="601"/>
      <c r="E29" s="603"/>
      <c r="F29" s="940"/>
      <c r="G29" s="1020"/>
    </row>
    <row r="30" spans="1:7" ht="60" customHeight="1" x14ac:dyDescent="0.25">
      <c r="A30" s="526" t="s">
        <v>768</v>
      </c>
      <c r="B30" s="190" t="str">
        <f>輸入!$S$23</f>
        <v>台北市信義區吳興街262號</v>
      </c>
      <c r="C30" s="940"/>
      <c r="D30" s="601"/>
      <c r="E30" s="603"/>
      <c r="F30" s="940"/>
      <c r="G30" s="1020"/>
    </row>
    <row r="31" spans="1:7" ht="27" customHeight="1" x14ac:dyDescent="0.25">
      <c r="A31" s="526" t="s">
        <v>509</v>
      </c>
      <c r="B31" s="194" t="str">
        <f>輸入!$T$21</f>
        <v>(02)27398997</v>
      </c>
      <c r="C31" s="577"/>
      <c r="D31" s="581"/>
      <c r="E31" s="583"/>
      <c r="F31" s="577"/>
      <c r="G31" s="1020"/>
    </row>
    <row r="32" spans="1:7" ht="81.75" customHeight="1" x14ac:dyDescent="0.25">
      <c r="A32" s="1024" t="s">
        <v>779</v>
      </c>
      <c r="B32" s="193" t="s">
        <v>780</v>
      </c>
      <c r="C32" s="1036" t="s">
        <v>781</v>
      </c>
      <c r="D32" s="579"/>
      <c r="E32" s="579"/>
      <c r="F32" s="193" t="s">
        <v>782</v>
      </c>
      <c r="G32" s="1020"/>
    </row>
    <row r="33" spans="1:7" ht="60" customHeight="1" x14ac:dyDescent="0.25">
      <c r="A33" s="577"/>
      <c r="B33" s="193" t="s">
        <v>783</v>
      </c>
      <c r="C33" s="1018"/>
      <c r="D33" s="1018"/>
      <c r="E33" s="1018"/>
      <c r="F33" s="192"/>
      <c r="G33" s="1020"/>
    </row>
    <row r="34" spans="1:7" ht="27" customHeight="1" x14ac:dyDescent="0.25">
      <c r="A34" s="524" t="s">
        <v>773</v>
      </c>
      <c r="B34" s="525" t="s">
        <v>774</v>
      </c>
      <c r="C34" s="523" t="s">
        <v>775</v>
      </c>
      <c r="D34" s="1032"/>
      <c r="E34" s="574"/>
      <c r="F34" s="575"/>
      <c r="G34" s="1020"/>
    </row>
    <row r="35" spans="1:7" ht="27" customHeight="1" x14ac:dyDescent="0.3">
      <c r="A35" s="191"/>
      <c r="B35" s="191"/>
      <c r="C35" s="191"/>
      <c r="D35" s="190" t="s">
        <v>784</v>
      </c>
      <c r="E35" s="1032"/>
      <c r="F35" s="575"/>
      <c r="G35" s="1020"/>
    </row>
  </sheetData>
  <mergeCells count="38">
    <mergeCell ref="G27:G35"/>
    <mergeCell ref="A7:A8"/>
    <mergeCell ref="A26:F26"/>
    <mergeCell ref="D28:E31"/>
    <mergeCell ref="E35:F35"/>
    <mergeCell ref="A14:F14"/>
    <mergeCell ref="F17:F20"/>
    <mergeCell ref="D27:E27"/>
    <mergeCell ref="C3:C7"/>
    <mergeCell ref="D34:F34"/>
    <mergeCell ref="C28:C31"/>
    <mergeCell ref="D3:E7"/>
    <mergeCell ref="F28:F31"/>
    <mergeCell ref="A9:A10"/>
    <mergeCell ref="C32:E33"/>
    <mergeCell ref="D17:E20"/>
    <mergeCell ref="A32:A33"/>
    <mergeCell ref="D16:E16"/>
    <mergeCell ref="B9:B10"/>
    <mergeCell ref="E10:F12"/>
    <mergeCell ref="D23:F23"/>
    <mergeCell ref="C17:C20"/>
    <mergeCell ref="D8:D9"/>
    <mergeCell ref="E8:F9"/>
    <mergeCell ref="C21:E22"/>
    <mergeCell ref="A15:F15"/>
    <mergeCell ref="D13:F13"/>
    <mergeCell ref="E24:F24"/>
    <mergeCell ref="C8:C12"/>
    <mergeCell ref="A1:F1"/>
    <mergeCell ref="B7:B8"/>
    <mergeCell ref="A25:F25"/>
    <mergeCell ref="G16:G24"/>
    <mergeCell ref="G2:G13"/>
    <mergeCell ref="D10:D12"/>
    <mergeCell ref="A21:A22"/>
    <mergeCell ref="F3:F7"/>
    <mergeCell ref="D2:E2"/>
  </mergeCells>
  <phoneticPr fontId="1" type="noConversion"/>
  <printOptions horizontalCentered="1"/>
  <pageMargins left="0.11811023622047249" right="0.23622047244094491" top="0.74803149606299213" bottom="0.74803149606299213" header="0.31496062992125978" footer="0.31496062992125978"/>
  <pageSetup paperSize="9" scale="64"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工作表31">
    <tabColor theme="9"/>
  </sheetPr>
  <dimension ref="A1:BB27"/>
  <sheetViews>
    <sheetView view="pageBreakPreview" zoomScale="115" zoomScaleNormal="100" zoomScaleSheetLayoutView="115" workbookViewId="0">
      <selection activeCell="B5" sqref="B5:D5"/>
    </sheetView>
  </sheetViews>
  <sheetFormatPr defaultRowHeight="16.5" x14ac:dyDescent="0.25"/>
  <cols>
    <col min="1" max="1" width="16.25" style="545" customWidth="1"/>
    <col min="2" max="2" width="7.75" style="545" customWidth="1"/>
    <col min="3" max="3" width="3.875" style="545" customWidth="1"/>
    <col min="4" max="4" width="59.375" style="545" customWidth="1"/>
    <col min="5" max="54" width="2.75" style="545" customWidth="1"/>
  </cols>
  <sheetData>
    <row r="1" spans="1:4" ht="24" customHeight="1" x14ac:dyDescent="0.25">
      <c r="A1" s="1042" t="str">
        <f>CONCATENATE(輸入!$S$18,輸入!$T$18)</f>
        <v>臺北市政府警察局</v>
      </c>
      <c r="B1" s="721"/>
      <c r="C1" s="1055" t="s">
        <v>787</v>
      </c>
      <c r="D1" s="721"/>
    </row>
    <row r="2" spans="1:4" ht="24" customHeight="1" thickBot="1" x14ac:dyDescent="0.3">
      <c r="A2" s="1050" t="str">
        <f>CONCATENATE(輸入!$S$19,輸入!$T$19)</f>
        <v>信義分局</v>
      </c>
      <c r="B2" s="670"/>
      <c r="C2" s="670"/>
      <c r="D2" s="670"/>
    </row>
    <row r="3" spans="1:4" ht="52.5" customHeight="1" thickBot="1" x14ac:dyDescent="0.3">
      <c r="A3" s="236" t="s">
        <v>788</v>
      </c>
      <c r="B3" s="1058" t="str">
        <f>word用!$H$2</f>
        <v>顏文祥</v>
      </c>
      <c r="C3" s="797"/>
      <c r="D3" s="235" t="s">
        <v>789</v>
      </c>
    </row>
    <row r="4" spans="1:4" ht="52.5" customHeight="1" thickBot="1" x14ac:dyDescent="0.3">
      <c r="A4" s="234" t="s">
        <v>340</v>
      </c>
      <c r="B4" s="1048" t="str">
        <f>下拉用!$J$5</f>
        <v>年月日時分</v>
      </c>
      <c r="C4" s="797"/>
      <c r="D4" s="1049"/>
    </row>
    <row r="5" spans="1:4" ht="52.5" customHeight="1" thickBot="1" x14ac:dyDescent="0.3">
      <c r="A5" s="233" t="s">
        <v>341</v>
      </c>
      <c r="B5" s="1048" t="str">
        <f>輸入!$C$7</f>
        <v>臺北市信義區吳興街206號</v>
      </c>
      <c r="C5" s="797"/>
      <c r="D5" s="1049"/>
    </row>
    <row r="6" spans="1:4" ht="52.5" customHeight="1" thickBot="1" x14ac:dyDescent="0.3">
      <c r="A6" s="233" t="s">
        <v>184</v>
      </c>
      <c r="B6" s="1048">
        <f>輸入!$H$7</f>
        <v>0.67</v>
      </c>
      <c r="C6" s="797"/>
      <c r="D6" s="1049"/>
    </row>
    <row r="7" spans="1:4" ht="52.5" customHeight="1" thickBot="1" x14ac:dyDescent="0.3">
      <c r="A7" s="232" t="s">
        <v>790</v>
      </c>
      <c r="B7" s="1052" t="e">
        <f t="array" ref="B7">_xlfn.IFS(輸入!H7=下拉用!F2,"一級",輸入!H7=下拉用!F3,"二級",輸入!H7=下拉用!F4,"三級",輸入!H7=下拉用!F5,"四級")</f>
        <v>#N/A</v>
      </c>
      <c r="C7" s="1053"/>
      <c r="D7" s="1054"/>
    </row>
    <row r="8" spans="1:4" ht="52.5" customHeight="1" thickBot="1" x14ac:dyDescent="0.3">
      <c r="A8" s="529" t="s">
        <v>791</v>
      </c>
      <c r="B8" s="1059" t="s">
        <v>792</v>
      </c>
      <c r="C8" s="1060"/>
      <c r="D8" s="1061"/>
    </row>
    <row r="9" spans="1:4" ht="25.5" customHeight="1" x14ac:dyDescent="0.25">
      <c r="A9" s="1044" t="s">
        <v>793</v>
      </c>
      <c r="B9" s="1051"/>
      <c r="C9" s="721"/>
      <c r="D9" s="838"/>
    </row>
    <row r="10" spans="1:4" ht="25.5" customHeight="1" thickBot="1" x14ac:dyDescent="0.3">
      <c r="A10" s="1046"/>
      <c r="B10" s="839"/>
      <c r="C10" s="670"/>
      <c r="D10" s="671"/>
    </row>
    <row r="11" spans="1:4" ht="25.5" customHeight="1" x14ac:dyDescent="0.25">
      <c r="A11" s="1044" t="s">
        <v>794</v>
      </c>
      <c r="B11" s="1051"/>
      <c r="C11" s="721"/>
      <c r="D11" s="838"/>
    </row>
    <row r="12" spans="1:4" ht="25.5" customHeight="1" thickBot="1" x14ac:dyDescent="0.3">
      <c r="A12" s="1046"/>
      <c r="B12" s="839"/>
      <c r="C12" s="670"/>
      <c r="D12" s="671"/>
    </row>
    <row r="13" spans="1:4" ht="52.5" customHeight="1" thickBot="1" x14ac:dyDescent="0.3">
      <c r="A13" s="529" t="s">
        <v>795</v>
      </c>
      <c r="B13" s="1048" t="str">
        <f>CONCATENATE(輸入!$S$18,輸入!$T$18,輸入!$S$19,輸入!$T$19,輸入!$S$20,輸入!$T$20)</f>
        <v>臺北市政府警察局信義分局吳興街派出所</v>
      </c>
      <c r="C13" s="797"/>
      <c r="D13" s="1049"/>
    </row>
    <row r="14" spans="1:4" ht="52.5" customHeight="1" thickBot="1" x14ac:dyDescent="0.3">
      <c r="A14" s="529" t="s">
        <v>796</v>
      </c>
      <c r="B14" s="1048" t="str">
        <f>CONCATENATE(輸入!$T$24," ",輸入!$O$8)</f>
        <v>警員 蘇詠棠</v>
      </c>
      <c r="C14" s="797"/>
      <c r="D14" s="1049"/>
    </row>
    <row r="15" spans="1:4" ht="23.25" customHeight="1" x14ac:dyDescent="0.25">
      <c r="A15" s="1044" t="s">
        <v>797</v>
      </c>
      <c r="B15" s="1047" t="s">
        <v>798</v>
      </c>
      <c r="C15" s="721"/>
      <c r="D15" s="832"/>
    </row>
    <row r="16" spans="1:4" ht="23.25" customHeight="1" x14ac:dyDescent="0.25">
      <c r="A16" s="1045"/>
      <c r="B16" s="1043" t="s">
        <v>799</v>
      </c>
      <c r="C16" s="681"/>
      <c r="D16" s="669"/>
    </row>
    <row r="17" spans="1:4" ht="23.25" customHeight="1" thickBot="1" x14ac:dyDescent="0.3">
      <c r="A17" s="1046"/>
      <c r="B17" s="1062" t="s">
        <v>800</v>
      </c>
      <c r="C17" s="771"/>
      <c r="D17" s="849"/>
    </row>
    <row r="18" spans="1:4" ht="23.25" customHeight="1" x14ac:dyDescent="0.25">
      <c r="A18" s="1056" t="s">
        <v>801</v>
      </c>
      <c r="B18" s="1047" t="s">
        <v>802</v>
      </c>
      <c r="C18" s="721"/>
      <c r="D18" s="832"/>
    </row>
    <row r="19" spans="1:4" ht="23.25" customHeight="1" x14ac:dyDescent="0.25">
      <c r="A19" s="1045"/>
      <c r="B19" s="1043" t="s">
        <v>803</v>
      </c>
      <c r="C19" s="681"/>
      <c r="D19" s="669"/>
    </row>
    <row r="20" spans="1:4" ht="23.25" customHeight="1" x14ac:dyDescent="0.25">
      <c r="A20" s="1045"/>
      <c r="B20" s="1063" t="s">
        <v>804</v>
      </c>
      <c r="C20" s="681"/>
      <c r="D20" s="669"/>
    </row>
    <row r="21" spans="1:4" ht="23.25" customHeight="1" x14ac:dyDescent="0.25">
      <c r="A21" s="1045"/>
      <c r="B21" s="1043" t="s">
        <v>805</v>
      </c>
      <c r="C21" s="681"/>
      <c r="D21" s="669"/>
    </row>
    <row r="22" spans="1:4" ht="23.25" customHeight="1" thickBot="1" x14ac:dyDescent="0.3">
      <c r="A22" s="1057"/>
      <c r="B22" s="1064" t="s">
        <v>806</v>
      </c>
      <c r="C22" s="846"/>
      <c r="D22" s="847"/>
    </row>
    <row r="23" spans="1:4" ht="17.25" customHeight="1" thickTop="1" x14ac:dyDescent="0.25">
      <c r="A23" s="115"/>
      <c r="B23" s="115"/>
      <c r="C23" s="115"/>
      <c r="D23" s="115"/>
    </row>
    <row r="24" spans="1:4" x14ac:dyDescent="0.25">
      <c r="A24" s="231"/>
      <c r="B24" s="231"/>
      <c r="C24" s="231"/>
    </row>
    <row r="25" spans="1:4" x14ac:dyDescent="0.25">
      <c r="A25" s="230" t="s">
        <v>807</v>
      </c>
      <c r="B25" s="230"/>
      <c r="C25" s="230"/>
    </row>
    <row r="26" spans="1:4" x14ac:dyDescent="0.25">
      <c r="A26" s="230"/>
      <c r="B26" s="230"/>
      <c r="C26" s="230"/>
    </row>
    <row r="27" spans="1:4" x14ac:dyDescent="0.25">
      <c r="A27" s="229"/>
      <c r="B27" s="229"/>
      <c r="C27" s="229"/>
    </row>
  </sheetData>
  <mergeCells count="25">
    <mergeCell ref="A18:A22"/>
    <mergeCell ref="B14:D14"/>
    <mergeCell ref="B3:C3"/>
    <mergeCell ref="B8:D8"/>
    <mergeCell ref="B17:D17"/>
    <mergeCell ref="B13:D13"/>
    <mergeCell ref="B20:D20"/>
    <mergeCell ref="B22:D22"/>
    <mergeCell ref="B21:D21"/>
    <mergeCell ref="A1:B1"/>
    <mergeCell ref="B19:D19"/>
    <mergeCell ref="A15:A17"/>
    <mergeCell ref="B15:D15"/>
    <mergeCell ref="B6:D6"/>
    <mergeCell ref="A2:B2"/>
    <mergeCell ref="B5:D5"/>
    <mergeCell ref="B11:D12"/>
    <mergeCell ref="B4:D4"/>
    <mergeCell ref="B7:D7"/>
    <mergeCell ref="B16:D16"/>
    <mergeCell ref="A9:A10"/>
    <mergeCell ref="C1:D2"/>
    <mergeCell ref="B18:D18"/>
    <mergeCell ref="B9:D10"/>
    <mergeCell ref="A11:A12"/>
  </mergeCells>
  <phoneticPr fontId="1" type="noConversion"/>
  <hyperlinks>
    <hyperlink ref="A25" r:id="rId1" location="p=1" display="p=1" xr:uid="{00000000-0004-0000-2400-000000000000}"/>
  </hyperlinks>
  <pageMargins left="0.7" right="0.7" top="0.75" bottom="0.75" header="0.3" footer="0.3"/>
  <pageSetup paperSize="9" scale="94"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工作表44">
    <tabColor theme="9"/>
  </sheetPr>
  <dimension ref="A1:I25"/>
  <sheetViews>
    <sheetView showGridLines="0" view="pageLayout" topLeftCell="A10" zoomScaleNormal="100" workbookViewId="0">
      <selection activeCell="C8" sqref="C8:I8"/>
    </sheetView>
  </sheetViews>
  <sheetFormatPr defaultRowHeight="16.5" x14ac:dyDescent="0.25"/>
  <cols>
    <col min="1" max="1" width="6.5" style="545" customWidth="1"/>
    <col min="2" max="2" width="5.125" style="545" customWidth="1"/>
    <col min="3" max="3" width="29.25" style="545" customWidth="1"/>
    <col min="4" max="4" width="4.875" style="545" customWidth="1"/>
    <col min="5" max="5" width="11.625" style="545" customWidth="1"/>
    <col min="6" max="6" width="8.125" style="545" customWidth="1"/>
    <col min="7" max="7" width="4.25" style="545" customWidth="1"/>
    <col min="8" max="8" width="12" style="545" customWidth="1"/>
    <col min="9" max="9" width="14.5" style="545" customWidth="1"/>
  </cols>
  <sheetData>
    <row r="1" spans="1:9" ht="36" customHeight="1" thickTop="1" x14ac:dyDescent="0.25">
      <c r="A1" s="1083" t="str">
        <f>CONCATENATE(輸入!$S$18,輸入!$T$18)</f>
        <v>臺北市政府警察局</v>
      </c>
      <c r="B1" s="826"/>
      <c r="C1" s="826"/>
      <c r="D1" s="1079" t="str">
        <f>CONCATENATE(輸入!$S$20,輸入!$T$20,"查訪紀錄表(電話訪查)")</f>
        <v>吳興街派出所查訪紀錄表(電話訪查)</v>
      </c>
      <c r="E1" s="826"/>
      <c r="F1" s="826"/>
      <c r="G1" s="826"/>
      <c r="H1" s="826"/>
      <c r="I1" s="1080"/>
    </row>
    <row r="2" spans="1:9" ht="36" customHeight="1" thickBot="1" x14ac:dyDescent="0.3">
      <c r="A2" s="1084" t="str">
        <f>CONCATENATE(輸入!$S$19,輸入!$T$19)</f>
        <v>信義分局</v>
      </c>
      <c r="B2" s="670"/>
      <c r="C2" s="670"/>
      <c r="D2" s="670"/>
      <c r="E2" s="670"/>
      <c r="F2" s="670"/>
      <c r="G2" s="670"/>
      <c r="H2" s="670"/>
      <c r="I2" s="671"/>
    </row>
    <row r="3" spans="1:9" ht="39" customHeight="1" thickBot="1" x14ac:dyDescent="0.3">
      <c r="A3" s="1085" t="s">
        <v>2</v>
      </c>
      <c r="B3" s="772"/>
      <c r="C3" s="1081" t="str">
        <f>CONCATENATE(,word用!$H$2,"因涉",輸入!$C$2,"，家中兒童是否需要協助案")</f>
        <v>顏文祥因涉毀損，家中兒童是否需要協助案</v>
      </c>
      <c r="D3" s="771"/>
      <c r="E3" s="771"/>
      <c r="F3" s="771"/>
      <c r="G3" s="771"/>
      <c r="H3" s="771"/>
      <c r="I3" s="1082"/>
    </row>
    <row r="4" spans="1:9" ht="27" customHeight="1" thickBot="1" x14ac:dyDescent="0.3">
      <c r="A4" s="1071" t="s">
        <v>808</v>
      </c>
      <c r="B4" s="798"/>
      <c r="C4" s="1073" t="s">
        <v>792</v>
      </c>
      <c r="D4" s="797"/>
      <c r="E4" s="797"/>
      <c r="F4" s="797"/>
      <c r="G4" s="797"/>
      <c r="H4" s="797"/>
      <c r="I4" s="1074"/>
    </row>
    <row r="5" spans="1:9" ht="27" customHeight="1" thickBot="1" x14ac:dyDescent="0.3">
      <c r="A5" s="1071" t="s">
        <v>809</v>
      </c>
      <c r="B5" s="798"/>
      <c r="C5" s="1073" t="str">
        <f>CONCATENATE(輸入!S23,"(電話訪查)")</f>
        <v>台北市信義區吳興街262號(電話訪查)</v>
      </c>
      <c r="D5" s="797"/>
      <c r="E5" s="797"/>
      <c r="F5" s="797"/>
      <c r="G5" s="797"/>
      <c r="H5" s="797"/>
      <c r="I5" s="1074"/>
    </row>
    <row r="6" spans="1:9" ht="27" customHeight="1" thickBot="1" x14ac:dyDescent="0.3">
      <c r="A6" s="1071" t="s">
        <v>810</v>
      </c>
      <c r="B6" s="798"/>
      <c r="C6" s="1072"/>
      <c r="D6" s="798"/>
      <c r="E6" s="481" t="s">
        <v>183</v>
      </c>
      <c r="F6" s="1072"/>
      <c r="G6" s="798"/>
      <c r="H6" s="481" t="s">
        <v>54</v>
      </c>
      <c r="I6" s="228"/>
    </row>
    <row r="7" spans="1:9" ht="27" customHeight="1" thickBot="1" x14ac:dyDescent="0.3">
      <c r="A7" s="1071" t="s">
        <v>811</v>
      </c>
      <c r="B7" s="798"/>
      <c r="C7" s="1072"/>
      <c r="D7" s="798"/>
      <c r="E7" s="481" t="s">
        <v>281</v>
      </c>
      <c r="F7" s="1072"/>
      <c r="G7" s="798"/>
      <c r="H7" s="481" t="s">
        <v>812</v>
      </c>
      <c r="I7" s="227"/>
    </row>
    <row r="8" spans="1:9" ht="27" customHeight="1" thickBot="1" x14ac:dyDescent="0.3">
      <c r="A8" s="1075" t="s">
        <v>813</v>
      </c>
      <c r="B8" s="1076"/>
      <c r="C8" s="1086"/>
      <c r="D8" s="1087"/>
      <c r="E8" s="1087"/>
      <c r="F8" s="1087"/>
      <c r="G8" s="1087"/>
      <c r="H8" s="1087"/>
      <c r="I8" s="1088"/>
    </row>
    <row r="9" spans="1:9" ht="49.5" customHeight="1" thickTop="1" thickBot="1" x14ac:dyDescent="0.3">
      <c r="A9" s="226" t="s">
        <v>814</v>
      </c>
      <c r="B9" s="1068" t="str">
        <f>CONCATENATE("請問是",word用!$H$2,"的家人嗎？你好！我這裡是",輸入!$S$19,輸入!$T$19,輸入!$S$20,輸入!$T$20,"，有幾個問題，請你配合訪查。")</f>
        <v>請問是顏文祥的家人嗎？你好！我這裡是信義分局吳興街派出所，有幾個問題，請你配合訪查。</v>
      </c>
      <c r="C9" s="1069"/>
      <c r="D9" s="1069"/>
      <c r="E9" s="1069"/>
      <c r="F9" s="1069"/>
      <c r="G9" s="1069"/>
      <c r="H9" s="1069"/>
      <c r="I9" s="1070"/>
    </row>
    <row r="10" spans="1:9" ht="24.75" customHeight="1" thickBot="1" x14ac:dyDescent="0.3">
      <c r="A10" s="226" t="s">
        <v>815</v>
      </c>
      <c r="B10" s="1073" t="s">
        <v>816</v>
      </c>
      <c r="C10" s="797"/>
      <c r="D10" s="797"/>
      <c r="E10" s="797"/>
      <c r="F10" s="797"/>
      <c r="G10" s="797"/>
      <c r="H10" s="797"/>
      <c r="I10" s="1074"/>
    </row>
    <row r="11" spans="1:9" ht="50.25" customHeight="1" thickBot="1" x14ac:dyDescent="0.3">
      <c r="A11" s="226" t="s">
        <v>814</v>
      </c>
      <c r="B11" s="1073" t="str">
        <f>CONCATENATE("請問犯嫌",word用!$H$2,"本人有無未滿12歲子女？戶籍地或實際居住地有沒有未滿12歲兒童（不管是誰的孩子）？有無受犯嫌照顧或監護之兒童？ ")</f>
        <v xml:space="preserve">請問犯嫌顏文祥本人有無未滿12歲子女？戶籍地或實際居住地有沒有未滿12歲兒童（不管是誰的孩子）？有無受犯嫌照顧或監護之兒童？ </v>
      </c>
      <c r="C11" s="797"/>
      <c r="D11" s="797"/>
      <c r="E11" s="797"/>
      <c r="F11" s="797"/>
      <c r="G11" s="797"/>
      <c r="H11" s="797"/>
      <c r="I11" s="1074"/>
    </row>
    <row r="12" spans="1:9" ht="24.75" customHeight="1" thickBot="1" x14ac:dyDescent="0.3">
      <c r="A12" s="226" t="s">
        <v>815</v>
      </c>
      <c r="B12" s="1073" t="s">
        <v>817</v>
      </c>
      <c r="C12" s="797"/>
      <c r="D12" s="797"/>
      <c r="E12" s="797"/>
      <c r="F12" s="797"/>
      <c r="G12" s="797"/>
      <c r="H12" s="797"/>
      <c r="I12" s="1074"/>
    </row>
    <row r="13" spans="1:9" ht="24.75" customHeight="1" thickBot="1" x14ac:dyDescent="0.3">
      <c r="A13" s="226" t="s">
        <v>814</v>
      </c>
      <c r="B13" s="1073" t="s">
        <v>818</v>
      </c>
      <c r="C13" s="797"/>
      <c r="D13" s="797"/>
      <c r="E13" s="797"/>
      <c r="F13" s="797"/>
      <c r="G13" s="797"/>
      <c r="H13" s="797"/>
      <c r="I13" s="1074"/>
    </row>
    <row r="14" spans="1:9" ht="24.75" customHeight="1" thickBot="1" x14ac:dyDescent="0.3">
      <c r="A14" s="226" t="s">
        <v>815</v>
      </c>
      <c r="B14" s="1073" t="s">
        <v>819</v>
      </c>
      <c r="C14" s="797"/>
      <c r="D14" s="797"/>
      <c r="E14" s="797"/>
      <c r="F14" s="797"/>
      <c r="G14" s="797"/>
      <c r="H14" s="797"/>
      <c r="I14" s="1074"/>
    </row>
    <row r="15" spans="1:9" ht="24.75" customHeight="1" thickBot="1" x14ac:dyDescent="0.3">
      <c r="A15" s="226" t="s">
        <v>814</v>
      </c>
      <c r="B15" s="1073" t="s">
        <v>820</v>
      </c>
      <c r="C15" s="797"/>
      <c r="D15" s="797"/>
      <c r="E15" s="797"/>
      <c r="F15" s="797"/>
      <c r="G15" s="797"/>
      <c r="H15" s="797"/>
      <c r="I15" s="1074"/>
    </row>
    <row r="16" spans="1:9" ht="24.75" customHeight="1" thickBot="1" x14ac:dyDescent="0.3">
      <c r="A16" s="226" t="s">
        <v>815</v>
      </c>
      <c r="B16" s="1073" t="s">
        <v>821</v>
      </c>
      <c r="C16" s="797"/>
      <c r="D16" s="797"/>
      <c r="E16" s="797"/>
      <c r="F16" s="797"/>
      <c r="G16" s="797"/>
      <c r="H16" s="797"/>
      <c r="I16" s="1074"/>
    </row>
    <row r="17" spans="1:9" ht="24.75" customHeight="1" thickBot="1" x14ac:dyDescent="0.3">
      <c r="A17" s="226" t="s">
        <v>814</v>
      </c>
      <c r="B17" s="1073" t="s">
        <v>822</v>
      </c>
      <c r="C17" s="797"/>
      <c r="D17" s="797"/>
      <c r="E17" s="797"/>
      <c r="F17" s="797"/>
      <c r="G17" s="797"/>
      <c r="H17" s="797"/>
      <c r="I17" s="1074"/>
    </row>
    <row r="18" spans="1:9" ht="24.75" customHeight="1" thickBot="1" x14ac:dyDescent="0.3">
      <c r="A18" s="226" t="s">
        <v>815</v>
      </c>
      <c r="B18" s="1073" t="s">
        <v>823</v>
      </c>
      <c r="C18" s="797"/>
      <c r="D18" s="797"/>
      <c r="E18" s="797"/>
      <c r="F18" s="797"/>
      <c r="G18" s="797"/>
      <c r="H18" s="797"/>
      <c r="I18" s="1074"/>
    </row>
    <row r="19" spans="1:9" ht="24.75" customHeight="1" thickBot="1" x14ac:dyDescent="0.3">
      <c r="A19" s="226"/>
      <c r="B19" s="1073" t="s">
        <v>824</v>
      </c>
      <c r="C19" s="797"/>
      <c r="D19" s="797"/>
      <c r="E19" s="797"/>
      <c r="F19" s="797"/>
      <c r="G19" s="797"/>
      <c r="H19" s="797"/>
      <c r="I19" s="1074"/>
    </row>
    <row r="20" spans="1:9" ht="24.75" customHeight="1" thickBot="1" x14ac:dyDescent="0.3">
      <c r="A20" s="226"/>
      <c r="B20" s="1073"/>
      <c r="C20" s="797"/>
      <c r="D20" s="797"/>
      <c r="E20" s="797"/>
      <c r="F20" s="797"/>
      <c r="G20" s="797"/>
      <c r="H20" s="797"/>
      <c r="I20" s="1074"/>
    </row>
    <row r="21" spans="1:9" ht="24.75" customHeight="1" thickBot="1" x14ac:dyDescent="0.3">
      <c r="A21" s="226"/>
      <c r="B21" s="1073" t="s">
        <v>431</v>
      </c>
      <c r="C21" s="797"/>
      <c r="D21" s="797"/>
      <c r="E21" s="797"/>
      <c r="F21" s="797"/>
      <c r="G21" s="797"/>
      <c r="H21" s="797"/>
      <c r="I21" s="1074"/>
    </row>
    <row r="22" spans="1:9" ht="24.75" customHeight="1" thickBot="1" x14ac:dyDescent="0.3">
      <c r="A22" s="226"/>
      <c r="B22" s="1073"/>
      <c r="C22" s="797"/>
      <c r="D22" s="797"/>
      <c r="E22" s="797"/>
      <c r="F22" s="797"/>
      <c r="G22" s="797"/>
      <c r="H22" s="797"/>
      <c r="I22" s="1074"/>
    </row>
    <row r="23" spans="1:9" ht="24.75" customHeight="1" thickBot="1" x14ac:dyDescent="0.3">
      <c r="A23" s="226"/>
      <c r="B23" s="1073"/>
      <c r="C23" s="797"/>
      <c r="D23" s="797"/>
      <c r="E23" s="797"/>
      <c r="F23" s="797"/>
      <c r="G23" s="797"/>
      <c r="H23" s="797"/>
      <c r="I23" s="1074"/>
    </row>
    <row r="24" spans="1:9" ht="24.75" customHeight="1" thickBot="1" x14ac:dyDescent="0.3">
      <c r="A24" s="1065" t="e">
        <f>CONCATENATE("受訪人：",輸入!#REF!)</f>
        <v>#REF!</v>
      </c>
      <c r="B24" s="1066"/>
      <c r="C24" s="1066"/>
      <c r="D24" s="1066"/>
      <c r="E24" s="1066"/>
      <c r="F24" s="1067"/>
      <c r="G24" s="1077" t="s">
        <v>825</v>
      </c>
      <c r="H24" s="1066"/>
      <c r="I24" s="1078"/>
    </row>
    <row r="25" spans="1:9" ht="17.25" customHeight="1" thickTop="1" x14ac:dyDescent="0.25"/>
  </sheetData>
  <mergeCells count="34">
    <mergeCell ref="A6:B6"/>
    <mergeCell ref="B12:I12"/>
    <mergeCell ref="D1:I2"/>
    <mergeCell ref="B21:I21"/>
    <mergeCell ref="A7:B7"/>
    <mergeCell ref="B11:I11"/>
    <mergeCell ref="C3:I3"/>
    <mergeCell ref="B14:I14"/>
    <mergeCell ref="A1:C1"/>
    <mergeCell ref="B20:I20"/>
    <mergeCell ref="A2:C2"/>
    <mergeCell ref="A3:B3"/>
    <mergeCell ref="C5:I5"/>
    <mergeCell ref="B17:I17"/>
    <mergeCell ref="B13:I13"/>
    <mergeCell ref="C6:D6"/>
    <mergeCell ref="C8:I8"/>
    <mergeCell ref="B16:I16"/>
    <mergeCell ref="A24:F24"/>
    <mergeCell ref="B9:I9"/>
    <mergeCell ref="A4:B4"/>
    <mergeCell ref="C7:D7"/>
    <mergeCell ref="B15:I15"/>
    <mergeCell ref="C4:I4"/>
    <mergeCell ref="A5:B5"/>
    <mergeCell ref="B10:I10"/>
    <mergeCell ref="B19:I19"/>
    <mergeCell ref="A8:B8"/>
    <mergeCell ref="F7:G7"/>
    <mergeCell ref="B18:I18"/>
    <mergeCell ref="G24:I24"/>
    <mergeCell ref="B23:I23"/>
    <mergeCell ref="B22:I22"/>
    <mergeCell ref="F6:G6"/>
  </mergeCells>
  <phoneticPr fontId="1" type="noConversion"/>
  <pageMargins left="0.21875" right="0.21875"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工作表33">
    <tabColor theme="9"/>
  </sheetPr>
  <dimension ref="A1:O57"/>
  <sheetViews>
    <sheetView showGridLines="0" view="pageBreakPreview" zoomScaleNormal="100" zoomScaleSheetLayoutView="100" workbookViewId="0">
      <selection activeCell="C4" sqref="C4:O4"/>
    </sheetView>
  </sheetViews>
  <sheetFormatPr defaultRowHeight="16.5" x14ac:dyDescent="0.25"/>
  <cols>
    <col min="1" max="1" width="5.375" style="545" customWidth="1"/>
    <col min="2" max="3" width="13.625" style="545" customWidth="1"/>
    <col min="4" max="6" width="2.5" style="545" customWidth="1"/>
    <col min="7" max="7" width="8.375" style="545" customWidth="1"/>
    <col min="8" max="10" width="4.125" style="545" customWidth="1"/>
    <col min="11" max="11" width="4.75" style="545" customWidth="1"/>
    <col min="12" max="12" width="4" style="545" customWidth="1"/>
    <col min="13" max="13" width="3.375" style="545" customWidth="1"/>
    <col min="14" max="14" width="1.875" style="545" customWidth="1"/>
    <col min="15" max="15" width="18.25" style="545" customWidth="1"/>
  </cols>
  <sheetData>
    <row r="1" spans="1:15" ht="20.25" customHeight="1" thickBot="1" x14ac:dyDescent="0.3">
      <c r="A1" s="1089" t="s">
        <v>826</v>
      </c>
      <c r="B1" s="1090"/>
      <c r="C1" s="1090"/>
      <c r="D1" s="1090"/>
      <c r="E1" s="1090"/>
      <c r="F1" s="1090"/>
      <c r="G1" s="1090"/>
      <c r="H1" s="1090"/>
      <c r="I1" s="1090"/>
      <c r="J1" s="1090"/>
      <c r="K1" s="1090"/>
      <c r="L1" s="1090"/>
      <c r="M1" s="1090"/>
      <c r="N1" s="1090"/>
      <c r="O1" s="1090"/>
    </row>
    <row r="2" spans="1:15" ht="25.5" customHeight="1" thickTop="1" thickBot="1" x14ac:dyDescent="0.3">
      <c r="A2" s="1124" t="s">
        <v>827</v>
      </c>
      <c r="B2" s="225" t="s">
        <v>828</v>
      </c>
      <c r="C2" s="1123"/>
      <c r="D2" s="1108"/>
      <c r="E2" s="1108"/>
      <c r="F2" s="1108"/>
      <c r="G2" s="1109"/>
      <c r="H2" s="1107" t="s">
        <v>829</v>
      </c>
      <c r="I2" s="1108"/>
      <c r="J2" s="1108"/>
      <c r="K2" s="1109"/>
      <c r="L2" s="1115"/>
      <c r="M2" s="1108"/>
      <c r="N2" s="1108"/>
      <c r="O2" s="1116"/>
    </row>
    <row r="3" spans="1:15" ht="25.5" customHeight="1" thickBot="1" x14ac:dyDescent="0.3">
      <c r="A3" s="1113"/>
      <c r="B3" s="225" t="s">
        <v>830</v>
      </c>
      <c r="C3" s="1100" t="str">
        <f>word用!$H$2</f>
        <v>顏文祥</v>
      </c>
      <c r="D3" s="1093"/>
      <c r="E3" s="1091" t="s">
        <v>48</v>
      </c>
      <c r="F3" s="1092"/>
      <c r="G3" s="1093"/>
      <c r="H3" s="1100" t="str">
        <f>UPPER(VLOOKUP($C$3,個資,2,FALSE))</f>
        <v>A126819564</v>
      </c>
      <c r="I3" s="1092"/>
      <c r="J3" s="1092"/>
      <c r="K3" s="1093"/>
      <c r="L3" s="1091" t="s">
        <v>39</v>
      </c>
      <c r="M3" s="1092"/>
      <c r="N3" s="1093"/>
      <c r="O3" s="418" t="str">
        <f>LEFT(下拉用!$J$5,10)</f>
        <v>年月日時分</v>
      </c>
    </row>
    <row r="4" spans="1:15" ht="25.5" customHeight="1" thickBot="1" x14ac:dyDescent="0.3">
      <c r="A4" s="1113"/>
      <c r="B4" s="225" t="s">
        <v>831</v>
      </c>
      <c r="C4" s="1104" t="str">
        <f>VLOOKUP($C$3,個資,6,FALSE)</f>
        <v>臺北市信義區信義路五段150巷477號</v>
      </c>
      <c r="D4" s="1092"/>
      <c r="E4" s="1092"/>
      <c r="F4" s="1092"/>
      <c r="G4" s="1092"/>
      <c r="H4" s="1092"/>
      <c r="I4" s="1092"/>
      <c r="J4" s="1092"/>
      <c r="K4" s="1092"/>
      <c r="L4" s="1092"/>
      <c r="M4" s="1092"/>
      <c r="N4" s="1092"/>
      <c r="O4" s="1105"/>
    </row>
    <row r="5" spans="1:15" ht="25.5" customHeight="1" thickBot="1" x14ac:dyDescent="0.3">
      <c r="A5" s="1114"/>
      <c r="B5" s="225" t="s">
        <v>832</v>
      </c>
      <c r="C5" s="1104" t="str">
        <f>VLOOKUP($C$3,個資,7,FALSE)</f>
        <v>臺北市信義區信義路五段150巷477號</v>
      </c>
      <c r="D5" s="1092"/>
      <c r="E5" s="1092"/>
      <c r="F5" s="1092"/>
      <c r="G5" s="1092"/>
      <c r="H5" s="1092"/>
      <c r="I5" s="1092"/>
      <c r="J5" s="1092"/>
      <c r="K5" s="1092"/>
      <c r="L5" s="1092"/>
      <c r="M5" s="1092"/>
      <c r="N5" s="1092"/>
      <c r="O5" s="1105"/>
    </row>
    <row r="6" spans="1:15" ht="22.5" customHeight="1" thickBot="1" x14ac:dyDescent="0.3">
      <c r="A6" s="1112" t="s">
        <v>833</v>
      </c>
      <c r="B6" s="224" t="s">
        <v>834</v>
      </c>
      <c r="C6" s="225" t="s">
        <v>47</v>
      </c>
      <c r="D6" s="1091" t="s">
        <v>183</v>
      </c>
      <c r="E6" s="1092"/>
      <c r="F6" s="1093"/>
      <c r="G6" s="1091" t="s">
        <v>281</v>
      </c>
      <c r="H6" s="1092"/>
      <c r="I6" s="1092"/>
      <c r="J6" s="1093"/>
      <c r="K6" s="1091" t="s">
        <v>835</v>
      </c>
      <c r="L6" s="1092"/>
      <c r="M6" s="1093"/>
      <c r="N6" s="1120" t="s">
        <v>836</v>
      </c>
      <c r="O6" s="1105"/>
    </row>
    <row r="7" spans="1:15" ht="22.5" customHeight="1" thickBot="1" x14ac:dyDescent="0.3">
      <c r="A7" s="1113"/>
      <c r="B7" s="224" t="s">
        <v>837</v>
      </c>
      <c r="C7" s="223"/>
      <c r="D7" s="1100"/>
      <c r="E7" s="1092"/>
      <c r="F7" s="1093"/>
      <c r="G7" s="1110"/>
      <c r="H7" s="1092"/>
      <c r="I7" s="1092"/>
      <c r="J7" s="1093"/>
      <c r="K7" s="1100"/>
      <c r="L7" s="1092"/>
      <c r="M7" s="1093"/>
      <c r="N7" s="1106" t="s">
        <v>838</v>
      </c>
      <c r="O7" s="1105"/>
    </row>
    <row r="8" spans="1:15" ht="22.5" customHeight="1" thickBot="1" x14ac:dyDescent="0.3">
      <c r="A8" s="1113"/>
      <c r="B8" s="222"/>
      <c r="C8" s="223" t="str">
        <f>IF(被害人筆錄!A2=FALSE,"",IF(輸入!G15="","",輸入!G15))</f>
        <v/>
      </c>
      <c r="D8" s="1100" t="str">
        <f>IF(被害人筆錄!A2=FALSE,"",IF(輸入!I15="","",輸入!I15))</f>
        <v/>
      </c>
      <c r="E8" s="1092"/>
      <c r="F8" s="1093"/>
      <c r="G8" s="1110" t="str">
        <f>IF(被害人筆錄!A2=FALSE,"",IF(輸入!AF13="","",CONCATENATE(LEFT(輸入!AF13,3),"年",MID(輸入!AF13,5,2),"月",RIGHT(輸入!AF13,2),"日")))</f>
        <v/>
      </c>
      <c r="H8" s="1092"/>
      <c r="I8" s="1092"/>
      <c r="J8" s="1093"/>
      <c r="K8" s="1100"/>
      <c r="L8" s="1092"/>
      <c r="M8" s="1093"/>
      <c r="N8" s="1106" t="s">
        <v>838</v>
      </c>
      <c r="O8" s="1105"/>
    </row>
    <row r="9" spans="1:15" ht="22.5" customHeight="1" thickBot="1" x14ac:dyDescent="0.3">
      <c r="A9" s="1113"/>
      <c r="B9" s="222"/>
      <c r="C9" s="223" t="str">
        <f>IF(被害人筆錄!A2=FALSE,"",IF(輸入!W13="","",輸入!W13))</f>
        <v/>
      </c>
      <c r="D9" s="1100" t="str">
        <f>IF(被害人筆錄!A2=FALSE,"",IF(輸入!AC13="","",輸入!AC13))</f>
        <v/>
      </c>
      <c r="E9" s="1092"/>
      <c r="F9" s="1093"/>
      <c r="G9" s="1110" t="str">
        <f>IF(被害人筆錄!A2=FALSE,"",IF(輸入!AF13="","",CONCATENATE(LEFT(輸入!AF13,3),"年",MID(輸入!AF13,5,2),"月",RIGHT(輸入!AF13,2),"日")))</f>
        <v/>
      </c>
      <c r="H9" s="1092"/>
      <c r="I9" s="1092"/>
      <c r="J9" s="1093"/>
      <c r="K9" s="1100" t="str">
        <f>IF(被害人筆錄!A2=FALSE,"",IF(輸入!AL13="","",輸入!AL13))</f>
        <v/>
      </c>
      <c r="L9" s="1092"/>
      <c r="M9" s="1093"/>
      <c r="N9" s="1106" t="s">
        <v>838</v>
      </c>
      <c r="O9" s="1105"/>
    </row>
    <row r="10" spans="1:15" ht="22.5" customHeight="1" thickBot="1" x14ac:dyDescent="0.3">
      <c r="A10" s="1113"/>
      <c r="B10" s="221"/>
      <c r="C10" s="223" t="str">
        <f>IF(被害人筆錄!A2=FALSE,"",IF(輸入!W15="","",輸入!W15))</f>
        <v/>
      </c>
      <c r="D10" s="1100" t="str">
        <f>IF(被害人筆錄!A2=FALSE,"",IF(輸入!AC15="","",輸入!AC15))</f>
        <v/>
      </c>
      <c r="E10" s="1092"/>
      <c r="F10" s="1093"/>
      <c r="G10" s="1110" t="str">
        <f>IF(被害人筆錄!A2=FALSE,"",IF(輸入!AF15="","",CONCATENATE(LEFT(輸入!AF15,3),"年",MID(輸入!AF15,5,2),"月",RIGHT(輸入!AF15,2),"日")))</f>
        <v/>
      </c>
      <c r="H10" s="1092"/>
      <c r="I10" s="1092"/>
      <c r="J10" s="1093"/>
      <c r="K10" s="1100" t="str">
        <f>IF(被害人筆錄!A2=FALSE,"",IF(輸入!AL15="","",輸入!AL15))</f>
        <v/>
      </c>
      <c r="L10" s="1092"/>
      <c r="M10" s="1093"/>
      <c r="N10" s="1106" t="s">
        <v>838</v>
      </c>
      <c r="O10" s="1105"/>
    </row>
    <row r="11" spans="1:15" ht="32.25" customHeight="1" x14ac:dyDescent="0.25">
      <c r="A11" s="1113"/>
      <c r="B11" s="1091" t="s">
        <v>839</v>
      </c>
      <c r="C11" s="1102" t="s">
        <v>840</v>
      </c>
      <c r="D11" s="738"/>
      <c r="E11" s="738"/>
      <c r="F11" s="738"/>
      <c r="G11" s="738"/>
      <c r="H11" s="738"/>
      <c r="I11" s="738"/>
      <c r="J11" s="738"/>
      <c r="K11" s="738"/>
      <c r="L11" s="738"/>
      <c r="M11" s="738"/>
      <c r="N11" s="738"/>
      <c r="O11" s="1103"/>
    </row>
    <row r="12" spans="1:15" ht="33" customHeight="1" x14ac:dyDescent="0.25">
      <c r="A12" s="1113"/>
      <c r="B12" s="1121"/>
      <c r="C12" s="1096" t="s">
        <v>841</v>
      </c>
      <c r="D12" s="623"/>
      <c r="E12" s="623"/>
      <c r="F12" s="623"/>
      <c r="G12" s="623"/>
      <c r="H12" s="623"/>
      <c r="I12" s="623"/>
      <c r="J12" s="623"/>
      <c r="K12" s="623"/>
      <c r="L12" s="623"/>
      <c r="M12" s="623"/>
      <c r="N12" s="623"/>
      <c r="O12" s="867"/>
    </row>
    <row r="13" spans="1:15" ht="35.25" customHeight="1" x14ac:dyDescent="0.25">
      <c r="A13" s="1113"/>
      <c r="B13" s="1121"/>
      <c r="C13" s="1096" t="s">
        <v>842</v>
      </c>
      <c r="D13" s="623"/>
      <c r="E13" s="623"/>
      <c r="F13" s="623"/>
      <c r="G13" s="623"/>
      <c r="H13" s="623"/>
      <c r="I13" s="623"/>
      <c r="J13" s="623"/>
      <c r="K13" s="623"/>
      <c r="L13" s="623"/>
      <c r="M13" s="623"/>
      <c r="N13" s="623"/>
      <c r="O13" s="867"/>
    </row>
    <row r="14" spans="1:15" ht="33" customHeight="1" x14ac:dyDescent="0.25">
      <c r="A14" s="1113"/>
      <c r="B14" s="1121"/>
      <c r="C14" s="1096" t="str">
        <f>CONCATENATE(IF(被害人筆錄!A2=FALSE,"□孩童由親屬(身分：","V孩童由親屬(身分："),IF(被害人筆錄!A2=FALSE,"　　",輸入!AW6),")照顧，經",輸入!AU21,"年",輸入!AV21,"月",輸入!AW21,"日",輸入!AX21,"時",輸入!AY21,"分實施電話查訪，詢問得知孩童受照顧狀況、家庭互動及經濟情形如下：")</f>
        <v>V孩童由親屬(身分：)照顧，經年月日時分實施電話查訪，詢問得知孩童受照顧狀況、家庭互動及經濟情形如下：</v>
      </c>
      <c r="D14" s="623"/>
      <c r="E14" s="623"/>
      <c r="F14" s="623"/>
      <c r="G14" s="623"/>
      <c r="H14" s="623"/>
      <c r="I14" s="623"/>
      <c r="J14" s="623"/>
      <c r="K14" s="623"/>
      <c r="L14" s="623"/>
      <c r="M14" s="623"/>
      <c r="N14" s="623"/>
      <c r="O14" s="867"/>
    </row>
    <row r="15" spans="1:15" ht="34.5" customHeight="1" x14ac:dyDescent="0.25">
      <c r="A15" s="1113"/>
      <c r="B15" s="1121"/>
      <c r="C15" s="1096" t="str">
        <f>IF(被害人筆錄!A2=FALSE,"   □孩童正常就學，受妥適照顧，照顧者表示無照顧困難或需關懷協助事項，現無危險情事或保護之必要。","  V孩童正常就學，受妥適照顧，照顧者表示無照顧困難或需關懷協助事項，現無危險情事或保護之必要。")</f>
        <v xml:space="preserve">  V孩童正常就學，受妥適照顧，照顧者表示無照顧困難或需關懷協助事項，現無危險情事或保護之必要。</v>
      </c>
      <c r="D15" s="623"/>
      <c r="E15" s="623"/>
      <c r="F15" s="623"/>
      <c r="G15" s="623"/>
      <c r="H15" s="623"/>
      <c r="I15" s="623"/>
      <c r="J15" s="623"/>
      <c r="K15" s="623"/>
      <c r="L15" s="623"/>
      <c r="M15" s="623"/>
      <c r="N15" s="623"/>
      <c r="O15" s="867"/>
    </row>
    <row r="16" spans="1:15" ht="65.25" customHeight="1" x14ac:dyDescent="0.25">
      <c r="A16" s="1113"/>
      <c r="B16" s="1121"/>
      <c r="C16" s="1096" t="s">
        <v>843</v>
      </c>
      <c r="D16" s="623"/>
      <c r="E16" s="623"/>
      <c r="F16" s="623"/>
      <c r="G16" s="623"/>
      <c r="H16" s="623"/>
      <c r="I16" s="623"/>
      <c r="J16" s="623"/>
      <c r="K16" s="623"/>
      <c r="L16" s="623"/>
      <c r="M16" s="623"/>
      <c r="N16" s="623"/>
      <c r="O16" s="867"/>
    </row>
    <row r="17" spans="1:15" ht="33.75" customHeight="1" x14ac:dyDescent="0.25">
      <c r="A17" s="1113"/>
      <c r="B17" s="1121"/>
      <c r="C17" s="1096" t="s">
        <v>844</v>
      </c>
      <c r="D17" s="623"/>
      <c r="E17" s="623"/>
      <c r="F17" s="623"/>
      <c r="G17" s="623"/>
      <c r="H17" s="623"/>
      <c r="I17" s="623"/>
      <c r="J17" s="623"/>
      <c r="K17" s="623"/>
      <c r="L17" s="623"/>
      <c r="M17" s="623"/>
      <c r="N17" s="623"/>
      <c r="O17" s="867"/>
    </row>
    <row r="18" spans="1:15" ht="30" customHeight="1" x14ac:dyDescent="0.25">
      <c r="A18" s="1113"/>
      <c r="B18" s="1121"/>
      <c r="C18" s="1096" t="s">
        <v>845</v>
      </c>
      <c r="D18" s="623"/>
      <c r="E18" s="623"/>
      <c r="F18" s="623"/>
      <c r="G18" s="623"/>
      <c r="H18" s="623"/>
      <c r="I18" s="623"/>
      <c r="J18" s="623"/>
      <c r="K18" s="623"/>
      <c r="L18" s="623"/>
      <c r="M18" s="623"/>
      <c r="N18" s="623"/>
      <c r="O18" s="867"/>
    </row>
    <row r="19" spans="1:15" ht="17.25" customHeight="1" thickBot="1" x14ac:dyDescent="0.3">
      <c r="A19" s="1113"/>
      <c r="B19" s="1122"/>
      <c r="C19" s="1111" t="s">
        <v>846</v>
      </c>
      <c r="D19" s="1098"/>
      <c r="E19" s="1098"/>
      <c r="F19" s="1098"/>
      <c r="G19" s="1098"/>
      <c r="H19" s="1098"/>
      <c r="I19" s="1098"/>
      <c r="J19" s="1098"/>
      <c r="K19" s="1098"/>
      <c r="L19" s="1098"/>
      <c r="M19" s="1098"/>
      <c r="N19" s="1098"/>
      <c r="O19" s="1099"/>
    </row>
    <row r="20" spans="1:15" ht="23.25" customHeight="1" thickBot="1" x14ac:dyDescent="0.3">
      <c r="A20" s="1113"/>
      <c r="B20" s="225" t="s">
        <v>847</v>
      </c>
      <c r="C20" s="1106"/>
      <c r="D20" s="1092"/>
      <c r="E20" s="1092"/>
      <c r="F20" s="1092"/>
      <c r="G20" s="1092"/>
      <c r="H20" s="1092"/>
      <c r="I20" s="1092"/>
      <c r="J20" s="1092"/>
      <c r="K20" s="1092"/>
      <c r="L20" s="1092"/>
      <c r="M20" s="1092"/>
      <c r="N20" s="1092"/>
      <c r="O20" s="1105"/>
    </row>
    <row r="21" spans="1:15" ht="20.25" customHeight="1" thickBot="1" x14ac:dyDescent="0.3">
      <c r="A21" s="1113"/>
      <c r="B21" s="224" t="s">
        <v>848</v>
      </c>
      <c r="C21" s="225" t="s">
        <v>47</v>
      </c>
      <c r="D21" s="1091" t="s">
        <v>183</v>
      </c>
      <c r="E21" s="1092"/>
      <c r="F21" s="1093"/>
      <c r="G21" s="1091" t="s">
        <v>281</v>
      </c>
      <c r="H21" s="1093"/>
      <c r="I21" s="1091" t="s">
        <v>48</v>
      </c>
      <c r="J21" s="1092"/>
      <c r="K21" s="1092"/>
      <c r="L21" s="1093"/>
      <c r="M21" s="1120" t="s">
        <v>283</v>
      </c>
      <c r="N21" s="1092"/>
      <c r="O21" s="1105"/>
    </row>
    <row r="22" spans="1:15" ht="30.75" customHeight="1" thickBot="1" x14ac:dyDescent="0.3">
      <c r="A22" s="1113"/>
      <c r="B22" s="224" t="s">
        <v>837</v>
      </c>
      <c r="C22" s="223"/>
      <c r="D22" s="1100"/>
      <c r="E22" s="1092"/>
      <c r="F22" s="1093"/>
      <c r="G22" s="1100"/>
      <c r="H22" s="1093"/>
      <c r="I22" s="1100"/>
      <c r="J22" s="1092"/>
      <c r="K22" s="1092"/>
      <c r="L22" s="1093"/>
      <c r="M22" s="1104"/>
      <c r="N22" s="1092"/>
      <c r="O22" s="1105"/>
    </row>
    <row r="23" spans="1:15" ht="25.5" customHeight="1" x14ac:dyDescent="0.25">
      <c r="A23" s="1113"/>
      <c r="B23" s="222"/>
      <c r="C23" s="1091" t="s">
        <v>849</v>
      </c>
      <c r="D23" s="1126" t="s">
        <v>850</v>
      </c>
      <c r="E23" s="738"/>
      <c r="F23" s="738"/>
      <c r="G23" s="738"/>
      <c r="H23" s="738"/>
      <c r="I23" s="738"/>
      <c r="J23" s="738"/>
      <c r="K23" s="738"/>
      <c r="L23" s="738"/>
      <c r="M23" s="738"/>
      <c r="N23" s="738"/>
      <c r="O23" s="1103"/>
    </row>
    <row r="24" spans="1:15" ht="54" customHeight="1" thickBot="1" x14ac:dyDescent="0.3">
      <c r="A24" s="1114"/>
      <c r="B24" s="221"/>
      <c r="C24" s="1122"/>
      <c r="D24" s="1097" t="str">
        <f>IF(被害人筆錄!A2=FALSE,"",IF(被害人筆錄!A4=FALSE,輸入!AP15,""))</f>
        <v/>
      </c>
      <c r="E24" s="1098"/>
      <c r="F24" s="1098"/>
      <c r="G24" s="1098"/>
      <c r="H24" s="1098"/>
      <c r="I24" s="1098"/>
      <c r="J24" s="1098"/>
      <c r="K24" s="1098"/>
      <c r="L24" s="1098"/>
      <c r="M24" s="1098"/>
      <c r="N24" s="1098"/>
      <c r="O24" s="1099"/>
    </row>
    <row r="25" spans="1:15" ht="28.5" customHeight="1" thickBot="1" x14ac:dyDescent="0.3">
      <c r="A25" s="1128" t="s">
        <v>851</v>
      </c>
      <c r="B25" s="1129"/>
      <c r="C25" s="1125" t="s">
        <v>852</v>
      </c>
      <c r="D25" s="1092"/>
      <c r="E25" s="1093"/>
      <c r="F25" s="1125" t="s">
        <v>853</v>
      </c>
      <c r="G25" s="1092"/>
      <c r="H25" s="1092"/>
      <c r="I25" s="1093"/>
      <c r="J25" s="1125" t="s">
        <v>854</v>
      </c>
      <c r="K25" s="1092"/>
      <c r="L25" s="1092"/>
      <c r="M25" s="1092"/>
      <c r="N25" s="1093"/>
      <c r="O25" s="220" t="s">
        <v>855</v>
      </c>
    </row>
    <row r="26" spans="1:15" ht="33" customHeight="1" thickBot="1" x14ac:dyDescent="0.3">
      <c r="A26" s="1130"/>
      <c r="B26" s="755"/>
      <c r="C26" s="1101" t="str">
        <f>CONCATENATE(輸入!$S$18,輸入!$T$18,CHAR(10),輸入!$S$19,輸入!$T$19)</f>
        <v>臺北市政府警察局
信義分局</v>
      </c>
      <c r="D26" s="1092"/>
      <c r="E26" s="1093"/>
      <c r="F26" s="1101" t="str">
        <f>CONCATENATE(輸入!$S$20&amp;輸入!$T$20)</f>
        <v>吳興街派出所</v>
      </c>
      <c r="G26" s="1092"/>
      <c r="H26" s="1092"/>
      <c r="I26" s="1093"/>
      <c r="J26" s="1101"/>
      <c r="K26" s="1092"/>
      <c r="L26" s="1092"/>
      <c r="M26" s="1092"/>
      <c r="N26" s="1093"/>
      <c r="O26" s="219"/>
    </row>
    <row r="27" spans="1:15" ht="17.25" customHeight="1" thickBot="1" x14ac:dyDescent="0.3">
      <c r="A27" s="1132" t="s">
        <v>856</v>
      </c>
      <c r="B27" s="1092"/>
      <c r="C27" s="1092"/>
      <c r="D27" s="1092"/>
      <c r="E27" s="1092"/>
      <c r="F27" s="1092"/>
      <c r="G27" s="1092"/>
      <c r="H27" s="1092"/>
      <c r="I27" s="1092"/>
      <c r="J27" s="1092"/>
      <c r="K27" s="1092"/>
      <c r="L27" s="1092"/>
      <c r="M27" s="1092"/>
      <c r="N27" s="1092"/>
      <c r="O27" s="1105"/>
    </row>
    <row r="28" spans="1:15" ht="16.5" customHeight="1" x14ac:dyDescent="0.25">
      <c r="A28" s="1117" t="s">
        <v>857</v>
      </c>
      <c r="B28" s="1118"/>
      <c r="C28" s="1118"/>
      <c r="D28" s="1118"/>
      <c r="E28" s="1118"/>
      <c r="F28" s="1118"/>
      <c r="G28" s="1118"/>
      <c r="H28" s="1118"/>
      <c r="I28" s="1118"/>
      <c r="J28" s="1118"/>
      <c r="K28" s="1118"/>
      <c r="L28" s="1118"/>
      <c r="M28" s="1118"/>
      <c r="N28" s="1118"/>
      <c r="O28" s="1119"/>
    </row>
    <row r="29" spans="1:15" x14ac:dyDescent="0.25">
      <c r="A29" s="1131" t="s">
        <v>858</v>
      </c>
      <c r="B29" s="623"/>
      <c r="C29" s="623"/>
      <c r="D29" s="623"/>
      <c r="E29" s="623"/>
      <c r="F29" s="623"/>
      <c r="G29" s="623"/>
      <c r="H29" s="623"/>
      <c r="I29" s="623"/>
      <c r="J29" s="623"/>
      <c r="K29" s="623"/>
      <c r="L29" s="623"/>
      <c r="M29" s="623"/>
      <c r="N29" s="623"/>
      <c r="O29" s="867"/>
    </row>
    <row r="30" spans="1:15" x14ac:dyDescent="0.25">
      <c r="A30" s="1094" t="s">
        <v>859</v>
      </c>
      <c r="B30" s="623"/>
      <c r="C30" s="623"/>
      <c r="D30" s="623"/>
      <c r="E30" s="623"/>
      <c r="F30" s="623"/>
      <c r="G30" s="623"/>
      <c r="H30" s="623"/>
      <c r="I30" s="623"/>
      <c r="J30" s="623"/>
      <c r="K30" s="623"/>
      <c r="L30" s="623"/>
      <c r="M30" s="623"/>
      <c r="N30" s="623"/>
      <c r="O30" s="867"/>
    </row>
    <row r="31" spans="1:15" x14ac:dyDescent="0.25">
      <c r="A31" s="1094" t="s">
        <v>860</v>
      </c>
      <c r="B31" s="623"/>
      <c r="C31" s="623"/>
      <c r="D31" s="623"/>
      <c r="E31" s="623"/>
      <c r="F31" s="623"/>
      <c r="G31" s="623"/>
      <c r="H31" s="623"/>
      <c r="I31" s="623"/>
      <c r="J31" s="623"/>
      <c r="K31" s="623"/>
      <c r="L31" s="623"/>
      <c r="M31" s="623"/>
      <c r="N31" s="623"/>
      <c r="O31" s="867"/>
    </row>
    <row r="32" spans="1:15" x14ac:dyDescent="0.25">
      <c r="A32" s="1131" t="s">
        <v>861</v>
      </c>
      <c r="B32" s="623"/>
      <c r="C32" s="623"/>
      <c r="D32" s="623"/>
      <c r="E32" s="623"/>
      <c r="F32" s="623"/>
      <c r="G32" s="623"/>
      <c r="H32" s="623"/>
      <c r="I32" s="623"/>
      <c r="J32" s="623"/>
      <c r="K32" s="623"/>
      <c r="L32" s="623"/>
      <c r="M32" s="623"/>
      <c r="N32" s="623"/>
      <c r="O32" s="867"/>
    </row>
    <row r="33" spans="1:15" x14ac:dyDescent="0.25">
      <c r="A33" s="1094" t="s">
        <v>862</v>
      </c>
      <c r="B33" s="623"/>
      <c r="C33" s="623"/>
      <c r="D33" s="623"/>
      <c r="E33" s="623"/>
      <c r="F33" s="623"/>
      <c r="G33" s="623"/>
      <c r="H33" s="623"/>
      <c r="I33" s="623"/>
      <c r="J33" s="623"/>
      <c r="K33" s="623"/>
      <c r="L33" s="623"/>
      <c r="M33" s="623"/>
      <c r="N33" s="623"/>
      <c r="O33" s="867"/>
    </row>
    <row r="34" spans="1:15" x14ac:dyDescent="0.25">
      <c r="A34" s="1095" t="s">
        <v>863</v>
      </c>
      <c r="B34" s="623"/>
      <c r="C34" s="623"/>
      <c r="D34" s="623"/>
      <c r="E34" s="623"/>
      <c r="F34" s="623"/>
      <c r="G34" s="623"/>
      <c r="H34" s="623"/>
      <c r="I34" s="623"/>
      <c r="J34" s="623"/>
      <c r="K34" s="623"/>
      <c r="L34" s="623"/>
      <c r="M34" s="623"/>
      <c r="N34" s="623"/>
      <c r="O34" s="867"/>
    </row>
    <row r="35" spans="1:15" x14ac:dyDescent="0.25">
      <c r="A35" s="1095" t="s">
        <v>864</v>
      </c>
      <c r="B35" s="623"/>
      <c r="C35" s="623"/>
      <c r="D35" s="623"/>
      <c r="E35" s="623"/>
      <c r="F35" s="623"/>
      <c r="G35" s="623"/>
      <c r="H35" s="623"/>
      <c r="I35" s="623"/>
      <c r="J35" s="623"/>
      <c r="K35" s="623"/>
      <c r="L35" s="623"/>
      <c r="M35" s="623"/>
      <c r="N35" s="623"/>
      <c r="O35" s="867"/>
    </row>
    <row r="36" spans="1:15" x14ac:dyDescent="0.25">
      <c r="A36" s="1095" t="s">
        <v>865</v>
      </c>
      <c r="B36" s="623"/>
      <c r="C36" s="623"/>
      <c r="D36" s="623"/>
      <c r="E36" s="623"/>
      <c r="F36" s="623"/>
      <c r="G36" s="623"/>
      <c r="H36" s="623"/>
      <c r="I36" s="623"/>
      <c r="J36" s="623"/>
      <c r="K36" s="623"/>
      <c r="L36" s="623"/>
      <c r="M36" s="623"/>
      <c r="N36" s="623"/>
      <c r="O36" s="867"/>
    </row>
    <row r="37" spans="1:15" x14ac:dyDescent="0.25">
      <c r="A37" s="1095" t="s">
        <v>866</v>
      </c>
      <c r="B37" s="623"/>
      <c r="C37" s="623"/>
      <c r="D37" s="623"/>
      <c r="E37" s="623"/>
      <c r="F37" s="623"/>
      <c r="G37" s="623"/>
      <c r="H37" s="623"/>
      <c r="I37" s="623"/>
      <c r="J37" s="623"/>
      <c r="K37" s="623"/>
      <c r="L37" s="623"/>
      <c r="M37" s="623"/>
      <c r="N37" s="623"/>
      <c r="O37" s="867"/>
    </row>
    <row r="38" spans="1:15" x14ac:dyDescent="0.25">
      <c r="A38" s="1095" t="s">
        <v>867</v>
      </c>
      <c r="B38" s="623"/>
      <c r="C38" s="623"/>
      <c r="D38" s="623"/>
      <c r="E38" s="623"/>
      <c r="F38" s="623"/>
      <c r="G38" s="623"/>
      <c r="H38" s="623"/>
      <c r="I38" s="623"/>
      <c r="J38" s="623"/>
      <c r="K38" s="623"/>
      <c r="L38" s="623"/>
      <c r="M38" s="623"/>
      <c r="N38" s="623"/>
      <c r="O38" s="867"/>
    </row>
    <row r="39" spans="1:15" x14ac:dyDescent="0.25">
      <c r="A39" s="1095" t="s">
        <v>868</v>
      </c>
      <c r="B39" s="623"/>
      <c r="C39" s="623"/>
      <c r="D39" s="623"/>
      <c r="E39" s="623"/>
      <c r="F39" s="623"/>
      <c r="G39" s="623"/>
      <c r="H39" s="623"/>
      <c r="I39" s="623"/>
      <c r="J39" s="623"/>
      <c r="K39" s="623"/>
      <c r="L39" s="623"/>
      <c r="M39" s="623"/>
      <c r="N39" s="623"/>
      <c r="O39" s="867"/>
    </row>
    <row r="40" spans="1:15" x14ac:dyDescent="0.25">
      <c r="A40" s="1095" t="s">
        <v>869</v>
      </c>
      <c r="B40" s="623"/>
      <c r="C40" s="623"/>
      <c r="D40" s="623"/>
      <c r="E40" s="623"/>
      <c r="F40" s="623"/>
      <c r="G40" s="623"/>
      <c r="H40" s="623"/>
      <c r="I40" s="623"/>
      <c r="J40" s="623"/>
      <c r="K40" s="623"/>
      <c r="L40" s="623"/>
      <c r="M40" s="623"/>
      <c r="N40" s="623"/>
      <c r="O40" s="867"/>
    </row>
    <row r="41" spans="1:15" x14ac:dyDescent="0.25">
      <c r="A41" s="1131" t="s">
        <v>870</v>
      </c>
      <c r="B41" s="623"/>
      <c r="C41" s="623"/>
      <c r="D41" s="623"/>
      <c r="E41" s="623"/>
      <c r="F41" s="623"/>
      <c r="G41" s="623"/>
      <c r="H41" s="623"/>
      <c r="I41" s="623"/>
      <c r="J41" s="623"/>
      <c r="K41" s="623"/>
      <c r="L41" s="623"/>
      <c r="M41" s="623"/>
      <c r="N41" s="623"/>
      <c r="O41" s="867"/>
    </row>
    <row r="42" spans="1:15" x14ac:dyDescent="0.25">
      <c r="A42" s="1095" t="s">
        <v>871</v>
      </c>
      <c r="B42" s="623"/>
      <c r="C42" s="623"/>
      <c r="D42" s="623"/>
      <c r="E42" s="623"/>
      <c r="F42" s="623"/>
      <c r="G42" s="623"/>
      <c r="H42" s="623"/>
      <c r="I42" s="623"/>
      <c r="J42" s="623"/>
      <c r="K42" s="623"/>
      <c r="L42" s="623"/>
      <c r="M42" s="623"/>
      <c r="N42" s="623"/>
      <c r="O42" s="867"/>
    </row>
    <row r="43" spans="1:15" x14ac:dyDescent="0.25">
      <c r="A43" s="1095" t="s">
        <v>872</v>
      </c>
      <c r="B43" s="623"/>
      <c r="C43" s="623"/>
      <c r="D43" s="623"/>
      <c r="E43" s="623"/>
      <c r="F43" s="623"/>
      <c r="G43" s="623"/>
      <c r="H43" s="623"/>
      <c r="I43" s="623"/>
      <c r="J43" s="623"/>
      <c r="K43" s="623"/>
      <c r="L43" s="623"/>
      <c r="M43" s="623"/>
      <c r="N43" s="623"/>
      <c r="O43" s="867"/>
    </row>
    <row r="44" spans="1:15" x14ac:dyDescent="0.25">
      <c r="A44" s="1127" t="s">
        <v>873</v>
      </c>
      <c r="B44" s="623"/>
      <c r="C44" s="623"/>
      <c r="D44" s="623"/>
      <c r="E44" s="623"/>
      <c r="F44" s="623"/>
      <c r="G44" s="623"/>
      <c r="H44" s="623"/>
      <c r="I44" s="623"/>
      <c r="J44" s="623"/>
      <c r="K44" s="623"/>
      <c r="L44" s="623"/>
      <c r="M44" s="623"/>
      <c r="N44" s="623"/>
      <c r="O44" s="867"/>
    </row>
    <row r="45" spans="1:15" x14ac:dyDescent="0.25">
      <c r="A45" s="1094" t="s">
        <v>874</v>
      </c>
      <c r="B45" s="623"/>
      <c r="C45" s="623"/>
      <c r="D45" s="623"/>
      <c r="E45" s="623"/>
      <c r="F45" s="623"/>
      <c r="G45" s="623"/>
      <c r="H45" s="623"/>
      <c r="I45" s="623"/>
      <c r="J45" s="623"/>
      <c r="K45" s="623"/>
      <c r="L45" s="623"/>
      <c r="M45" s="623"/>
      <c r="N45" s="623"/>
      <c r="O45" s="867"/>
    </row>
    <row r="46" spans="1:15" x14ac:dyDescent="0.25">
      <c r="A46" s="1094" t="s">
        <v>875</v>
      </c>
      <c r="B46" s="623"/>
      <c r="C46" s="623"/>
      <c r="D46" s="623"/>
      <c r="E46" s="623"/>
      <c r="F46" s="623"/>
      <c r="G46" s="623"/>
      <c r="H46" s="623"/>
      <c r="I46" s="623"/>
      <c r="J46" s="623"/>
      <c r="K46" s="623"/>
      <c r="L46" s="623"/>
      <c r="M46" s="623"/>
      <c r="N46" s="623"/>
      <c r="O46" s="867"/>
    </row>
    <row r="47" spans="1:15" x14ac:dyDescent="0.25">
      <c r="A47" s="1094" t="s">
        <v>876</v>
      </c>
      <c r="B47" s="623"/>
      <c r="C47" s="623"/>
      <c r="D47" s="623"/>
      <c r="E47" s="623"/>
      <c r="F47" s="623"/>
      <c r="G47" s="623"/>
      <c r="H47" s="623"/>
      <c r="I47" s="623"/>
      <c r="J47" s="623"/>
      <c r="K47" s="623"/>
      <c r="L47" s="623"/>
      <c r="M47" s="623"/>
      <c r="N47" s="623"/>
      <c r="O47" s="867"/>
    </row>
    <row r="48" spans="1:15" ht="17.25" customHeight="1" thickBot="1" x14ac:dyDescent="0.3">
      <c r="A48" s="1136" t="s">
        <v>877</v>
      </c>
      <c r="B48" s="754"/>
      <c r="C48" s="754"/>
      <c r="D48" s="754"/>
      <c r="E48" s="754"/>
      <c r="F48" s="754"/>
      <c r="G48" s="754"/>
      <c r="H48" s="754"/>
      <c r="I48" s="754"/>
      <c r="J48" s="754"/>
      <c r="K48" s="754"/>
      <c r="L48" s="754"/>
      <c r="M48" s="754"/>
      <c r="N48" s="754"/>
      <c r="O48" s="1134"/>
    </row>
    <row r="49" spans="1:15" ht="16.5" customHeight="1" x14ac:dyDescent="0.25">
      <c r="A49" s="1117" t="s">
        <v>878</v>
      </c>
      <c r="B49" s="1118"/>
      <c r="C49" s="1118"/>
      <c r="D49" s="1118"/>
      <c r="E49" s="1118"/>
      <c r="F49" s="1118"/>
      <c r="G49" s="1118"/>
      <c r="H49" s="1118"/>
      <c r="I49" s="1118"/>
      <c r="J49" s="1118"/>
      <c r="K49" s="1118"/>
      <c r="L49" s="1118"/>
      <c r="M49" s="1118"/>
      <c r="N49" s="1118"/>
      <c r="O49" s="1119"/>
    </row>
    <row r="50" spans="1:15" s="33" customFormat="1" ht="27" customHeight="1" x14ac:dyDescent="0.25">
      <c r="A50" s="1135" t="s">
        <v>879</v>
      </c>
      <c r="B50" s="623"/>
      <c r="C50" s="623"/>
      <c r="D50" s="623"/>
      <c r="E50" s="623"/>
      <c r="F50" s="623"/>
      <c r="G50" s="623"/>
      <c r="H50" s="623"/>
      <c r="I50" s="623"/>
      <c r="J50" s="623"/>
      <c r="K50" s="623"/>
      <c r="L50" s="623"/>
      <c r="M50" s="623"/>
      <c r="N50" s="623"/>
      <c r="O50" s="867"/>
    </row>
    <row r="51" spans="1:15" s="33" customFormat="1" ht="27" customHeight="1" x14ac:dyDescent="0.25">
      <c r="A51" s="1135" t="s">
        <v>880</v>
      </c>
      <c r="B51" s="623"/>
      <c r="C51" s="623"/>
      <c r="D51" s="623"/>
      <c r="E51" s="623"/>
      <c r="F51" s="623"/>
      <c r="G51" s="623"/>
      <c r="H51" s="623"/>
      <c r="I51" s="623"/>
      <c r="J51" s="623"/>
      <c r="K51" s="623"/>
      <c r="L51" s="623"/>
      <c r="M51" s="623"/>
      <c r="N51" s="623"/>
      <c r="O51" s="867"/>
    </row>
    <row r="52" spans="1:15" s="33" customFormat="1" ht="27" customHeight="1" x14ac:dyDescent="0.25">
      <c r="A52" s="1135" t="s">
        <v>881</v>
      </c>
      <c r="B52" s="623"/>
      <c r="C52" s="623"/>
      <c r="D52" s="623"/>
      <c r="E52" s="623"/>
      <c r="F52" s="623"/>
      <c r="G52" s="623"/>
      <c r="H52" s="623"/>
      <c r="I52" s="623"/>
      <c r="J52" s="623"/>
      <c r="K52" s="623"/>
      <c r="L52" s="623"/>
      <c r="M52" s="623"/>
      <c r="N52" s="623"/>
      <c r="O52" s="867"/>
    </row>
    <row r="53" spans="1:15" s="33" customFormat="1" ht="18" customHeight="1" x14ac:dyDescent="0.25">
      <c r="A53" s="1135" t="s">
        <v>882</v>
      </c>
      <c r="B53" s="623"/>
      <c r="C53" s="623"/>
      <c r="D53" s="623"/>
      <c r="E53" s="623"/>
      <c r="F53" s="623"/>
      <c r="G53" s="623"/>
      <c r="H53" s="623"/>
      <c r="I53" s="623"/>
      <c r="J53" s="623"/>
      <c r="K53" s="623"/>
      <c r="L53" s="623"/>
      <c r="M53" s="623"/>
      <c r="N53" s="623"/>
      <c r="O53" s="867"/>
    </row>
    <row r="54" spans="1:15" s="33" customFormat="1" ht="27" customHeight="1" x14ac:dyDescent="0.25">
      <c r="A54" s="1135" t="s">
        <v>883</v>
      </c>
      <c r="B54" s="623"/>
      <c r="C54" s="623"/>
      <c r="D54" s="623"/>
      <c r="E54" s="623"/>
      <c r="F54" s="623"/>
      <c r="G54" s="623"/>
      <c r="H54" s="623"/>
      <c r="I54" s="623"/>
      <c r="J54" s="623"/>
      <c r="K54" s="623"/>
      <c r="L54" s="623"/>
      <c r="M54" s="623"/>
      <c r="N54" s="623"/>
      <c r="O54" s="867"/>
    </row>
    <row r="55" spans="1:15" s="33" customFormat="1" ht="17.25" customHeight="1" thickBot="1" x14ac:dyDescent="0.3">
      <c r="A55" s="1133" t="s">
        <v>884</v>
      </c>
      <c r="B55" s="754"/>
      <c r="C55" s="754"/>
      <c r="D55" s="754"/>
      <c r="E55" s="754"/>
      <c r="F55" s="754"/>
      <c r="G55" s="754"/>
      <c r="H55" s="754"/>
      <c r="I55" s="754"/>
      <c r="J55" s="754"/>
      <c r="K55" s="754"/>
      <c r="L55" s="754"/>
      <c r="M55" s="754"/>
      <c r="N55" s="754"/>
      <c r="O55" s="1134"/>
    </row>
    <row r="56" spans="1:15" x14ac:dyDescent="0.25">
      <c r="A56" s="538"/>
      <c r="B56" s="538"/>
      <c r="C56" s="538"/>
      <c r="D56" s="538"/>
      <c r="E56" s="538"/>
      <c r="F56" s="538"/>
      <c r="G56" s="538"/>
      <c r="H56" s="538"/>
      <c r="I56" s="538"/>
      <c r="J56" s="538"/>
      <c r="K56" s="538"/>
      <c r="L56" s="538"/>
      <c r="M56" s="538"/>
      <c r="N56" s="538"/>
      <c r="O56" s="538"/>
    </row>
    <row r="57" spans="1:15" x14ac:dyDescent="0.25">
      <c r="A57" s="218"/>
    </row>
  </sheetData>
  <mergeCells count="90">
    <mergeCell ref="A55:O55"/>
    <mergeCell ref="C13:O13"/>
    <mergeCell ref="A32:O32"/>
    <mergeCell ref="A51:O51"/>
    <mergeCell ref="A48:O48"/>
    <mergeCell ref="A54:O54"/>
    <mergeCell ref="A41:O41"/>
    <mergeCell ref="A53:O53"/>
    <mergeCell ref="A39:O39"/>
    <mergeCell ref="A45:O45"/>
    <mergeCell ref="A52:O52"/>
    <mergeCell ref="A49:O49"/>
    <mergeCell ref="A35:O35"/>
    <mergeCell ref="A36:O36"/>
    <mergeCell ref="G21:H21"/>
    <mergeCell ref="A50:O50"/>
    <mergeCell ref="A44:O44"/>
    <mergeCell ref="A31:O31"/>
    <mergeCell ref="A40:O40"/>
    <mergeCell ref="G10:J10"/>
    <mergeCell ref="C16:O16"/>
    <mergeCell ref="G22:H22"/>
    <mergeCell ref="A25:B26"/>
    <mergeCell ref="C25:E25"/>
    <mergeCell ref="M22:O22"/>
    <mergeCell ref="F25:I25"/>
    <mergeCell ref="C15:O15"/>
    <mergeCell ref="A29:O29"/>
    <mergeCell ref="A38:O38"/>
    <mergeCell ref="K10:M10"/>
    <mergeCell ref="A27:O27"/>
    <mergeCell ref="J25:N25"/>
    <mergeCell ref="D23:O23"/>
    <mergeCell ref="C23:C24"/>
    <mergeCell ref="C20:O20"/>
    <mergeCell ref="M21:O21"/>
    <mergeCell ref="N7:O7"/>
    <mergeCell ref="D9:F9"/>
    <mergeCell ref="K8:M8"/>
    <mergeCell ref="C17:O17"/>
    <mergeCell ref="H3:K3"/>
    <mergeCell ref="G8:J8"/>
    <mergeCell ref="A42:O42"/>
    <mergeCell ref="A47:O47"/>
    <mergeCell ref="L2:O2"/>
    <mergeCell ref="K7:M7"/>
    <mergeCell ref="J26:N26"/>
    <mergeCell ref="C14:O14"/>
    <mergeCell ref="A28:O28"/>
    <mergeCell ref="C4:O4"/>
    <mergeCell ref="G7:J7"/>
    <mergeCell ref="A30:O30"/>
    <mergeCell ref="N6:O6"/>
    <mergeCell ref="C26:E26"/>
    <mergeCell ref="B11:B19"/>
    <mergeCell ref="D21:F21"/>
    <mergeCell ref="C2:G2"/>
    <mergeCell ref="N10:O10"/>
    <mergeCell ref="A34:O34"/>
    <mergeCell ref="N9:O9"/>
    <mergeCell ref="I21:L21"/>
    <mergeCell ref="D22:F22"/>
    <mergeCell ref="H2:K2"/>
    <mergeCell ref="C12:O12"/>
    <mergeCell ref="D7:F7"/>
    <mergeCell ref="G9:J9"/>
    <mergeCell ref="C19:O19"/>
    <mergeCell ref="A33:O33"/>
    <mergeCell ref="A6:A24"/>
    <mergeCell ref="D8:F8"/>
    <mergeCell ref="N8:O8"/>
    <mergeCell ref="A2:A5"/>
    <mergeCell ref="K9:M9"/>
    <mergeCell ref="C3:D3"/>
    <mergeCell ref="A1:O1"/>
    <mergeCell ref="L3:N3"/>
    <mergeCell ref="D6:F6"/>
    <mergeCell ref="A46:O46"/>
    <mergeCell ref="A37:O37"/>
    <mergeCell ref="C18:O18"/>
    <mergeCell ref="A43:O43"/>
    <mergeCell ref="D24:O24"/>
    <mergeCell ref="K6:M6"/>
    <mergeCell ref="E3:G3"/>
    <mergeCell ref="D10:F10"/>
    <mergeCell ref="I22:L22"/>
    <mergeCell ref="G6:J6"/>
    <mergeCell ref="F26:I26"/>
    <mergeCell ref="C11:O11"/>
    <mergeCell ref="C5:O5"/>
  </mergeCells>
  <phoneticPr fontId="1" type="noConversion"/>
  <pageMargins left="0.20833333333333329" right="0.39583333333333331"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工作表35">
    <tabColor theme="9"/>
  </sheetPr>
  <dimension ref="A1:L37"/>
  <sheetViews>
    <sheetView view="pageLayout" topLeftCell="A4" zoomScaleNormal="100" workbookViewId="0">
      <selection activeCell="E5" sqref="E5:I6"/>
    </sheetView>
  </sheetViews>
  <sheetFormatPr defaultColWidth="9" defaultRowHeight="16.5" x14ac:dyDescent="0.25"/>
  <cols>
    <col min="1" max="1" width="3.25" style="505" customWidth="1"/>
    <col min="2" max="2" width="9.5" style="505" customWidth="1"/>
    <col min="3" max="3" width="6.125" style="505" customWidth="1"/>
    <col min="4" max="4" width="13" style="505" customWidth="1"/>
    <col min="5" max="5" width="11" style="505" customWidth="1"/>
    <col min="6" max="6" width="6.875" style="505" customWidth="1"/>
    <col min="7" max="7" width="12.5" style="505" customWidth="1"/>
    <col min="8" max="8" width="2.375" style="505" customWidth="1"/>
    <col min="9" max="9" width="3.25" style="505" customWidth="1"/>
    <col min="10" max="10" width="9.25" style="505" customWidth="1"/>
    <col min="11" max="11" width="11" style="505" customWidth="1"/>
    <col min="12" max="12" width="6.875" style="505" customWidth="1"/>
    <col min="13" max="13" width="9" style="505" customWidth="1"/>
    <col min="14" max="16384" width="9" style="505"/>
  </cols>
  <sheetData>
    <row r="1" spans="1:12" ht="28.35" customHeight="1" x14ac:dyDescent="0.25">
      <c r="A1" s="213" t="s">
        <v>885</v>
      </c>
      <c r="F1" s="1142" t="s">
        <v>886</v>
      </c>
      <c r="G1" s="596"/>
    </row>
    <row r="2" spans="1:12" ht="14.1" customHeight="1" thickBot="1" x14ac:dyDescent="0.3">
      <c r="A2" s="213"/>
      <c r="F2" s="531"/>
      <c r="G2" s="531"/>
    </row>
    <row r="3" spans="1:12" ht="59.45" customHeight="1" thickTop="1" thickBot="1" x14ac:dyDescent="0.3">
      <c r="A3" s="1148"/>
      <c r="B3" s="596"/>
      <c r="C3" s="596"/>
      <c r="D3" s="483"/>
      <c r="E3" s="483"/>
      <c r="J3" s="212" t="s">
        <v>887</v>
      </c>
      <c r="K3" s="211"/>
      <c r="L3" s="210"/>
    </row>
    <row r="4" spans="1:12" ht="36.75" customHeight="1" thickTop="1" thickBot="1" x14ac:dyDescent="0.3">
      <c r="A4" s="1155" t="s">
        <v>888</v>
      </c>
      <c r="B4" s="1152"/>
      <c r="C4" s="1151" t="str">
        <f>word用!$H$2</f>
        <v>顏文祥</v>
      </c>
      <c r="D4" s="1152"/>
      <c r="E4" s="1153" t="s">
        <v>889</v>
      </c>
      <c r="F4" s="918"/>
      <c r="G4" s="918"/>
      <c r="H4" s="918"/>
      <c r="I4" s="918"/>
      <c r="J4" s="915" t="s">
        <v>890</v>
      </c>
      <c r="K4" s="1139" t="str">
        <f>CONCATENATE(輸入!$S$19,輸入!$T$19)</f>
        <v>信義分局</v>
      </c>
      <c r="L4" s="1140"/>
    </row>
    <row r="5" spans="1:12" ht="28.35" customHeight="1" thickTop="1" thickBot="1" x14ac:dyDescent="0.3">
      <c r="A5" s="1157" t="s">
        <v>811</v>
      </c>
      <c r="B5" s="575"/>
      <c r="C5" s="656" t="str">
        <f>UPPER(VLOOKUP($C$4,個資,2,FALSE))</f>
        <v>A126819564</v>
      </c>
      <c r="D5" s="575"/>
      <c r="E5" s="1158" t="str">
        <f>CONCATENATE("手機門號：",word用!$K$2)</f>
        <v>手機門號：0935680306</v>
      </c>
      <c r="F5" s="826"/>
      <c r="G5" s="826"/>
      <c r="H5" s="826"/>
      <c r="I5" s="827"/>
      <c r="J5" s="1154"/>
      <c r="K5" s="1146" t="str">
        <f>CONCATENATE(輸入!$S$20,輸入!$T$20)</f>
        <v>吳興街派出所</v>
      </c>
      <c r="L5" s="1147"/>
    </row>
    <row r="6" spans="1:12" ht="28.35" customHeight="1" thickTop="1" thickBot="1" x14ac:dyDescent="0.3">
      <c r="A6" s="1149" t="s">
        <v>891</v>
      </c>
      <c r="B6" s="1150"/>
      <c r="C6" s="209"/>
      <c r="D6" s="208"/>
      <c r="E6" s="916"/>
      <c r="F6" s="846"/>
      <c r="G6" s="846"/>
      <c r="H6" s="846"/>
      <c r="I6" s="847"/>
      <c r="J6" s="1144" t="s">
        <v>892</v>
      </c>
      <c r="K6" s="918"/>
      <c r="L6" s="919"/>
    </row>
    <row r="7" spans="1:12" ht="33.950000000000003" customHeight="1" thickTop="1" x14ac:dyDescent="0.25">
      <c r="B7" s="478"/>
      <c r="C7" s="207"/>
      <c r="D7" s="483"/>
      <c r="E7" s="483"/>
    </row>
    <row r="8" spans="1:12" ht="39.6" customHeight="1" x14ac:dyDescent="0.25">
      <c r="A8" s="206"/>
      <c r="B8" s="1138" t="s">
        <v>893</v>
      </c>
      <c r="C8" s="574"/>
      <c r="D8" s="574"/>
      <c r="E8" s="574"/>
      <c r="F8" s="575"/>
      <c r="G8" s="1138" t="s">
        <v>894</v>
      </c>
      <c r="H8" s="574"/>
      <c r="I8" s="574"/>
      <c r="J8" s="574"/>
      <c r="K8" s="574"/>
      <c r="L8" s="575"/>
    </row>
    <row r="9" spans="1:12" ht="28.35" customHeight="1" x14ac:dyDescent="0.25">
      <c r="A9" s="521"/>
      <c r="B9" s="1141" t="s">
        <v>895</v>
      </c>
      <c r="C9" s="580"/>
      <c r="D9" s="533" t="s">
        <v>896</v>
      </c>
      <c r="E9" s="532" t="s">
        <v>897</v>
      </c>
      <c r="F9" s="532" t="s">
        <v>898</v>
      </c>
      <c r="G9" s="1141" t="s">
        <v>895</v>
      </c>
      <c r="H9" s="580"/>
      <c r="I9" s="1143" t="s">
        <v>896</v>
      </c>
      <c r="J9" s="580"/>
      <c r="K9" s="205" t="s">
        <v>897</v>
      </c>
      <c r="L9" s="532" t="s">
        <v>898</v>
      </c>
    </row>
    <row r="10" spans="1:12" ht="33.950000000000003" customHeight="1" x14ac:dyDescent="0.25">
      <c r="A10" s="454">
        <v>1</v>
      </c>
      <c r="B10" s="181"/>
      <c r="C10" s="455"/>
      <c r="D10" s="465"/>
      <c r="E10" s="465"/>
      <c r="F10" s="204" t="s">
        <v>899</v>
      </c>
      <c r="G10" s="181"/>
      <c r="H10" s="455"/>
      <c r="I10" s="181"/>
      <c r="J10" s="182"/>
      <c r="K10" s="42"/>
      <c r="L10" s="183" t="s">
        <v>899</v>
      </c>
    </row>
    <row r="11" spans="1:12" ht="33.950000000000003" customHeight="1" x14ac:dyDescent="0.25">
      <c r="A11" s="454">
        <v>2</v>
      </c>
      <c r="B11" s="201"/>
      <c r="C11" s="202"/>
      <c r="D11" s="144"/>
      <c r="E11" s="183"/>
      <c r="F11" s="204" t="s">
        <v>899</v>
      </c>
      <c r="G11" s="201"/>
      <c r="H11" s="202"/>
      <c r="I11" s="201"/>
      <c r="J11" s="200"/>
      <c r="K11" s="42"/>
      <c r="L11" s="183" t="s">
        <v>899</v>
      </c>
    </row>
    <row r="12" spans="1:12" ht="33.950000000000003" customHeight="1" x14ac:dyDescent="0.25">
      <c r="A12" s="454">
        <v>3</v>
      </c>
      <c r="B12" s="201"/>
      <c r="C12" s="202"/>
      <c r="D12" s="144"/>
      <c r="E12" s="183"/>
      <c r="F12" s="204" t="s">
        <v>899</v>
      </c>
      <c r="G12" s="201"/>
      <c r="H12" s="202"/>
      <c r="I12" s="201"/>
      <c r="J12" s="200"/>
      <c r="K12" s="42"/>
      <c r="L12" s="183" t="s">
        <v>899</v>
      </c>
    </row>
    <row r="13" spans="1:12" ht="33.950000000000003" customHeight="1" x14ac:dyDescent="0.25">
      <c r="A13" s="454">
        <v>4</v>
      </c>
      <c r="B13" s="201"/>
      <c r="C13" s="202"/>
      <c r="D13" s="144"/>
      <c r="E13" s="183"/>
      <c r="F13" s="204" t="s">
        <v>899</v>
      </c>
      <c r="G13" s="201"/>
      <c r="H13" s="202"/>
      <c r="I13" s="201"/>
      <c r="J13" s="200"/>
      <c r="K13" s="42"/>
      <c r="L13" s="183" t="s">
        <v>899</v>
      </c>
    </row>
    <row r="14" spans="1:12" ht="33.950000000000003" customHeight="1" x14ac:dyDescent="0.25">
      <c r="A14" s="454">
        <v>5</v>
      </c>
      <c r="B14" s="201"/>
      <c r="C14" s="202"/>
      <c r="D14" s="144"/>
      <c r="E14" s="183"/>
      <c r="F14" s="204" t="s">
        <v>899</v>
      </c>
      <c r="G14" s="201"/>
      <c r="H14" s="202"/>
      <c r="I14" s="201"/>
      <c r="J14" s="200"/>
      <c r="K14" s="42"/>
      <c r="L14" s="183" t="s">
        <v>899</v>
      </c>
    </row>
    <row r="15" spans="1:12" ht="33.950000000000003" customHeight="1" x14ac:dyDescent="0.25">
      <c r="A15" s="454">
        <v>6</v>
      </c>
      <c r="B15" s="201"/>
      <c r="C15" s="202"/>
      <c r="D15" s="144"/>
      <c r="E15" s="183"/>
      <c r="F15" s="204" t="s">
        <v>899</v>
      </c>
      <c r="G15" s="201"/>
      <c r="H15" s="202"/>
      <c r="I15" s="201"/>
      <c r="J15" s="200"/>
      <c r="K15" s="42"/>
      <c r="L15" s="183" t="s">
        <v>899</v>
      </c>
    </row>
    <row r="16" spans="1:12" ht="33.950000000000003" customHeight="1" x14ac:dyDescent="0.25">
      <c r="A16" s="454">
        <v>7</v>
      </c>
      <c r="B16" s="201"/>
      <c r="C16" s="202"/>
      <c r="D16" s="144"/>
      <c r="E16" s="183"/>
      <c r="F16" s="204" t="s">
        <v>899</v>
      </c>
      <c r="G16" s="201"/>
      <c r="H16" s="202"/>
      <c r="I16" s="201"/>
      <c r="J16" s="200"/>
      <c r="K16" s="42"/>
      <c r="L16" s="183" t="s">
        <v>899</v>
      </c>
    </row>
    <row r="17" spans="1:12" ht="33.950000000000003" customHeight="1" x14ac:dyDescent="0.25">
      <c r="A17" s="454">
        <v>8</v>
      </c>
      <c r="B17" s="201"/>
      <c r="C17" s="202"/>
      <c r="D17" s="144"/>
      <c r="E17" s="183"/>
      <c r="F17" s="204" t="s">
        <v>899</v>
      </c>
      <c r="G17" s="201"/>
      <c r="H17" s="202"/>
      <c r="I17" s="201"/>
      <c r="J17" s="200"/>
      <c r="K17" s="42"/>
      <c r="L17" s="183" t="s">
        <v>899</v>
      </c>
    </row>
    <row r="18" spans="1:12" ht="33.950000000000003" customHeight="1" x14ac:dyDescent="0.25">
      <c r="A18" s="454">
        <v>9</v>
      </c>
      <c r="B18" s="201"/>
      <c r="C18" s="202"/>
      <c r="D18" s="144"/>
      <c r="E18" s="183"/>
      <c r="F18" s="204" t="s">
        <v>899</v>
      </c>
      <c r="G18" s="201"/>
      <c r="H18" s="202"/>
      <c r="I18" s="201"/>
      <c r="J18" s="200"/>
      <c r="K18" s="42"/>
      <c r="L18" s="183" t="s">
        <v>899</v>
      </c>
    </row>
    <row r="19" spans="1:12" ht="33.950000000000003" customHeight="1" x14ac:dyDescent="0.25">
      <c r="A19" s="454">
        <v>10</v>
      </c>
      <c r="B19" s="201"/>
      <c r="C19" s="202"/>
      <c r="D19" s="144"/>
      <c r="E19" s="183"/>
      <c r="F19" s="204" t="s">
        <v>899</v>
      </c>
      <c r="G19" s="203"/>
      <c r="H19" s="202"/>
      <c r="I19" s="201"/>
      <c r="J19" s="200"/>
      <c r="K19" s="42"/>
      <c r="L19" s="183" t="s">
        <v>899</v>
      </c>
    </row>
    <row r="20" spans="1:12" ht="113.25" customHeight="1" x14ac:dyDescent="0.25">
      <c r="A20" s="1156" t="s">
        <v>900</v>
      </c>
      <c r="B20" s="582"/>
      <c r="C20" s="583"/>
      <c r="D20" s="1145" t="s">
        <v>901</v>
      </c>
      <c r="E20" s="582"/>
      <c r="F20" s="582"/>
      <c r="G20" s="583"/>
      <c r="H20" s="1145" t="s">
        <v>902</v>
      </c>
      <c r="I20" s="582"/>
      <c r="J20" s="582"/>
      <c r="K20" s="582"/>
      <c r="L20" s="583"/>
    </row>
    <row r="21" spans="1:12" ht="28.35" customHeight="1" x14ac:dyDescent="0.25">
      <c r="A21" s="491"/>
      <c r="B21" s="491"/>
      <c r="C21" s="491"/>
      <c r="D21" s="491"/>
      <c r="E21" s="517"/>
      <c r="F21" s="491"/>
      <c r="G21" s="491"/>
      <c r="H21" s="491"/>
      <c r="I21" s="491"/>
      <c r="J21" s="517"/>
    </row>
    <row r="22" spans="1:12" ht="28.35" customHeight="1" x14ac:dyDescent="0.25">
      <c r="A22" s="491"/>
      <c r="B22" s="491"/>
      <c r="C22" s="1137" t="s">
        <v>903</v>
      </c>
      <c r="D22" s="596"/>
      <c r="E22" s="596"/>
      <c r="F22" s="596"/>
      <c r="G22" s="596"/>
      <c r="H22" s="596"/>
      <c r="I22" s="596"/>
      <c r="J22" s="596"/>
      <c r="K22" s="596"/>
      <c r="L22" s="596"/>
    </row>
    <row r="23" spans="1:12" x14ac:dyDescent="0.25">
      <c r="A23" s="491"/>
      <c r="B23" s="491"/>
      <c r="C23" s="491"/>
      <c r="D23" s="491"/>
      <c r="E23" s="517"/>
      <c r="F23" s="491"/>
      <c r="G23" s="491"/>
      <c r="H23" s="491"/>
      <c r="I23" s="491"/>
      <c r="J23" s="517"/>
    </row>
    <row r="24" spans="1:12" x14ac:dyDescent="0.25">
      <c r="A24" s="491"/>
      <c r="B24" s="491"/>
      <c r="C24" s="491"/>
      <c r="D24" s="491"/>
      <c r="E24" s="517"/>
      <c r="F24" s="491"/>
      <c r="G24" s="491"/>
      <c r="H24" s="491"/>
      <c r="I24" s="491"/>
      <c r="J24" s="517"/>
    </row>
    <row r="25" spans="1:12" x14ac:dyDescent="0.25">
      <c r="A25" s="491"/>
      <c r="B25" s="491"/>
      <c r="C25" s="491"/>
      <c r="D25" s="491"/>
      <c r="E25" s="517"/>
      <c r="F25" s="491"/>
      <c r="G25" s="491"/>
      <c r="H25" s="491"/>
      <c r="I25" s="491"/>
      <c r="J25" s="517"/>
    </row>
    <row r="26" spans="1:12" x14ac:dyDescent="0.25">
      <c r="A26" s="491"/>
      <c r="B26" s="491"/>
      <c r="C26" s="491"/>
      <c r="D26" s="491"/>
      <c r="E26" s="517"/>
      <c r="F26" s="491"/>
      <c r="G26" s="491"/>
      <c r="H26" s="491"/>
      <c r="I26" s="491"/>
      <c r="J26" s="517"/>
    </row>
    <row r="27" spans="1:12" x14ac:dyDescent="0.25">
      <c r="A27" s="491"/>
      <c r="B27" s="491"/>
      <c r="C27" s="491"/>
      <c r="D27" s="491"/>
      <c r="E27" s="517"/>
      <c r="F27" s="491"/>
      <c r="G27" s="491"/>
      <c r="H27" s="491"/>
      <c r="I27" s="491"/>
      <c r="J27" s="517"/>
    </row>
    <row r="28" spans="1:12" x14ac:dyDescent="0.25">
      <c r="A28" s="491"/>
      <c r="B28" s="491"/>
      <c r="C28" s="491"/>
      <c r="D28" s="491"/>
      <c r="E28" s="517"/>
      <c r="F28" s="491"/>
      <c r="G28" s="491"/>
      <c r="H28" s="491"/>
      <c r="I28" s="491"/>
      <c r="J28" s="517"/>
    </row>
    <row r="29" spans="1:12" x14ac:dyDescent="0.25">
      <c r="A29" s="491"/>
      <c r="B29" s="491"/>
      <c r="C29" s="491"/>
      <c r="D29" s="491"/>
      <c r="E29" s="517"/>
      <c r="F29" s="491"/>
      <c r="G29" s="491"/>
      <c r="H29" s="491"/>
      <c r="I29" s="491"/>
      <c r="J29" s="517"/>
    </row>
    <row r="30" spans="1:12" x14ac:dyDescent="0.25">
      <c r="A30" s="491"/>
      <c r="B30" s="491"/>
      <c r="C30" s="491"/>
      <c r="D30" s="491"/>
      <c r="E30" s="517"/>
      <c r="F30" s="491"/>
      <c r="G30" s="491"/>
      <c r="H30" s="491"/>
      <c r="I30" s="491"/>
      <c r="J30" s="517"/>
    </row>
    <row r="31" spans="1:12" ht="16.5" customHeight="1" x14ac:dyDescent="0.25">
      <c r="A31" s="199"/>
      <c r="B31" s="199"/>
      <c r="C31" s="536"/>
      <c r="D31" s="536"/>
      <c r="E31" s="536"/>
      <c r="F31" s="536"/>
      <c r="G31" s="536"/>
      <c r="H31" s="536"/>
      <c r="I31" s="536"/>
      <c r="J31" s="536"/>
    </row>
    <row r="32" spans="1:12" ht="16.5" customHeight="1" x14ac:dyDescent="0.25">
      <c r="A32" s="199"/>
      <c r="B32" s="199"/>
      <c r="C32" s="536"/>
      <c r="D32" s="536"/>
      <c r="E32" s="536"/>
      <c r="F32" s="536"/>
      <c r="G32" s="536"/>
      <c r="H32" s="536"/>
      <c r="I32" s="536"/>
      <c r="J32" s="536"/>
    </row>
    <row r="33" spans="1:10" ht="16.5" customHeight="1" x14ac:dyDescent="0.25">
      <c r="A33" s="199"/>
      <c r="B33" s="199"/>
      <c r="C33" s="536"/>
      <c r="D33" s="536"/>
      <c r="E33" s="536"/>
      <c r="F33" s="536"/>
      <c r="G33" s="536"/>
      <c r="H33" s="536"/>
      <c r="I33" s="536"/>
      <c r="J33" s="536"/>
    </row>
    <row r="34" spans="1:10" ht="16.5" customHeight="1" x14ac:dyDescent="0.25">
      <c r="A34" s="199"/>
      <c r="B34" s="199"/>
      <c r="C34" s="536"/>
      <c r="D34" s="536"/>
      <c r="E34" s="536"/>
      <c r="F34" s="536"/>
      <c r="G34" s="536"/>
      <c r="H34" s="536"/>
      <c r="I34" s="536"/>
      <c r="J34" s="536"/>
    </row>
    <row r="35" spans="1:10" x14ac:dyDescent="0.25">
      <c r="A35" s="154"/>
      <c r="B35" s="154"/>
      <c r="C35" s="154"/>
      <c r="D35" s="154"/>
      <c r="E35" s="154"/>
      <c r="F35" s="154"/>
      <c r="G35" s="154"/>
      <c r="H35" s="154"/>
      <c r="I35" s="154"/>
      <c r="J35" s="154"/>
    </row>
    <row r="37" spans="1:10" x14ac:dyDescent="0.25">
      <c r="A37" s="139"/>
    </row>
  </sheetData>
  <mergeCells count="22">
    <mergeCell ref="A4:B4"/>
    <mergeCell ref="B8:F8"/>
    <mergeCell ref="A20:C20"/>
    <mergeCell ref="A5:B5"/>
    <mergeCell ref="B9:C9"/>
    <mergeCell ref="E5:I6"/>
    <mergeCell ref="C22:L22"/>
    <mergeCell ref="G8:L8"/>
    <mergeCell ref="K4:L4"/>
    <mergeCell ref="G9:H9"/>
    <mergeCell ref="F1:G1"/>
    <mergeCell ref="I9:J9"/>
    <mergeCell ref="J6:L6"/>
    <mergeCell ref="H20:L20"/>
    <mergeCell ref="C5:D5"/>
    <mergeCell ref="K5:L5"/>
    <mergeCell ref="A3:C3"/>
    <mergeCell ref="A6:B6"/>
    <mergeCell ref="C4:D4"/>
    <mergeCell ref="E4:I4"/>
    <mergeCell ref="D20:G20"/>
    <mergeCell ref="J4:J5"/>
  </mergeCells>
  <phoneticPr fontId="1" type="noConversion"/>
  <printOptions horizontalCentered="1"/>
  <pageMargins left="0.39370078740157483" right="0.39370078740157483" top="0.39370078740157483" bottom="0.59055118110236227" header="0.59055118110236227" footer="0.70866141732283472"/>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工作表32">
    <tabColor rgb="FF92D050"/>
  </sheetPr>
  <dimension ref="A1:H19"/>
  <sheetViews>
    <sheetView view="pageLayout" topLeftCell="A10" zoomScaleNormal="100" workbookViewId="0">
      <selection activeCell="C8" sqref="C8:H8"/>
    </sheetView>
  </sheetViews>
  <sheetFormatPr defaultColWidth="9" defaultRowHeight="16.5" x14ac:dyDescent="0.25"/>
  <cols>
    <col min="1" max="1" width="6" style="505" customWidth="1"/>
    <col min="2" max="2" width="6.5" style="505" customWidth="1"/>
    <col min="3" max="3" width="9.5" style="505" customWidth="1"/>
    <col min="4" max="4" width="14.75" style="505" customWidth="1"/>
    <col min="5" max="5" width="6.875" style="505" customWidth="1"/>
    <col min="6" max="6" width="13.75" style="505" customWidth="1"/>
    <col min="7" max="7" width="14.5" style="505" customWidth="1"/>
    <col min="8" max="8" width="6.25" style="505" customWidth="1"/>
    <col min="9" max="9" width="9" style="505" customWidth="1"/>
    <col min="10" max="16384" width="9" style="505"/>
  </cols>
  <sheetData>
    <row r="1" spans="1:8" s="88" customFormat="1" ht="33.950000000000003" customHeight="1" x14ac:dyDescent="0.25">
      <c r="A1" s="363"/>
      <c r="B1" s="1174" t="s">
        <v>904</v>
      </c>
      <c r="C1" s="1175"/>
      <c r="D1" s="1175"/>
      <c r="E1" s="1175"/>
      <c r="F1" s="1175"/>
      <c r="G1" s="1175"/>
      <c r="H1" s="363"/>
    </row>
    <row r="2" spans="1:8" s="88" customFormat="1" ht="5.25" customHeight="1" thickBot="1" x14ac:dyDescent="0.3">
      <c r="B2" s="240"/>
      <c r="C2" s="240"/>
      <c r="D2" s="240"/>
      <c r="E2" s="240"/>
      <c r="F2" s="240"/>
      <c r="G2" s="240"/>
    </row>
    <row r="3" spans="1:8" ht="33.950000000000003" customHeight="1" thickBot="1" x14ac:dyDescent="0.3">
      <c r="A3" s="1172" t="s">
        <v>905</v>
      </c>
      <c r="B3" s="1168"/>
      <c r="C3" s="1179" t="str">
        <f>CONCATENATE(輸入!$S$18,輸入!$T$18,輸入!$S$19,輸入!$T$19,輸入!$S$20,輸入!$T$20)</f>
        <v>臺北市政府警察局信義分局吳興街派出所</v>
      </c>
      <c r="D3" s="797"/>
      <c r="E3" s="797"/>
      <c r="F3" s="797"/>
      <c r="G3" s="797"/>
      <c r="H3" s="798"/>
    </row>
    <row r="4" spans="1:8" ht="42.6" customHeight="1" thickBot="1" x14ac:dyDescent="0.3">
      <c r="A4" s="1167" t="s">
        <v>906</v>
      </c>
      <c r="B4" s="1168"/>
      <c r="C4" s="1180" t="str">
        <f>CONCATENATE("警員  ",輸入!$U$24,)</f>
        <v>警員  蘇詠棠</v>
      </c>
      <c r="D4" s="797"/>
      <c r="E4" s="798"/>
      <c r="F4" s="241" t="s">
        <v>283</v>
      </c>
      <c r="G4" s="1180" t="str">
        <f>輸入!$T$21</f>
        <v>(02)27398997</v>
      </c>
      <c r="H4" s="798"/>
    </row>
    <row r="5" spans="1:8" ht="42.6" customHeight="1" thickBot="1" x14ac:dyDescent="0.3">
      <c r="A5" s="1172" t="s">
        <v>907</v>
      </c>
      <c r="B5" s="1168"/>
      <c r="C5" s="1180" t="str">
        <f>下拉用!$J$9</f>
        <v>115年09月12日13時30分</v>
      </c>
      <c r="D5" s="797"/>
      <c r="E5" s="797"/>
      <c r="F5" s="797"/>
      <c r="G5" s="797"/>
      <c r="H5" s="798"/>
    </row>
    <row r="6" spans="1:8" ht="42.6" customHeight="1" thickBot="1" x14ac:dyDescent="0.3">
      <c r="A6" s="1172" t="s">
        <v>908</v>
      </c>
      <c r="B6" s="1168"/>
      <c r="C6" s="1180" t="str">
        <f>輸入!$C$7</f>
        <v>臺北市信義區吳興街206號</v>
      </c>
      <c r="D6" s="797"/>
      <c r="E6" s="797"/>
      <c r="F6" s="797"/>
      <c r="G6" s="797"/>
      <c r="H6" s="798"/>
    </row>
    <row r="7" spans="1:8" ht="16.5" customHeight="1" x14ac:dyDescent="0.25">
      <c r="A7" s="1165" t="s">
        <v>909</v>
      </c>
      <c r="B7" s="843"/>
      <c r="C7" s="1178" t="s">
        <v>910</v>
      </c>
      <c r="D7" s="721"/>
      <c r="E7" s="721"/>
      <c r="F7" s="721"/>
      <c r="G7" s="721"/>
      <c r="H7" s="722"/>
    </row>
    <row r="8" spans="1:8" ht="17.25" customHeight="1" x14ac:dyDescent="0.25">
      <c r="A8" s="731"/>
      <c r="B8" s="727"/>
      <c r="C8" s="1163" t="str">
        <f>IF('呈報單 多人'!$G$44="刑事相驗","■刑事相驗佐證","□刑事相驗佐證")</f>
        <v>□刑事相驗佐證</v>
      </c>
      <c r="D8" s="596"/>
      <c r="E8" s="596"/>
      <c r="F8" s="596"/>
      <c r="G8" s="596"/>
      <c r="H8" s="727"/>
    </row>
    <row r="9" spans="1:8" ht="35.25" customHeight="1" thickBot="1" x14ac:dyDescent="0.3">
      <c r="A9" s="839"/>
      <c r="B9" s="795"/>
      <c r="C9" s="1173" t="s">
        <v>911</v>
      </c>
      <c r="D9" s="771"/>
      <c r="E9" s="771"/>
      <c r="F9" s="771"/>
      <c r="G9" s="771"/>
      <c r="H9" s="772"/>
    </row>
    <row r="10" spans="1:8" ht="42.6" customHeight="1" thickBot="1" x14ac:dyDescent="0.3">
      <c r="A10" s="1172" t="s">
        <v>912</v>
      </c>
      <c r="B10" s="1168"/>
      <c r="C10" s="1170" t="s">
        <v>913</v>
      </c>
      <c r="D10" s="1171"/>
      <c r="E10" s="1171"/>
      <c r="F10" s="1171"/>
      <c r="G10" s="1171"/>
      <c r="H10" s="1168"/>
    </row>
    <row r="11" spans="1:8" ht="19.7" customHeight="1" thickBot="1" x14ac:dyDescent="0.3">
      <c r="A11" s="1165" t="s">
        <v>914</v>
      </c>
      <c r="B11" s="843"/>
      <c r="C11" s="1177" t="s">
        <v>915</v>
      </c>
      <c r="D11" s="797"/>
      <c r="E11" s="797"/>
      <c r="F11" s="797"/>
      <c r="G11" s="797"/>
      <c r="H11" s="798"/>
    </row>
    <row r="12" spans="1:8" ht="19.7" customHeight="1" x14ac:dyDescent="0.25">
      <c r="A12" s="731"/>
      <c r="B12" s="727"/>
      <c r="C12" s="1176" t="s">
        <v>916</v>
      </c>
      <c r="D12" s="721"/>
      <c r="E12" s="721"/>
      <c r="F12" s="721"/>
      <c r="G12" s="721"/>
      <c r="H12" s="722"/>
    </row>
    <row r="13" spans="1:8" s="480" customFormat="1" ht="19.7" customHeight="1" thickBot="1" x14ac:dyDescent="0.3">
      <c r="A13" s="839"/>
      <c r="B13" s="795"/>
      <c r="C13" s="1166" t="str">
        <f>CONCATENATE("■傳真電話：",輸入!$T$22)</f>
        <v>■傳真電話：(02)27398997</v>
      </c>
      <c r="D13" s="771"/>
      <c r="E13" s="771"/>
      <c r="F13" s="771"/>
      <c r="G13" s="771"/>
      <c r="H13" s="772"/>
    </row>
    <row r="14" spans="1:8" ht="40.5" customHeight="1" thickBot="1" x14ac:dyDescent="0.3">
      <c r="A14" s="1167" t="s">
        <v>917</v>
      </c>
      <c r="B14" s="1168"/>
      <c r="C14" s="1170" t="s">
        <v>918</v>
      </c>
      <c r="D14" s="1171"/>
      <c r="E14" s="1171"/>
      <c r="F14" s="1171"/>
      <c r="G14" s="1171"/>
      <c r="H14" s="1168"/>
    </row>
    <row r="15" spans="1:8" ht="40.5" customHeight="1" thickBot="1" x14ac:dyDescent="0.3">
      <c r="A15" s="362" t="s">
        <v>545</v>
      </c>
      <c r="B15" s="357"/>
      <c r="C15" s="1169" t="s">
        <v>919</v>
      </c>
      <c r="D15" s="797"/>
      <c r="E15" s="797"/>
      <c r="F15" s="479"/>
      <c r="G15" s="479"/>
      <c r="H15" s="534"/>
    </row>
    <row r="16" spans="1:8" ht="40.5" customHeight="1" thickBot="1" x14ac:dyDescent="0.3">
      <c r="A16" s="1160" t="s">
        <v>920</v>
      </c>
      <c r="B16" s="797"/>
      <c r="C16" s="1161" t="str">
        <f>CONCATENATE(輸入!$T$24," ",輸入!$U$24,)</f>
        <v>警員 蘇詠棠</v>
      </c>
      <c r="D16" s="797"/>
      <c r="E16" s="479" t="s">
        <v>921</v>
      </c>
      <c r="F16" s="479"/>
      <c r="G16" s="479"/>
      <c r="H16" s="534"/>
    </row>
    <row r="17" spans="1:8" ht="39.75" customHeight="1" thickBot="1" x14ac:dyDescent="0.3">
      <c r="A17" s="1162" t="s">
        <v>922</v>
      </c>
      <c r="B17" s="797"/>
      <c r="C17" s="797"/>
      <c r="D17" s="572">
        <f ca="1">TODAY()</f>
        <v>46278</v>
      </c>
      <c r="E17" s="358" t="s">
        <v>923</v>
      </c>
      <c r="F17" s="359"/>
      <c r="G17" s="360"/>
      <c r="H17" s="361"/>
    </row>
    <row r="18" spans="1:8" ht="18" customHeight="1" x14ac:dyDescent="0.25">
      <c r="A18" s="1164" t="s">
        <v>924</v>
      </c>
      <c r="B18" s="596"/>
      <c r="C18" s="242"/>
      <c r="D18" s="242"/>
      <c r="E18" s="242"/>
      <c r="F18" s="242"/>
      <c r="G18" s="242"/>
      <c r="H18" s="242"/>
    </row>
    <row r="19" spans="1:8" ht="104.25" customHeight="1" x14ac:dyDescent="0.25">
      <c r="B19" s="1159" t="s">
        <v>925</v>
      </c>
      <c r="C19" s="596"/>
      <c r="D19" s="596"/>
      <c r="E19" s="596"/>
      <c r="F19" s="596"/>
      <c r="G19" s="596"/>
      <c r="H19" s="596"/>
    </row>
  </sheetData>
  <mergeCells count="28">
    <mergeCell ref="B1:G1"/>
    <mergeCell ref="C12:H12"/>
    <mergeCell ref="A6:B6"/>
    <mergeCell ref="C11:H11"/>
    <mergeCell ref="A11:B13"/>
    <mergeCell ref="A3:B3"/>
    <mergeCell ref="C7:H7"/>
    <mergeCell ref="A5:B5"/>
    <mergeCell ref="C3:H3"/>
    <mergeCell ref="A4:B4"/>
    <mergeCell ref="G4:H4"/>
    <mergeCell ref="C6:H6"/>
    <mergeCell ref="C5:H5"/>
    <mergeCell ref="C4:E4"/>
    <mergeCell ref="B19:H19"/>
    <mergeCell ref="A16:B16"/>
    <mergeCell ref="C16:D16"/>
    <mergeCell ref="A17:C17"/>
    <mergeCell ref="C8:H8"/>
    <mergeCell ref="A18:B18"/>
    <mergeCell ref="A7:B9"/>
    <mergeCell ref="C13:H13"/>
    <mergeCell ref="A14:B14"/>
    <mergeCell ref="C15:E15"/>
    <mergeCell ref="C14:H14"/>
    <mergeCell ref="A10:B10"/>
    <mergeCell ref="C10:H10"/>
    <mergeCell ref="C9:H9"/>
  </mergeCells>
  <phoneticPr fontId="1" type="noConversion"/>
  <printOptions horizontalCentered="1"/>
  <pageMargins left="1" right="1" top="1" bottom="1" header="0.5" footer="0.5"/>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工作表38"/>
  <dimension ref="A1:AV33"/>
  <sheetViews>
    <sheetView view="pageBreakPreview" zoomScaleNormal="100" zoomScaleSheetLayoutView="100" workbookViewId="0">
      <selection activeCell="C2" sqref="C2:D4"/>
    </sheetView>
  </sheetViews>
  <sheetFormatPr defaultRowHeight="16.5" x14ac:dyDescent="0.25"/>
  <cols>
    <col min="1" max="1" width="1.125" style="545" customWidth="1"/>
    <col min="2" max="3" width="1.375" style="545" customWidth="1"/>
    <col min="4" max="5" width="9.875" style="545" customWidth="1"/>
    <col min="6" max="6" width="3.5" style="545" customWidth="1"/>
    <col min="7" max="7" width="13.375" style="545" customWidth="1"/>
    <col min="10" max="10" width="14.375" style="545" customWidth="1"/>
    <col min="11" max="11" width="11.25" style="545" customWidth="1"/>
    <col min="12" max="12" width="18.625" style="545" customWidth="1"/>
    <col min="13" max="13" width="2.75" style="545" customWidth="1"/>
    <col min="14" max="14" width="3.625" style="545" customWidth="1"/>
    <col min="48" max="48" width="9" style="545" customWidth="1"/>
  </cols>
  <sheetData>
    <row r="1" spans="2:13" ht="36" customHeight="1" x14ac:dyDescent="0.25">
      <c r="B1" s="538"/>
      <c r="C1" s="1189" t="s">
        <v>926</v>
      </c>
      <c r="D1" s="574"/>
      <c r="E1" s="574"/>
      <c r="F1" s="574"/>
      <c r="G1" s="574"/>
      <c r="H1" s="574"/>
      <c r="I1" s="574"/>
      <c r="J1" s="574"/>
      <c r="K1" s="574"/>
      <c r="L1" s="575"/>
      <c r="M1" s="538"/>
    </row>
    <row r="2" spans="2:13" ht="24" customHeight="1" x14ac:dyDescent="0.25">
      <c r="B2" s="1197"/>
      <c r="C2" s="777" t="s">
        <v>483</v>
      </c>
      <c r="D2" s="580"/>
      <c r="E2" s="1201" t="s">
        <v>927</v>
      </c>
      <c r="F2" s="579"/>
      <c r="G2" s="579"/>
      <c r="H2" s="579"/>
      <c r="I2" s="579"/>
      <c r="J2" s="579"/>
      <c r="K2" s="579"/>
      <c r="L2" s="580"/>
      <c r="M2" s="1197"/>
    </row>
    <row r="3" spans="2:13" ht="24" customHeight="1" x14ac:dyDescent="0.25">
      <c r="B3" s="681"/>
      <c r="C3" s="601"/>
      <c r="D3" s="603"/>
      <c r="E3" s="1198" t="str">
        <f>CONCATENATE("___",輸入!$S$18,"政府___")</f>
        <v>___臺北市政府___</v>
      </c>
      <c r="F3" s="681"/>
      <c r="G3" s="681"/>
      <c r="H3" s="356" t="s">
        <v>928</v>
      </c>
      <c r="I3" s="355" t="str">
        <f>CONCATENATE("_",輸入!$S$19,"_")</f>
        <v>_信義_</v>
      </c>
      <c r="J3" s="356" t="s">
        <v>929</v>
      </c>
      <c r="K3" s="539" t="str">
        <f>CONCATENATE("_",輸入!$S$20,"_")</f>
        <v>_吳興街_</v>
      </c>
      <c r="L3" s="354" t="s">
        <v>930</v>
      </c>
      <c r="M3" s="681"/>
    </row>
    <row r="4" spans="2:13" ht="24" customHeight="1" x14ac:dyDescent="0.25">
      <c r="B4" s="681"/>
      <c r="C4" s="581"/>
      <c r="D4" s="583"/>
      <c r="E4" s="1204" t="s">
        <v>485</v>
      </c>
      <c r="F4" s="582"/>
      <c r="G4" s="582"/>
      <c r="H4" s="582"/>
      <c r="I4" s="582"/>
      <c r="J4" s="582"/>
      <c r="K4" s="582"/>
      <c r="L4" s="583"/>
      <c r="M4" s="681"/>
    </row>
    <row r="5" spans="2:13" ht="33" customHeight="1" x14ac:dyDescent="0.25">
      <c r="B5" s="538"/>
      <c r="C5" s="777" t="s">
        <v>931</v>
      </c>
      <c r="D5" s="574"/>
      <c r="E5" s="575"/>
      <c r="F5" s="800" t="str">
        <f>word用!$H$2</f>
        <v>顏文祥</v>
      </c>
      <c r="G5" s="583"/>
      <c r="H5" s="778" t="s">
        <v>932</v>
      </c>
      <c r="I5" s="603"/>
      <c r="J5" s="1191" t="s">
        <v>933</v>
      </c>
      <c r="K5" s="582"/>
      <c r="L5" s="583"/>
      <c r="M5" s="538"/>
    </row>
    <row r="6" spans="2:13" ht="39" customHeight="1" x14ac:dyDescent="0.25">
      <c r="B6" s="538"/>
      <c r="C6" s="777" t="s">
        <v>934</v>
      </c>
      <c r="D6" s="574"/>
      <c r="E6" s="575"/>
      <c r="F6" s="584" t="str">
        <f>IF(word用!$K$2="0","",word用!$K$2)</f>
        <v>0935680306</v>
      </c>
      <c r="G6" s="575"/>
      <c r="H6" s="1205" t="s">
        <v>935</v>
      </c>
      <c r="I6" s="603"/>
      <c r="J6" s="1211" t="s">
        <v>936</v>
      </c>
      <c r="K6" s="574"/>
      <c r="L6" s="575"/>
      <c r="M6" s="538"/>
    </row>
    <row r="7" spans="2:13" ht="49.5" customHeight="1" thickBot="1" x14ac:dyDescent="0.3">
      <c r="B7" s="538"/>
      <c r="C7" s="790" t="s">
        <v>937</v>
      </c>
      <c r="D7" s="579"/>
      <c r="E7" s="580"/>
      <c r="F7" s="1143" t="str">
        <f>呈報單!$G$15</f>
        <v>毀損</v>
      </c>
      <c r="G7" s="580"/>
      <c r="H7" s="1218"/>
      <c r="I7" s="603"/>
      <c r="J7" s="1217" t="s">
        <v>938</v>
      </c>
      <c r="K7" s="579"/>
      <c r="L7" s="580"/>
      <c r="M7" s="538"/>
    </row>
    <row r="8" spans="2:13" ht="20.25" customHeight="1" x14ac:dyDescent="0.25">
      <c r="B8" s="1214" t="s">
        <v>939</v>
      </c>
      <c r="C8" s="1215"/>
      <c r="D8" s="1215"/>
      <c r="E8" s="1215"/>
      <c r="F8" s="1215"/>
      <c r="G8" s="1215"/>
      <c r="H8" s="1215"/>
      <c r="I8" s="1215"/>
      <c r="J8" s="1215"/>
      <c r="K8" s="1215"/>
      <c r="L8" s="1215"/>
      <c r="M8" s="1216"/>
    </row>
    <row r="9" spans="2:13" ht="49.5" customHeight="1" x14ac:dyDescent="0.25">
      <c r="B9" s="1194" t="s">
        <v>940</v>
      </c>
      <c r="C9" s="580"/>
      <c r="D9" s="1193" t="s">
        <v>941</v>
      </c>
      <c r="E9" s="579"/>
      <c r="F9" s="580"/>
      <c r="G9" s="1206" t="s">
        <v>942</v>
      </c>
      <c r="H9" s="579"/>
      <c r="I9" s="579"/>
      <c r="J9" s="579"/>
      <c r="K9" s="579"/>
      <c r="L9" s="579"/>
      <c r="M9" s="735"/>
    </row>
    <row r="10" spans="2:13" ht="20.25" customHeight="1" x14ac:dyDescent="0.25">
      <c r="B10" s="731"/>
      <c r="C10" s="603"/>
      <c r="D10" s="1190" t="s">
        <v>943</v>
      </c>
      <c r="E10" s="582"/>
      <c r="F10" s="583"/>
      <c r="G10" s="810" t="s">
        <v>944</v>
      </c>
      <c r="H10" s="582"/>
      <c r="I10" s="582"/>
      <c r="J10" s="582"/>
      <c r="K10" s="582"/>
      <c r="L10" s="582"/>
      <c r="M10" s="812"/>
    </row>
    <row r="11" spans="2:13" ht="19.5" customHeight="1" x14ac:dyDescent="0.25">
      <c r="B11" s="731"/>
      <c r="C11" s="603"/>
      <c r="D11" s="802" t="s">
        <v>945</v>
      </c>
      <c r="E11" s="579"/>
      <c r="F11" s="580"/>
      <c r="G11" s="1195" t="s">
        <v>946</v>
      </c>
      <c r="H11" s="781"/>
      <c r="I11" s="781"/>
      <c r="J11" s="603"/>
      <c r="K11" s="1209" t="s">
        <v>947</v>
      </c>
      <c r="L11" s="1187"/>
      <c r="M11" s="1188"/>
    </row>
    <row r="12" spans="2:13" ht="19.5" customHeight="1" x14ac:dyDescent="0.25">
      <c r="B12" s="731"/>
      <c r="C12" s="603"/>
      <c r="D12" s="601"/>
      <c r="E12" s="681"/>
      <c r="F12" s="603"/>
      <c r="G12" s="1192" t="s">
        <v>948</v>
      </c>
      <c r="H12" s="781"/>
      <c r="I12" s="781"/>
      <c r="J12" s="603"/>
      <c r="K12" s="681"/>
      <c r="L12" s="601"/>
      <c r="M12" s="727"/>
    </row>
    <row r="13" spans="2:13" ht="19.5" customHeight="1" x14ac:dyDescent="0.25">
      <c r="B13" s="731"/>
      <c r="C13" s="603"/>
      <c r="D13" s="1199" t="s">
        <v>949</v>
      </c>
      <c r="E13" s="681"/>
      <c r="F13" s="603"/>
      <c r="G13" s="1192" t="s">
        <v>950</v>
      </c>
      <c r="H13" s="781"/>
      <c r="I13" s="781"/>
      <c r="J13" s="603"/>
      <c r="K13" s="681"/>
      <c r="L13" s="601"/>
      <c r="M13" s="727"/>
    </row>
    <row r="14" spans="2:13" ht="19.5" customHeight="1" thickBot="1" x14ac:dyDescent="0.3">
      <c r="B14" s="732"/>
      <c r="C14" s="583"/>
      <c r="D14" s="1200"/>
      <c r="E14" s="771"/>
      <c r="F14" s="807"/>
      <c r="G14" s="1184" t="s">
        <v>951</v>
      </c>
      <c r="H14" s="670"/>
      <c r="I14" s="670"/>
      <c r="J14" s="1185"/>
      <c r="K14" s="582"/>
      <c r="L14" s="1196" t="s">
        <v>952</v>
      </c>
      <c r="M14" s="772"/>
    </row>
    <row r="15" spans="2:13" ht="18.75" customHeight="1" x14ac:dyDescent="0.25">
      <c r="B15" s="538"/>
      <c r="C15" s="801" t="s">
        <v>508</v>
      </c>
      <c r="D15" s="681"/>
      <c r="E15" s="603"/>
      <c r="F15" s="800" t="str">
        <f>CONCATENATE(輸入!$T$24,"  ",輸入!$U$24,)</f>
        <v>警員  蘇詠棠</v>
      </c>
      <c r="G15" s="681"/>
      <c r="H15" s="603"/>
      <c r="I15" s="801" t="s">
        <v>509</v>
      </c>
      <c r="J15" s="583"/>
      <c r="K15" s="1207" t="str">
        <f>輸入!$T$21</f>
        <v>(02)27398997</v>
      </c>
      <c r="L15" s="583"/>
      <c r="M15" s="538"/>
    </row>
    <row r="16" spans="2:13" ht="18.75" customHeight="1" x14ac:dyDescent="0.25">
      <c r="B16" s="538"/>
      <c r="C16" s="581"/>
      <c r="D16" s="582"/>
      <c r="E16" s="583"/>
      <c r="F16" s="581"/>
      <c r="G16" s="582"/>
      <c r="H16" s="583"/>
      <c r="I16" s="777" t="s">
        <v>510</v>
      </c>
      <c r="J16" s="575"/>
      <c r="K16" s="1210" t="str">
        <f>輸入!$T$22</f>
        <v>(02)27398997</v>
      </c>
      <c r="L16" s="575"/>
      <c r="M16" s="538"/>
    </row>
    <row r="17" spans="2:13" ht="18.75" customHeight="1" x14ac:dyDescent="0.25">
      <c r="B17" s="538"/>
      <c r="C17" s="777" t="s">
        <v>511</v>
      </c>
      <c r="D17" s="574"/>
      <c r="E17" s="575"/>
      <c r="F17" s="765" t="str">
        <f>IF(OR(輸入!$C$2="通緝",輸入!$C$2="公共危險",輸入!$C$2=調閱用!$K$1),CONCATENATE(LEFT(下拉用!$J$10,10),"     時     分"),CONCATENATE(下拉用!$J$10))</f>
        <v>日期：中華民國 年月日</v>
      </c>
      <c r="G17" s="574"/>
      <c r="H17" s="574"/>
      <c r="I17" s="574"/>
      <c r="J17" s="574"/>
      <c r="K17" s="574"/>
      <c r="L17" s="575"/>
      <c r="M17" s="538"/>
    </row>
    <row r="18" spans="2:13" ht="1.5" customHeight="1" x14ac:dyDescent="0.25">
      <c r="B18" s="538"/>
      <c r="C18" s="538"/>
      <c r="D18" s="538"/>
      <c r="E18" s="538"/>
      <c r="F18" s="538"/>
      <c r="G18" s="538"/>
      <c r="H18" s="538"/>
      <c r="I18" s="538"/>
      <c r="J18" s="538"/>
      <c r="K18" s="538"/>
      <c r="L18" s="538"/>
      <c r="M18" s="538"/>
    </row>
    <row r="19" spans="2:13" ht="16.5" customHeight="1" x14ac:dyDescent="0.25">
      <c r="B19" s="52"/>
      <c r="D19" s="135"/>
      <c r="E19" s="709" t="s">
        <v>953</v>
      </c>
      <c r="F19" s="681"/>
      <c r="G19" s="681"/>
      <c r="H19" s="781"/>
      <c r="I19" s="781"/>
      <c r="J19" s="681"/>
      <c r="K19" s="681"/>
      <c r="L19" s="681"/>
    </row>
    <row r="20" spans="2:13" x14ac:dyDescent="0.25">
      <c r="B20" s="52"/>
      <c r="D20" s="135"/>
      <c r="E20" s="681"/>
      <c r="F20" s="681"/>
      <c r="G20" s="681"/>
      <c r="H20" s="781"/>
      <c r="I20" s="781"/>
      <c r="J20" s="681"/>
      <c r="K20" s="681"/>
      <c r="L20" s="681"/>
    </row>
    <row r="21" spans="2:13" ht="19.5" customHeight="1" x14ac:dyDescent="0.25">
      <c r="B21" s="1183" t="s">
        <v>954</v>
      </c>
      <c r="C21" s="681"/>
      <c r="D21" s="681"/>
      <c r="E21" s="681"/>
      <c r="F21" s="681"/>
      <c r="G21" s="681"/>
      <c r="H21" s="781"/>
      <c r="I21" s="781"/>
      <c r="J21" s="681"/>
      <c r="K21" s="681"/>
      <c r="L21" s="681"/>
      <c r="M21" s="681"/>
    </row>
    <row r="22" spans="2:13" ht="22.5" customHeight="1" x14ac:dyDescent="0.25">
      <c r="C22" s="777" t="s">
        <v>516</v>
      </c>
      <c r="D22" s="579"/>
      <c r="E22" s="580"/>
      <c r="F22" s="1212" t="s">
        <v>955</v>
      </c>
      <c r="G22" s="579"/>
      <c r="H22" s="579"/>
      <c r="I22" s="579"/>
      <c r="J22" s="579"/>
      <c r="K22" s="579"/>
      <c r="L22" s="580"/>
    </row>
    <row r="23" spans="2:13" ht="22.5" customHeight="1" x14ac:dyDescent="0.25">
      <c r="C23" s="581"/>
      <c r="D23" s="582"/>
      <c r="E23" s="583"/>
      <c r="F23" s="1182" t="s">
        <v>956</v>
      </c>
      <c r="G23" s="582"/>
      <c r="H23" s="582"/>
      <c r="I23" s="582"/>
      <c r="J23" s="582"/>
      <c r="K23" s="582"/>
      <c r="L23" s="583"/>
    </row>
    <row r="24" spans="2:13" ht="38.25" customHeight="1" x14ac:dyDescent="0.25">
      <c r="C24" s="777" t="s">
        <v>518</v>
      </c>
      <c r="D24" s="574"/>
      <c r="E24" s="575"/>
      <c r="F24" s="1203" t="s">
        <v>519</v>
      </c>
      <c r="G24" s="681"/>
      <c r="H24" s="781"/>
      <c r="I24" s="781"/>
      <c r="J24" s="681"/>
      <c r="K24" s="681"/>
      <c r="L24" s="727"/>
    </row>
    <row r="25" spans="2:13" ht="37.5" customHeight="1" x14ac:dyDescent="0.25">
      <c r="C25" s="777" t="s">
        <v>520</v>
      </c>
      <c r="D25" s="574"/>
      <c r="E25" s="575"/>
      <c r="F25" s="592"/>
      <c r="G25" s="574"/>
      <c r="H25" s="575"/>
      <c r="I25" s="777" t="s">
        <v>521</v>
      </c>
      <c r="J25" s="575"/>
      <c r="K25" s="592"/>
      <c r="L25" s="575"/>
    </row>
    <row r="26" spans="2:13" ht="21" customHeight="1" x14ac:dyDescent="0.25">
      <c r="C26" s="790" t="s">
        <v>957</v>
      </c>
      <c r="D26" s="579"/>
      <c r="E26" s="580"/>
      <c r="F26" s="592"/>
      <c r="G26" s="579"/>
      <c r="H26" s="580"/>
      <c r="I26" s="777" t="s">
        <v>509</v>
      </c>
      <c r="J26" s="575"/>
      <c r="K26" s="1202" t="s">
        <v>523</v>
      </c>
      <c r="L26" s="575"/>
    </row>
    <row r="27" spans="2:13" ht="21" customHeight="1" x14ac:dyDescent="0.25">
      <c r="C27" s="801" t="s">
        <v>958</v>
      </c>
      <c r="D27" s="582"/>
      <c r="E27" s="583"/>
      <c r="F27" s="581"/>
      <c r="G27" s="582"/>
      <c r="H27" s="583"/>
      <c r="I27" s="777" t="s">
        <v>510</v>
      </c>
      <c r="J27" s="575"/>
      <c r="K27" s="1202" t="s">
        <v>524</v>
      </c>
      <c r="L27" s="575"/>
    </row>
    <row r="28" spans="2:13" ht="21" customHeight="1" x14ac:dyDescent="0.25">
      <c r="C28" s="790" t="s">
        <v>525</v>
      </c>
      <c r="D28" s="579"/>
      <c r="E28" s="580"/>
      <c r="F28" s="1213" t="s">
        <v>519</v>
      </c>
      <c r="G28" s="681"/>
      <c r="H28" s="781"/>
      <c r="I28" s="781"/>
      <c r="J28" s="681"/>
      <c r="K28" s="681"/>
      <c r="L28" s="727"/>
    </row>
    <row r="29" spans="2:13" ht="22.5" customHeight="1" x14ac:dyDescent="0.25">
      <c r="C29" s="787" t="s">
        <v>959</v>
      </c>
      <c r="D29" s="574"/>
      <c r="E29" s="574"/>
      <c r="F29" s="574"/>
      <c r="G29" s="574"/>
      <c r="H29" s="574"/>
      <c r="I29" s="574"/>
      <c r="J29" s="574"/>
      <c r="K29" s="574"/>
      <c r="L29" s="575"/>
    </row>
    <row r="30" spans="2:13" ht="42" customHeight="1" x14ac:dyDescent="0.25">
      <c r="C30" s="1186" t="s">
        <v>960</v>
      </c>
      <c r="D30" s="575"/>
      <c r="E30" s="1208" t="s">
        <v>961</v>
      </c>
      <c r="F30" s="574"/>
      <c r="G30" s="574"/>
      <c r="H30" s="574"/>
      <c r="I30" s="574"/>
      <c r="J30" s="574"/>
      <c r="K30" s="574"/>
      <c r="L30" s="575"/>
    </row>
    <row r="31" spans="2:13" ht="20.25" customHeight="1" x14ac:dyDescent="0.25">
      <c r="C31" s="1186" t="s">
        <v>962</v>
      </c>
      <c r="D31" s="575"/>
      <c r="E31" s="1181" t="s">
        <v>963</v>
      </c>
      <c r="F31" s="574"/>
      <c r="G31" s="574"/>
      <c r="H31" s="574"/>
      <c r="I31" s="574"/>
      <c r="J31" s="574"/>
      <c r="K31" s="574"/>
      <c r="L31" s="575"/>
    </row>
    <row r="32" spans="2:13" ht="20.25" customHeight="1" x14ac:dyDescent="0.25">
      <c r="C32" s="1186" t="s">
        <v>513</v>
      </c>
      <c r="D32" s="575"/>
      <c r="E32" s="1181" t="s">
        <v>964</v>
      </c>
      <c r="F32" s="574"/>
      <c r="G32" s="574"/>
      <c r="H32" s="574"/>
      <c r="I32" s="574"/>
      <c r="J32" s="574"/>
      <c r="K32" s="574"/>
      <c r="L32" s="575"/>
    </row>
    <row r="33" spans="3:12" ht="20.25" customHeight="1" x14ac:dyDescent="0.25">
      <c r="C33" s="1186" t="s">
        <v>965</v>
      </c>
      <c r="D33" s="575"/>
      <c r="E33" s="1208"/>
      <c r="F33" s="574"/>
      <c r="G33" s="574"/>
      <c r="H33" s="574"/>
      <c r="I33" s="574"/>
      <c r="J33" s="574"/>
      <c r="K33" s="574"/>
      <c r="L33" s="575"/>
    </row>
  </sheetData>
  <mergeCells count="71">
    <mergeCell ref="K25:L25"/>
    <mergeCell ref="F28:L28"/>
    <mergeCell ref="B8:M8"/>
    <mergeCell ref="F6:G6"/>
    <mergeCell ref="F7:G7"/>
    <mergeCell ref="J7:L7"/>
    <mergeCell ref="H7:I7"/>
    <mergeCell ref="C33:D33"/>
    <mergeCell ref="K15:L15"/>
    <mergeCell ref="E33:L33"/>
    <mergeCell ref="I27:J27"/>
    <mergeCell ref="K11:K14"/>
    <mergeCell ref="I26:J26"/>
    <mergeCell ref="C15:E16"/>
    <mergeCell ref="K26:L26"/>
    <mergeCell ref="C31:D31"/>
    <mergeCell ref="E31:L31"/>
    <mergeCell ref="C28:E28"/>
    <mergeCell ref="E30:L30"/>
    <mergeCell ref="C22:E23"/>
    <mergeCell ref="K16:L16"/>
    <mergeCell ref="C32:D32"/>
    <mergeCell ref="F22:L22"/>
    <mergeCell ref="B2:B4"/>
    <mergeCell ref="E3:G3"/>
    <mergeCell ref="D13:F14"/>
    <mergeCell ref="C29:L29"/>
    <mergeCell ref="G10:M10"/>
    <mergeCell ref="F25:H25"/>
    <mergeCell ref="E2:L2"/>
    <mergeCell ref="K27:L27"/>
    <mergeCell ref="F24:L24"/>
    <mergeCell ref="F26:H27"/>
    <mergeCell ref="M2:M4"/>
    <mergeCell ref="E4:L4"/>
    <mergeCell ref="H6:I6"/>
    <mergeCell ref="C27:E27"/>
    <mergeCell ref="G9:M9"/>
    <mergeCell ref="I16:J16"/>
    <mergeCell ref="C1:L1"/>
    <mergeCell ref="C6:E6"/>
    <mergeCell ref="D10:F10"/>
    <mergeCell ref="C24:E24"/>
    <mergeCell ref="J5:L5"/>
    <mergeCell ref="G13:J13"/>
    <mergeCell ref="C2:D4"/>
    <mergeCell ref="F15:H16"/>
    <mergeCell ref="F5:G5"/>
    <mergeCell ref="G12:J12"/>
    <mergeCell ref="D9:F9"/>
    <mergeCell ref="C17:E17"/>
    <mergeCell ref="B9:C14"/>
    <mergeCell ref="G11:J11"/>
    <mergeCell ref="L14:M14"/>
    <mergeCell ref="C7:E7"/>
    <mergeCell ref="C5:E5"/>
    <mergeCell ref="F17:L17"/>
    <mergeCell ref="E32:L32"/>
    <mergeCell ref="E19:L20"/>
    <mergeCell ref="F23:L23"/>
    <mergeCell ref="H5:I5"/>
    <mergeCell ref="C26:E26"/>
    <mergeCell ref="B21:M21"/>
    <mergeCell ref="C25:E25"/>
    <mergeCell ref="G14:J14"/>
    <mergeCell ref="I25:J25"/>
    <mergeCell ref="D11:F12"/>
    <mergeCell ref="C30:D30"/>
    <mergeCell ref="L11:M13"/>
    <mergeCell ref="I15:J15"/>
    <mergeCell ref="J6:L6"/>
  </mergeCells>
  <phoneticPr fontId="1" type="noConversion"/>
  <pageMargins left="0.25" right="0.25" top="0.75" bottom="0.75" header="0.3" footer="0.3"/>
  <pageSetup paperSize="9" scale="93"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工作表30"/>
  <dimension ref="A1:N52"/>
  <sheetViews>
    <sheetView view="pageLayout" topLeftCell="A8" zoomScaleNormal="100" workbookViewId="0">
      <selection activeCell="Q21" sqref="Q21"/>
    </sheetView>
  </sheetViews>
  <sheetFormatPr defaultColWidth="9" defaultRowHeight="16.5" x14ac:dyDescent="0.25"/>
  <cols>
    <col min="1" max="1" width="11" style="505" customWidth="1"/>
    <col min="2" max="2" width="1.5" style="505" customWidth="1"/>
    <col min="3" max="3" width="18.75" style="505" customWidth="1"/>
    <col min="4" max="4" width="7.75" style="505" customWidth="1"/>
    <col min="5" max="5" width="6.5" style="505" customWidth="1"/>
    <col min="6" max="6" width="6" style="505" customWidth="1"/>
    <col min="7" max="7" width="9.5" style="505" customWidth="1"/>
    <col min="8" max="9" width="2.375" style="505" customWidth="1"/>
    <col min="10" max="10" width="2.75" style="505" customWidth="1"/>
    <col min="11" max="11" width="4.25" style="505" customWidth="1"/>
    <col min="12" max="12" width="4.625" style="505" customWidth="1"/>
    <col min="13" max="13" width="6.5" style="505" customWidth="1"/>
    <col min="14" max="14" width="11.375" style="505" customWidth="1"/>
    <col min="15" max="15" width="9" style="505" customWidth="1"/>
    <col min="16" max="16384" width="9" style="505"/>
  </cols>
  <sheetData>
    <row r="1" spans="1:14" ht="21" customHeight="1" x14ac:dyDescent="0.25">
      <c r="B1" s="172"/>
      <c r="C1" s="172" t="s">
        <v>966</v>
      </c>
      <c r="D1" s="172"/>
    </row>
    <row r="2" spans="1:14" ht="28.35" customHeight="1" x14ac:dyDescent="0.25">
      <c r="I2" s="174"/>
      <c r="J2" s="1219" t="str">
        <f>CONCATENATE("中華民國",LEFT(下拉用!J10,10))</f>
        <v>中華民國日期：中華民國 年月</v>
      </c>
      <c r="K2" s="582"/>
      <c r="L2" s="582"/>
      <c r="M2" s="582"/>
      <c r="N2" s="582"/>
    </row>
    <row r="3" spans="1:14" ht="22.5" customHeight="1" x14ac:dyDescent="0.25">
      <c r="A3" s="173" t="s">
        <v>967</v>
      </c>
      <c r="B3" s="1225" t="str">
        <f>IF(ISBLANK(B19),"□自首1  □主動投案2  □檢舉或自行查獲","□自首1  □主動投案2  ■檢舉或自行查獲")</f>
        <v>□自首1  □主動投案2  ■檢舉或自行查獲</v>
      </c>
      <c r="C3" s="574"/>
      <c r="D3" s="574"/>
      <c r="E3" s="574"/>
      <c r="F3" s="574"/>
      <c r="G3" s="574"/>
      <c r="H3" s="574"/>
      <c r="I3" s="574"/>
      <c r="J3" s="574"/>
      <c r="K3" s="574"/>
      <c r="L3" s="574"/>
      <c r="M3" s="574"/>
      <c r="N3" s="575"/>
    </row>
    <row r="4" spans="1:14" ht="18.600000000000001" customHeight="1" x14ac:dyDescent="0.25">
      <c r="A4" s="576" t="s">
        <v>968</v>
      </c>
      <c r="B4" s="1222" t="str">
        <f>IF(輸入!$C$2="入出國及移民法","■入出國及移民法","□入出國及移民法")</f>
        <v>□入出國及移民法</v>
      </c>
      <c r="C4" s="579"/>
      <c r="D4" s="1234" t="s">
        <v>969</v>
      </c>
      <c r="E4" s="579"/>
      <c r="F4" s="579"/>
      <c r="G4" s="579"/>
      <c r="H4" s="579"/>
      <c r="I4" s="579"/>
      <c r="J4" s="579"/>
      <c r="K4" s="1233" t="str">
        <f>IF(AND(輸入!$C$2&lt;&gt;"入出國及移民法",輸入!$C$2&lt;&gt;"違反社會秩序維護法"),"■刑法","□刑法")</f>
        <v>■刑法</v>
      </c>
      <c r="L4" s="579"/>
      <c r="M4" s="579"/>
      <c r="N4" s="580"/>
    </row>
    <row r="5" spans="1:14" ht="18.600000000000001" customHeight="1" x14ac:dyDescent="0.25">
      <c r="A5" s="577"/>
      <c r="B5" s="1227" t="str">
        <f>IF(輸入!$C$2="就業服務法","■就業服務法","□就業服務法)")</f>
        <v>□就業服務法)</v>
      </c>
      <c r="C5" s="582"/>
      <c r="D5" s="1235" t="s">
        <v>970</v>
      </c>
      <c r="E5" s="582"/>
      <c r="F5" s="582"/>
      <c r="G5" s="582"/>
      <c r="H5" s="582"/>
      <c r="I5" s="582"/>
      <c r="J5" s="582"/>
      <c r="K5" s="506" t="str">
        <f>IF(輸入!$C$2="違反社會秩序維護法","■其他(社會秩序維護法)","□其他(社會秩序維護法)")</f>
        <v>□其他(社會秩序維護法)</v>
      </c>
      <c r="L5" s="49"/>
      <c r="M5" s="49"/>
      <c r="N5" s="93"/>
    </row>
    <row r="6" spans="1:14" ht="22.5" customHeight="1" x14ac:dyDescent="0.25">
      <c r="A6" s="452" t="s">
        <v>340</v>
      </c>
      <c r="B6" s="1224" t="str">
        <f>下拉用!$J$10</f>
        <v>日期：中華民國 年月日</v>
      </c>
      <c r="C6" s="574"/>
      <c r="D6" s="574"/>
      <c r="E6" s="574"/>
      <c r="F6" s="574"/>
      <c r="G6" s="574"/>
      <c r="H6" s="574"/>
      <c r="I6" s="574"/>
      <c r="J6" s="574"/>
      <c r="K6" s="574"/>
      <c r="L6" s="574"/>
      <c r="M6" s="574"/>
      <c r="N6" s="575"/>
    </row>
    <row r="7" spans="1:14" ht="22.5" customHeight="1" x14ac:dyDescent="0.25">
      <c r="A7" s="452" t="s">
        <v>341</v>
      </c>
      <c r="B7" s="1224" t="str">
        <f>IF(ISBLANK(輸入!$C$13),輸入!$S$23,輸入!$C$13)</f>
        <v>台北市信義區吳興街262號</v>
      </c>
      <c r="C7" s="574"/>
      <c r="D7" s="574"/>
      <c r="E7" s="574"/>
      <c r="F7" s="574"/>
      <c r="G7" s="574"/>
      <c r="H7" s="574"/>
      <c r="I7" s="574"/>
      <c r="J7" s="574"/>
      <c r="K7" s="574"/>
      <c r="L7" s="574"/>
      <c r="M7" s="574"/>
      <c r="N7" s="575"/>
    </row>
    <row r="8" spans="1:14" ht="22.5" customHeight="1" x14ac:dyDescent="0.25">
      <c r="A8" s="452" t="s">
        <v>795</v>
      </c>
      <c r="B8" s="1224" t="str">
        <f>CONCATENATE(輸入!$S$18,輸入!$T$18,輸入!$S$19,輸入!$T$19,輸入!$S$20,輸入!$T$20)</f>
        <v>臺北市政府警察局信義分局吳興街派出所</v>
      </c>
      <c r="C8" s="574"/>
      <c r="D8" s="574"/>
      <c r="E8" s="574"/>
      <c r="F8" s="574"/>
      <c r="G8" s="574"/>
      <c r="H8" s="574"/>
      <c r="I8" s="574"/>
      <c r="J8" s="574"/>
      <c r="K8" s="574"/>
      <c r="L8" s="574"/>
      <c r="M8" s="574"/>
      <c r="N8" s="575"/>
    </row>
    <row r="9" spans="1:14" ht="18.600000000000001" customHeight="1" x14ac:dyDescent="0.25">
      <c r="A9" s="576" t="s">
        <v>971</v>
      </c>
      <c r="B9" s="784" t="s">
        <v>972</v>
      </c>
      <c r="C9" s="579"/>
      <c r="D9" s="579"/>
      <c r="E9" s="579"/>
      <c r="F9" s="579"/>
      <c r="G9" s="579"/>
      <c r="H9" s="579"/>
      <c r="I9" s="579"/>
      <c r="J9" s="579"/>
      <c r="K9" s="579"/>
      <c r="L9" s="579"/>
      <c r="M9" s="579"/>
      <c r="N9" s="580"/>
    </row>
    <row r="10" spans="1:14" ht="18.600000000000001" customHeight="1" x14ac:dyDescent="0.25">
      <c r="A10" s="577"/>
      <c r="B10" s="1223" t="s">
        <v>973</v>
      </c>
      <c r="C10" s="582"/>
      <c r="D10" s="582"/>
      <c r="E10" s="582"/>
      <c r="F10" s="582"/>
      <c r="G10" s="582"/>
      <c r="H10" s="582"/>
      <c r="I10" s="582"/>
      <c r="J10" s="582"/>
      <c r="K10" s="582"/>
      <c r="L10" s="582"/>
      <c r="M10" s="582"/>
      <c r="N10" s="583"/>
    </row>
    <row r="11" spans="1:14" ht="18.600000000000001" customHeight="1" x14ac:dyDescent="0.25">
      <c r="A11" s="576" t="s">
        <v>974</v>
      </c>
      <c r="B11" s="1232" t="s">
        <v>975</v>
      </c>
      <c r="C11" s="579"/>
      <c r="D11" s="579"/>
      <c r="E11" s="579"/>
      <c r="F11" s="579"/>
      <c r="G11" s="579"/>
      <c r="H11" s="579"/>
      <c r="I11" s="579"/>
      <c r="J11" s="579"/>
      <c r="K11" s="579"/>
      <c r="L11" s="579"/>
      <c r="M11" s="579"/>
      <c r="N11" s="580"/>
    </row>
    <row r="12" spans="1:14" ht="18.600000000000001" customHeight="1" x14ac:dyDescent="0.25">
      <c r="A12" s="940"/>
      <c r="B12" s="1220" t="s">
        <v>976</v>
      </c>
      <c r="C12" s="596"/>
      <c r="D12" s="596"/>
      <c r="E12" s="596"/>
      <c r="F12" s="596"/>
      <c r="G12" s="596"/>
      <c r="H12" s="596"/>
      <c r="I12" s="596"/>
      <c r="J12" s="596"/>
      <c r="K12" s="596"/>
      <c r="L12" s="596"/>
      <c r="M12" s="596"/>
      <c r="N12" s="603"/>
    </row>
    <row r="13" spans="1:14" ht="18.600000000000001" customHeight="1" x14ac:dyDescent="0.25">
      <c r="A13" s="940"/>
      <c r="B13" s="1220" t="s">
        <v>977</v>
      </c>
      <c r="C13" s="596"/>
      <c r="D13" s="596"/>
      <c r="E13" s="596"/>
      <c r="F13" s="596"/>
      <c r="G13" s="596"/>
      <c r="H13" s="596"/>
      <c r="I13" s="596"/>
      <c r="J13" s="596"/>
      <c r="K13" s="596"/>
      <c r="L13" s="596"/>
      <c r="M13" s="596"/>
      <c r="N13" s="603"/>
    </row>
    <row r="14" spans="1:14" ht="18.600000000000001" customHeight="1" x14ac:dyDescent="0.25">
      <c r="A14" s="577"/>
      <c r="B14" s="1226" t="s">
        <v>978</v>
      </c>
      <c r="C14" s="582"/>
      <c r="D14" s="582"/>
      <c r="E14" s="582"/>
      <c r="F14" s="582"/>
      <c r="G14" s="582"/>
      <c r="H14" s="582"/>
      <c r="I14" s="582"/>
      <c r="J14" s="582"/>
      <c r="K14" s="582"/>
      <c r="L14" s="582"/>
      <c r="M14" s="582"/>
      <c r="N14" s="583"/>
    </row>
    <row r="15" spans="1:14" ht="22.5" customHeight="1" x14ac:dyDescent="0.25">
      <c r="A15" s="576" t="s">
        <v>979</v>
      </c>
      <c r="B15" s="1232" t="s">
        <v>980</v>
      </c>
      <c r="C15" s="579"/>
      <c r="D15" s="579"/>
      <c r="E15" s="579"/>
      <c r="F15" s="579"/>
      <c r="G15" s="579"/>
      <c r="H15" s="579"/>
      <c r="I15" s="579"/>
      <c r="J15" s="579"/>
      <c r="K15" s="579"/>
      <c r="L15" s="579"/>
      <c r="M15" s="579"/>
      <c r="N15" s="580"/>
    </row>
    <row r="16" spans="1:14" ht="22.5" customHeight="1" x14ac:dyDescent="0.25">
      <c r="A16" s="577"/>
      <c r="B16" s="1226" t="s">
        <v>981</v>
      </c>
      <c r="C16" s="582"/>
      <c r="D16" s="582"/>
      <c r="E16" s="582"/>
      <c r="F16" s="582"/>
      <c r="G16" s="582"/>
      <c r="H16" s="582"/>
      <c r="I16" s="582"/>
      <c r="J16" s="582"/>
      <c r="K16" s="582"/>
      <c r="L16" s="582"/>
      <c r="M16" s="582"/>
      <c r="N16" s="583"/>
    </row>
    <row r="17" spans="1:14" ht="17.45" customHeight="1" x14ac:dyDescent="0.25">
      <c r="A17" s="1230" t="s">
        <v>982</v>
      </c>
      <c r="B17" s="576" t="s">
        <v>983</v>
      </c>
      <c r="C17" s="579"/>
      <c r="D17" s="580"/>
      <c r="E17" s="584" t="s">
        <v>984</v>
      </c>
      <c r="F17" s="1143" t="s">
        <v>985</v>
      </c>
      <c r="G17" s="580"/>
      <c r="H17" s="584" t="s">
        <v>465</v>
      </c>
      <c r="I17" s="580"/>
      <c r="J17" s="584" t="s">
        <v>986</v>
      </c>
      <c r="K17" s="579"/>
      <c r="L17" s="580"/>
      <c r="M17" s="576" t="s">
        <v>54</v>
      </c>
      <c r="N17" s="584" t="s">
        <v>987</v>
      </c>
    </row>
    <row r="18" spans="1:14" ht="17.45" customHeight="1" x14ac:dyDescent="0.25">
      <c r="A18" s="940"/>
      <c r="B18" s="581"/>
      <c r="C18" s="582"/>
      <c r="D18" s="583"/>
      <c r="E18" s="577"/>
      <c r="F18" s="1228" t="s">
        <v>988</v>
      </c>
      <c r="G18" s="583"/>
      <c r="H18" s="581"/>
      <c r="I18" s="583"/>
      <c r="J18" s="581"/>
      <c r="K18" s="582"/>
      <c r="L18" s="583"/>
      <c r="M18" s="577"/>
      <c r="N18" s="577"/>
    </row>
    <row r="19" spans="1:14" ht="28.35" customHeight="1" x14ac:dyDescent="0.25">
      <c r="A19" s="940"/>
      <c r="B19" s="576" t="str">
        <f>word用!$H$2</f>
        <v>顏文祥</v>
      </c>
      <c r="C19" s="574"/>
      <c r="D19" s="575"/>
      <c r="E19" s="454">
        <f>VLOOKUP($B$19,個資,13,FALSE)</f>
        <v>0</v>
      </c>
      <c r="F19" s="584" t="str">
        <f>UPPER(VLOOKUP($B$19,個資,2,FALSE))</f>
        <v>A126819564</v>
      </c>
      <c r="G19" s="575"/>
      <c r="H19" s="584" t="str">
        <f>VLOOKUP($B$19,個資,11,FALSE)</f>
        <v>男</v>
      </c>
      <c r="I19" s="575"/>
      <c r="J19" s="584" t="str">
        <f>VLOOKUP($B$19,個資,16,FALSE)</f>
        <v>84.03.06</v>
      </c>
      <c r="K19" s="574"/>
      <c r="L19" s="575"/>
      <c r="M19" s="175" t="str">
        <f>VLOOKUP($B$19,個資,8,FALSE)</f>
        <v>收銀員</v>
      </c>
      <c r="N19" s="45"/>
    </row>
    <row r="20" spans="1:14" ht="28.35" customHeight="1" x14ac:dyDescent="0.25">
      <c r="A20" s="577"/>
      <c r="B20" s="576"/>
      <c r="C20" s="574"/>
      <c r="D20" s="575"/>
      <c r="E20" s="454" t="str">
        <f>IFERROR(VLOOKUP(B20,個資,18,FALSE),"")</f>
        <v/>
      </c>
      <c r="F20" s="584" t="str">
        <f>IFERROR(UPPER(VLOOKUP(B20,個資,2,FALSE)),"")</f>
        <v/>
      </c>
      <c r="G20" s="575"/>
      <c r="H20" s="584" t="str">
        <f>IFERROR(VLOOKUP(B20,個資,12,FALSE),"")</f>
        <v/>
      </c>
      <c r="I20" s="575"/>
      <c r="J20" s="584" t="str">
        <f>IFERROR(VLOOKUP(B20,個資,21,FALSE),"")</f>
        <v/>
      </c>
      <c r="K20" s="574"/>
      <c r="L20" s="575"/>
      <c r="M20" s="175" t="str">
        <f>IFERROR(VLOOKUP(B20,個資,9,FALSE),"")</f>
        <v/>
      </c>
      <c r="N20" s="45"/>
    </row>
    <row r="21" spans="1:14" ht="94.5" customHeight="1" x14ac:dyDescent="0.25">
      <c r="A21" s="1230" t="s">
        <v>989</v>
      </c>
      <c r="B21" s="1231" t="str">
        <f>CONCATENATE("警方於上開時、地，見其",輸入!$H$3,"，經警盤查並確認後，辨識結果",$B$19,"為",LEFT($B$19,10),"所報逃逸外勞行方不明人口，故帶返所製作相關資料，經查以上",COUNTA(B19:C20),"名未在台灣犯有其他刑案。")</f>
        <v>警方於上開時、地，見其，經警盤查並確認後，辨識結果顏文祥為顏文祥所報逃逸外勞行方不明人口，故帶返所製作相關資料，經查以上1名未在台灣犯有其他刑案。</v>
      </c>
      <c r="C21" s="574"/>
      <c r="D21" s="574"/>
      <c r="E21" s="574"/>
      <c r="F21" s="574"/>
      <c r="G21" s="574"/>
      <c r="H21" s="574"/>
      <c r="I21" s="574"/>
      <c r="J21" s="574"/>
      <c r="K21" s="574"/>
      <c r="L21" s="574"/>
      <c r="M21" s="574"/>
      <c r="N21" s="575"/>
    </row>
    <row r="22" spans="1:14" ht="62.25" customHeight="1" x14ac:dyDescent="0.25">
      <c r="A22" s="577"/>
      <c r="B22" s="733" t="s">
        <v>990</v>
      </c>
      <c r="C22" s="574"/>
      <c r="D22" s="574"/>
      <c r="E22" s="574"/>
      <c r="F22" s="574"/>
      <c r="G22" s="574"/>
      <c r="H22" s="574"/>
      <c r="I22" s="574"/>
      <c r="J22" s="574"/>
      <c r="K22" s="574"/>
      <c r="L22" s="574"/>
      <c r="M22" s="574"/>
      <c r="N22" s="575"/>
    </row>
    <row r="23" spans="1:14" ht="19.7" customHeight="1" x14ac:dyDescent="0.25">
      <c r="A23" s="584" t="s">
        <v>991</v>
      </c>
      <c r="B23" s="576" t="s">
        <v>992</v>
      </c>
      <c r="C23" s="574"/>
      <c r="D23" s="574"/>
      <c r="E23" s="574"/>
      <c r="F23" s="575"/>
      <c r="G23" s="576" t="s">
        <v>993</v>
      </c>
      <c r="H23" s="574"/>
      <c r="I23" s="574"/>
      <c r="J23" s="574"/>
      <c r="K23" s="574"/>
      <c r="L23" s="574"/>
      <c r="M23" s="574"/>
      <c r="N23" s="575"/>
    </row>
    <row r="24" spans="1:14" ht="36.75" customHeight="1" x14ac:dyDescent="0.25">
      <c r="A24" s="577"/>
      <c r="B24" s="1221" t="s">
        <v>994</v>
      </c>
      <c r="C24" s="574"/>
      <c r="D24" s="574"/>
      <c r="E24" s="574"/>
      <c r="F24" s="575"/>
      <c r="G24" s="1221" t="s">
        <v>994</v>
      </c>
      <c r="H24" s="574"/>
      <c r="I24" s="574"/>
      <c r="J24" s="574"/>
      <c r="K24" s="574"/>
      <c r="L24" s="574"/>
      <c r="M24" s="574"/>
      <c r="N24" s="575"/>
    </row>
    <row r="25" spans="1:14" ht="19.7" customHeight="1" x14ac:dyDescent="0.25">
      <c r="A25" s="576" t="s">
        <v>995</v>
      </c>
      <c r="B25" s="574"/>
      <c r="C25" s="574"/>
      <c r="D25" s="574"/>
      <c r="E25" s="574"/>
      <c r="F25" s="574"/>
      <c r="G25" s="574"/>
      <c r="H25" s="574"/>
      <c r="I25" s="574"/>
      <c r="J25" s="574"/>
      <c r="K25" s="574"/>
      <c r="L25" s="574"/>
      <c r="M25" s="574"/>
      <c r="N25" s="575"/>
    </row>
    <row r="26" spans="1:14" ht="19.7" customHeight="1" x14ac:dyDescent="0.25">
      <c r="A26" s="584" t="s">
        <v>996</v>
      </c>
      <c r="B26" s="580"/>
      <c r="C26" s="576" t="s">
        <v>997</v>
      </c>
      <c r="D26" s="574"/>
      <c r="E26" s="574"/>
      <c r="F26" s="575"/>
      <c r="G26" s="576" t="s">
        <v>993</v>
      </c>
      <c r="H26" s="574"/>
      <c r="I26" s="574"/>
      <c r="J26" s="574"/>
      <c r="K26" s="574"/>
      <c r="L26" s="574"/>
      <c r="M26" s="574"/>
      <c r="N26" s="575"/>
    </row>
    <row r="27" spans="1:14" ht="36.75" customHeight="1" x14ac:dyDescent="0.25">
      <c r="A27" s="581"/>
      <c r="B27" s="583"/>
      <c r="C27" s="1221" t="s">
        <v>994</v>
      </c>
      <c r="D27" s="574"/>
      <c r="E27" s="574"/>
      <c r="F27" s="575"/>
      <c r="G27" s="1221" t="s">
        <v>994</v>
      </c>
      <c r="H27" s="574"/>
      <c r="I27" s="574"/>
      <c r="J27" s="574"/>
      <c r="K27" s="574"/>
      <c r="L27" s="574"/>
      <c r="M27" s="574"/>
      <c r="N27" s="575"/>
    </row>
    <row r="34" spans="1:14" ht="16.5" customHeight="1" x14ac:dyDescent="0.25">
      <c r="A34" s="536"/>
      <c r="B34" s="536"/>
      <c r="C34" s="536"/>
      <c r="D34" s="536"/>
      <c r="E34" s="536"/>
      <c r="F34" s="536"/>
      <c r="G34" s="536"/>
      <c r="H34" s="536"/>
      <c r="I34" s="536"/>
      <c r="J34" s="536"/>
      <c r="K34" s="536"/>
      <c r="L34" s="536"/>
      <c r="M34" s="536"/>
      <c r="N34" s="536"/>
    </row>
    <row r="35" spans="1:14" ht="28.35" customHeight="1" x14ac:dyDescent="0.25">
      <c r="A35" s="177" t="s">
        <v>998</v>
      </c>
      <c r="B35" s="135"/>
      <c r="C35" s="135"/>
      <c r="D35" s="135"/>
      <c r="E35" s="135"/>
      <c r="F35" s="135"/>
      <c r="G35" s="135"/>
      <c r="H35" s="135"/>
      <c r="I35" s="135"/>
      <c r="J35" s="135"/>
      <c r="K35" s="135"/>
      <c r="L35" s="135"/>
      <c r="M35" s="135"/>
      <c r="N35" s="135"/>
    </row>
    <row r="36" spans="1:14" s="480" customFormat="1" ht="28.35" customHeight="1" x14ac:dyDescent="0.25">
      <c r="A36" s="178" t="s">
        <v>999</v>
      </c>
      <c r="B36" s="135"/>
      <c r="C36" s="135"/>
      <c r="D36" s="135"/>
      <c r="E36" s="135"/>
      <c r="F36" s="135"/>
      <c r="G36" s="135"/>
      <c r="H36" s="135"/>
      <c r="I36" s="135"/>
      <c r="J36" s="135"/>
      <c r="K36" s="135"/>
      <c r="L36" s="135"/>
      <c r="M36" s="135"/>
      <c r="N36" s="135"/>
    </row>
    <row r="37" spans="1:14" s="480" customFormat="1" ht="28.35" customHeight="1" x14ac:dyDescent="0.25">
      <c r="A37" s="540" t="s">
        <v>1000</v>
      </c>
      <c r="B37" s="135"/>
      <c r="C37" s="135"/>
      <c r="D37" s="135"/>
      <c r="E37" s="135"/>
      <c r="F37" s="135"/>
      <c r="G37" s="135"/>
      <c r="H37" s="135"/>
      <c r="I37" s="135"/>
      <c r="J37" s="135"/>
      <c r="K37" s="135"/>
      <c r="L37" s="135"/>
      <c r="M37" s="135"/>
      <c r="N37" s="135"/>
    </row>
    <row r="38" spans="1:14" s="480" customFormat="1" ht="28.35" customHeight="1" x14ac:dyDescent="0.25">
      <c r="A38" s="540" t="s">
        <v>1001</v>
      </c>
      <c r="B38" s="135"/>
      <c r="C38" s="135"/>
      <c r="D38" s="135"/>
      <c r="E38" s="135"/>
      <c r="F38" s="135"/>
      <c r="G38" s="135"/>
      <c r="H38" s="135"/>
      <c r="I38" s="135"/>
      <c r="J38" s="135"/>
      <c r="K38" s="135"/>
      <c r="L38" s="135"/>
      <c r="M38" s="135"/>
      <c r="N38" s="135"/>
    </row>
    <row r="39" spans="1:14" s="480" customFormat="1" ht="28.35" customHeight="1" x14ac:dyDescent="0.25">
      <c r="A39" s="540" t="s">
        <v>1002</v>
      </c>
      <c r="B39" s="135"/>
      <c r="C39" s="135"/>
      <c r="D39" s="135"/>
      <c r="E39" s="135"/>
      <c r="F39" s="135"/>
      <c r="G39" s="135"/>
      <c r="H39" s="135"/>
      <c r="I39" s="135"/>
      <c r="J39" s="135"/>
      <c r="K39" s="135"/>
      <c r="L39" s="135"/>
      <c r="M39" s="135"/>
      <c r="N39" s="135"/>
    </row>
    <row r="40" spans="1:14" s="480" customFormat="1" ht="28.35" customHeight="1" x14ac:dyDescent="0.25">
      <c r="A40" s="179" t="s">
        <v>1003</v>
      </c>
      <c r="B40" s="135"/>
      <c r="C40" s="135"/>
      <c r="D40" s="135"/>
      <c r="E40" s="135"/>
      <c r="F40" s="135"/>
      <c r="G40" s="135"/>
      <c r="H40" s="135"/>
      <c r="I40" s="135"/>
      <c r="J40" s="135"/>
      <c r="K40" s="135"/>
      <c r="L40" s="135"/>
      <c r="M40" s="135"/>
      <c r="N40" s="135"/>
    </row>
    <row r="41" spans="1:14" s="480" customFormat="1" ht="28.35" customHeight="1" x14ac:dyDescent="0.25">
      <c r="A41" s="540" t="s">
        <v>1004</v>
      </c>
      <c r="B41" s="135"/>
      <c r="C41" s="135"/>
      <c r="D41" s="135"/>
      <c r="E41" s="135"/>
      <c r="F41" s="135"/>
      <c r="G41" s="135"/>
      <c r="H41" s="135"/>
      <c r="I41" s="135"/>
      <c r="J41" s="135"/>
      <c r="K41" s="135"/>
      <c r="L41" s="135"/>
      <c r="M41" s="135"/>
      <c r="N41" s="135"/>
    </row>
    <row r="42" spans="1:14" s="480" customFormat="1" ht="28.35" customHeight="1" x14ac:dyDescent="0.25">
      <c r="A42" s="139" t="s">
        <v>1005</v>
      </c>
      <c r="B42" s="135"/>
      <c r="C42" s="135"/>
      <c r="D42" s="135"/>
      <c r="E42" s="135"/>
      <c r="F42" s="135"/>
      <c r="G42" s="135"/>
      <c r="H42" s="135"/>
      <c r="I42" s="135"/>
      <c r="J42" s="135"/>
      <c r="K42" s="135"/>
      <c r="L42" s="135"/>
      <c r="M42" s="135"/>
      <c r="N42" s="135"/>
    </row>
    <row r="43" spans="1:14" s="480" customFormat="1" ht="28.35" customHeight="1" x14ac:dyDescent="0.25">
      <c r="A43" s="139" t="s">
        <v>1006</v>
      </c>
      <c r="B43" s="135"/>
      <c r="C43" s="135"/>
      <c r="D43" s="135"/>
      <c r="E43" s="135"/>
      <c r="F43" s="135"/>
      <c r="G43" s="135"/>
      <c r="H43" s="135"/>
      <c r="I43" s="135"/>
      <c r="J43" s="135"/>
      <c r="K43" s="135"/>
      <c r="L43" s="135"/>
      <c r="M43" s="135"/>
      <c r="N43" s="135"/>
    </row>
    <row r="44" spans="1:14" s="480" customFormat="1" ht="28.35" customHeight="1" x14ac:dyDescent="0.25">
      <c r="A44" s="1229" t="s">
        <v>1007</v>
      </c>
      <c r="B44" s="764"/>
      <c r="C44" s="764"/>
      <c r="D44" s="540"/>
      <c r="E44" s="135"/>
      <c r="F44" s="135"/>
      <c r="G44" s="135"/>
      <c r="H44" s="135"/>
      <c r="I44" s="135"/>
      <c r="J44" s="135"/>
      <c r="K44" s="135"/>
      <c r="L44" s="135"/>
      <c r="M44" s="135"/>
      <c r="N44" s="135"/>
    </row>
    <row r="45" spans="1:14" s="480" customFormat="1" ht="28.35" customHeight="1" x14ac:dyDescent="0.25">
      <c r="A45" s="540" t="s">
        <v>1008</v>
      </c>
      <c r="B45" s="135"/>
      <c r="C45" s="135"/>
      <c r="D45" s="135"/>
      <c r="E45" s="135"/>
      <c r="F45" s="135"/>
      <c r="G45" s="135"/>
      <c r="H45" s="135"/>
      <c r="I45" s="135"/>
      <c r="J45" s="135"/>
      <c r="K45" s="135"/>
      <c r="L45" s="135"/>
      <c r="M45" s="135"/>
      <c r="N45" s="135"/>
    </row>
    <row r="46" spans="1:14" s="480" customFormat="1" ht="28.35" customHeight="1" x14ac:dyDescent="0.25">
      <c r="A46" s="139" t="s">
        <v>1009</v>
      </c>
      <c r="B46" s="135"/>
      <c r="C46" s="135"/>
      <c r="D46" s="135"/>
      <c r="E46" s="135"/>
      <c r="F46" s="135"/>
      <c r="G46" s="135"/>
      <c r="H46" s="135"/>
      <c r="I46" s="135"/>
      <c r="J46" s="135"/>
      <c r="K46" s="135"/>
      <c r="L46" s="135"/>
      <c r="M46" s="135"/>
      <c r="N46" s="135"/>
    </row>
    <row r="47" spans="1:14" s="480" customFormat="1" ht="28.35" customHeight="1" x14ac:dyDescent="0.25">
      <c r="A47" s="139" t="s">
        <v>1010</v>
      </c>
      <c r="B47" s="135"/>
      <c r="C47" s="135"/>
      <c r="D47" s="135"/>
      <c r="E47" s="135"/>
      <c r="F47" s="135"/>
      <c r="G47" s="135"/>
      <c r="H47" s="135"/>
      <c r="I47" s="135"/>
      <c r="J47" s="135"/>
      <c r="K47" s="135"/>
      <c r="L47" s="135"/>
      <c r="M47" s="135"/>
      <c r="N47" s="135"/>
    </row>
    <row r="48" spans="1:14" s="480" customFormat="1" ht="28.35" customHeight="1" x14ac:dyDescent="0.25">
      <c r="A48" s="540" t="s">
        <v>1011</v>
      </c>
      <c r="B48" s="135"/>
      <c r="C48" s="135"/>
      <c r="D48" s="135"/>
      <c r="E48" s="135"/>
      <c r="F48" s="135"/>
      <c r="G48" s="135"/>
      <c r="H48" s="135"/>
      <c r="I48" s="135"/>
      <c r="J48" s="135"/>
      <c r="K48" s="135"/>
      <c r="L48" s="135"/>
      <c r="M48" s="135"/>
      <c r="N48" s="135"/>
    </row>
    <row r="49" spans="1:14" s="480" customFormat="1" ht="28.35" customHeight="1" x14ac:dyDescent="0.25">
      <c r="A49" s="139" t="s">
        <v>1012</v>
      </c>
      <c r="B49" s="135"/>
      <c r="C49" s="135"/>
      <c r="D49" s="135"/>
      <c r="E49" s="135"/>
      <c r="F49" s="135"/>
      <c r="G49" s="135"/>
      <c r="H49" s="135"/>
      <c r="I49" s="135"/>
      <c r="J49" s="135"/>
      <c r="K49" s="135"/>
      <c r="L49" s="135"/>
      <c r="M49" s="135"/>
      <c r="N49" s="135"/>
    </row>
    <row r="50" spans="1:14" ht="28.35" customHeight="1" x14ac:dyDescent="0.25">
      <c r="A50" s="139" t="s">
        <v>1013</v>
      </c>
    </row>
    <row r="51" spans="1:14" ht="28.35" customHeight="1" x14ac:dyDescent="0.25">
      <c r="A51" s="178" t="s">
        <v>1014</v>
      </c>
    </row>
    <row r="52" spans="1:14" ht="28.35" customHeight="1" x14ac:dyDescent="0.25">
      <c r="A52" s="176" t="s">
        <v>1015</v>
      </c>
    </row>
  </sheetData>
  <mergeCells count="54">
    <mergeCell ref="K4:N4"/>
    <mergeCell ref="J19:L19"/>
    <mergeCell ref="H17:I18"/>
    <mergeCell ref="D4:J4"/>
    <mergeCell ref="E17:E18"/>
    <mergeCell ref="B6:N6"/>
    <mergeCell ref="D5:J5"/>
    <mergeCell ref="A26:B27"/>
    <mergeCell ref="H20:I20"/>
    <mergeCell ref="B9:N9"/>
    <mergeCell ref="F19:G19"/>
    <mergeCell ref="A11:A14"/>
    <mergeCell ref="B15:N15"/>
    <mergeCell ref="J20:L20"/>
    <mergeCell ref="G27:N27"/>
    <mergeCell ref="J17:L18"/>
    <mergeCell ref="G23:N23"/>
    <mergeCell ref="A25:N25"/>
    <mergeCell ref="B23:F23"/>
    <mergeCell ref="A21:A22"/>
    <mergeCell ref="B20:D20"/>
    <mergeCell ref="B22:N22"/>
    <mergeCell ref="A44:C44"/>
    <mergeCell ref="A4:A5"/>
    <mergeCell ref="M17:M18"/>
    <mergeCell ref="C26:F26"/>
    <mergeCell ref="A17:A20"/>
    <mergeCell ref="B12:N12"/>
    <mergeCell ref="G24:N24"/>
    <mergeCell ref="A23:A24"/>
    <mergeCell ref="B21:N21"/>
    <mergeCell ref="H19:I19"/>
    <mergeCell ref="B11:N11"/>
    <mergeCell ref="B14:N14"/>
    <mergeCell ref="G26:N26"/>
    <mergeCell ref="B24:F24"/>
    <mergeCell ref="A9:A10"/>
    <mergeCell ref="B8:N8"/>
    <mergeCell ref="J2:N2"/>
    <mergeCell ref="B13:N13"/>
    <mergeCell ref="A15:A16"/>
    <mergeCell ref="C27:F27"/>
    <mergeCell ref="B4:C4"/>
    <mergeCell ref="B10:N10"/>
    <mergeCell ref="B7:N7"/>
    <mergeCell ref="B3:N3"/>
    <mergeCell ref="B16:N16"/>
    <mergeCell ref="F17:G17"/>
    <mergeCell ref="B17:D18"/>
    <mergeCell ref="B5:C5"/>
    <mergeCell ref="B19:D19"/>
    <mergeCell ref="N17:N18"/>
    <mergeCell ref="F20:G20"/>
    <mergeCell ref="F18:G18"/>
  </mergeCells>
  <phoneticPr fontId="1" type="noConversion"/>
  <pageMargins left="0.51181102362204722" right="0" top="0.59055118110236227" bottom="0.39370078740157483" header="0" footer="0"/>
  <pageSetup paperSize="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工作表54"/>
  <dimension ref="A1:AY28"/>
  <sheetViews>
    <sheetView view="pageLayout" zoomScale="85" zoomScaleNormal="100" zoomScaleSheetLayoutView="100" zoomScalePageLayoutView="85" workbookViewId="0">
      <selection activeCell="C2" sqref="C2:D4"/>
    </sheetView>
  </sheetViews>
  <sheetFormatPr defaultRowHeight="16.5" x14ac:dyDescent="0.25"/>
  <cols>
    <col min="1" max="1" width="1.125" style="545" customWidth="1"/>
    <col min="2" max="2" width="1.375" style="545" customWidth="1"/>
    <col min="3" max="3" width="2.25" style="545" customWidth="1"/>
    <col min="4" max="4" width="9.75" style="545" customWidth="1"/>
    <col min="5" max="5" width="9.25" style="545" customWidth="1"/>
    <col min="6" max="6" width="1.375" style="545" customWidth="1"/>
    <col min="7" max="7" width="9.25" style="545" customWidth="1"/>
    <col min="8" max="8" width="6.625" style="545" customWidth="1"/>
    <col min="9" max="9" width="5.125" style="545" customWidth="1"/>
    <col min="10" max="10" width="4.25" style="545" customWidth="1"/>
    <col min="11" max="11" width="14.125" style="545" customWidth="1"/>
    <col min="12" max="12" width="0.875" style="545" customWidth="1"/>
    <col min="13" max="13" width="6.625" style="545" customWidth="1"/>
    <col min="14" max="14" width="7.5" style="545" customWidth="1"/>
    <col min="15" max="15" width="22.125" style="545" customWidth="1"/>
    <col min="16" max="16" width="1.125" style="545" customWidth="1"/>
    <col min="17" max="17" width="1.25" style="545" customWidth="1"/>
    <col min="51" max="51" width="9" style="545" customWidth="1"/>
  </cols>
  <sheetData>
    <row r="1" spans="2:16" ht="26.25" customHeight="1" x14ac:dyDescent="0.25">
      <c r="B1" s="538"/>
      <c r="C1" s="1240" t="s">
        <v>1016</v>
      </c>
      <c r="D1" s="574"/>
      <c r="E1" s="574"/>
      <c r="F1" s="574"/>
      <c r="G1" s="574"/>
      <c r="H1" s="574"/>
      <c r="I1" s="574"/>
      <c r="J1" s="574"/>
      <c r="K1" s="574"/>
      <c r="L1" s="574"/>
      <c r="M1" s="574"/>
      <c r="N1" s="574"/>
      <c r="O1" s="575"/>
      <c r="P1" s="538"/>
    </row>
    <row r="2" spans="2:16" ht="24" customHeight="1" x14ac:dyDescent="0.25">
      <c r="B2" s="1197"/>
      <c r="C2" s="777" t="s">
        <v>483</v>
      </c>
      <c r="D2" s="580"/>
      <c r="E2" s="1201" t="s">
        <v>484</v>
      </c>
      <c r="F2" s="579"/>
      <c r="G2" s="579"/>
      <c r="H2" s="579"/>
      <c r="I2" s="579"/>
      <c r="J2" s="579"/>
      <c r="K2" s="579"/>
      <c r="L2" s="579"/>
      <c r="M2" s="579"/>
      <c r="N2" s="579"/>
      <c r="O2" s="580"/>
      <c r="P2" s="1197"/>
    </row>
    <row r="3" spans="2:16" ht="24" customHeight="1" x14ac:dyDescent="0.25">
      <c r="B3" s="681"/>
      <c r="C3" s="601"/>
      <c r="D3" s="603"/>
      <c r="E3" s="799" t="str">
        <f>CONCATENATE("__",輸入!$S$18,"__",輸入!$T$18,"___",輸入!$S$19,"___",輸入!$T$19,"___隊___",輸入!$S$20,"__分駐/派出所")</f>
        <v>__臺北市__政府警察局___信義___分局___隊___吳興街__分駐/派出所</v>
      </c>
      <c r="F3" s="681"/>
      <c r="G3" s="681"/>
      <c r="H3" s="681"/>
      <c r="I3" s="681"/>
      <c r="J3" s="681"/>
      <c r="K3" s="681"/>
      <c r="L3" s="681"/>
      <c r="M3" s="681"/>
      <c r="N3" s="681"/>
      <c r="O3" s="603"/>
      <c r="P3" s="681"/>
    </row>
    <row r="4" spans="2:16" ht="24" customHeight="1" x14ac:dyDescent="0.25">
      <c r="B4" s="681"/>
      <c r="C4" s="581"/>
      <c r="D4" s="583"/>
      <c r="E4" s="779" t="s">
        <v>485</v>
      </c>
      <c r="F4" s="582"/>
      <c r="G4" s="582"/>
      <c r="H4" s="582"/>
      <c r="I4" s="582"/>
      <c r="J4" s="582"/>
      <c r="K4" s="582"/>
      <c r="L4" s="582"/>
      <c r="M4" s="582"/>
      <c r="N4" s="582"/>
      <c r="O4" s="583"/>
      <c r="P4" s="681"/>
    </row>
    <row r="5" spans="2:16" ht="33" customHeight="1" x14ac:dyDescent="0.25">
      <c r="B5" s="538"/>
      <c r="C5" s="777" t="s">
        <v>931</v>
      </c>
      <c r="D5" s="574"/>
      <c r="E5" s="575"/>
      <c r="F5" s="584" t="str">
        <f>word用!$H$2</f>
        <v>顏文祥</v>
      </c>
      <c r="G5" s="574"/>
      <c r="H5" s="575"/>
      <c r="I5" s="778" t="s">
        <v>932</v>
      </c>
      <c r="J5" s="603"/>
      <c r="K5" s="1247" t="s">
        <v>487</v>
      </c>
      <c r="L5" s="574"/>
      <c r="M5" s="574"/>
      <c r="N5" s="574"/>
      <c r="O5" s="575"/>
      <c r="P5" s="538"/>
    </row>
    <row r="6" spans="2:16" ht="45" customHeight="1" x14ac:dyDescent="0.25">
      <c r="B6" s="538"/>
      <c r="C6" s="777" t="s">
        <v>283</v>
      </c>
      <c r="D6" s="574"/>
      <c r="E6" s="575"/>
      <c r="F6" s="584" t="str">
        <f>IF(word用!$K$2="0","",word用!$K$2)</f>
        <v>0935680306</v>
      </c>
      <c r="G6" s="574"/>
      <c r="H6" s="575"/>
      <c r="I6" s="1238" t="s">
        <v>1017</v>
      </c>
      <c r="J6" s="603"/>
      <c r="K6" s="1231" t="s">
        <v>1018</v>
      </c>
      <c r="L6" s="579"/>
      <c r="M6" s="579"/>
      <c r="N6" s="579"/>
      <c r="O6" s="580"/>
      <c r="P6" s="538"/>
    </row>
    <row r="7" spans="2:16" ht="57" customHeight="1" x14ac:dyDescent="0.25">
      <c r="B7" s="538"/>
      <c r="C7" s="777" t="s">
        <v>1019</v>
      </c>
      <c r="D7" s="574"/>
      <c r="E7" s="575"/>
      <c r="F7" s="584" t="str">
        <f>UPPER(VLOOKUP($F$5,個資,2,FALSE))</f>
        <v>A126819564</v>
      </c>
      <c r="G7" s="574"/>
      <c r="H7" s="575"/>
      <c r="I7" s="601"/>
      <c r="J7" s="603"/>
      <c r="K7" s="581"/>
      <c r="L7" s="582"/>
      <c r="M7" s="582"/>
      <c r="N7" s="582"/>
      <c r="O7" s="583"/>
      <c r="P7" s="538"/>
    </row>
    <row r="8" spans="2:16" ht="52.5" customHeight="1" x14ac:dyDescent="0.25">
      <c r="B8" s="538"/>
      <c r="C8" s="777" t="s">
        <v>492</v>
      </c>
      <c r="D8" s="574"/>
      <c r="E8" s="575"/>
      <c r="F8" s="584" t="str">
        <f>呈報單!$G$15</f>
        <v>毀損</v>
      </c>
      <c r="G8" s="574"/>
      <c r="H8" s="575"/>
      <c r="I8" s="581"/>
      <c r="J8" s="583"/>
      <c r="K8" s="660" t="s">
        <v>1020</v>
      </c>
      <c r="L8" s="574"/>
      <c r="M8" s="574"/>
      <c r="N8" s="574"/>
      <c r="O8" s="575"/>
      <c r="P8" s="538"/>
    </row>
    <row r="9" spans="2:16" ht="27" customHeight="1" x14ac:dyDescent="0.25">
      <c r="B9" s="538"/>
      <c r="C9" s="1237" t="s">
        <v>496</v>
      </c>
      <c r="D9" s="574"/>
      <c r="E9" s="574"/>
      <c r="F9" s="574"/>
      <c r="G9" s="574"/>
      <c r="H9" s="574"/>
      <c r="I9" s="574"/>
      <c r="J9" s="574"/>
      <c r="K9" s="574"/>
      <c r="L9" s="574"/>
      <c r="M9" s="574"/>
      <c r="N9" s="574"/>
      <c r="O9" s="575"/>
      <c r="P9" s="538"/>
    </row>
    <row r="10" spans="2:16" ht="26.25" customHeight="1" thickBot="1" x14ac:dyDescent="0.3">
      <c r="B10" s="538"/>
      <c r="C10" s="1236" t="str">
        <f>CONCATENATE("偵訊機關地址：",輸入!S23)</f>
        <v>偵訊機關地址：台北市信義區吳興街262號</v>
      </c>
      <c r="D10" s="579"/>
      <c r="E10" s="579"/>
      <c r="F10" s="579"/>
      <c r="G10" s="579"/>
      <c r="H10" s="579"/>
      <c r="I10" s="579"/>
      <c r="J10" s="579"/>
      <c r="K10" s="579"/>
      <c r="L10" s="579"/>
      <c r="M10" s="579"/>
      <c r="N10" s="579"/>
      <c r="O10" s="580"/>
      <c r="P10" s="538"/>
    </row>
    <row r="11" spans="2:16" ht="27" customHeight="1" x14ac:dyDescent="0.25">
      <c r="B11" s="1243" t="s">
        <v>940</v>
      </c>
      <c r="C11" s="786"/>
      <c r="D11" s="1241" t="s">
        <v>1021</v>
      </c>
      <c r="E11" s="721"/>
      <c r="F11" s="786"/>
      <c r="G11" s="1239" t="s">
        <v>1022</v>
      </c>
      <c r="H11" s="721"/>
      <c r="I11" s="721"/>
      <c r="J11" s="721"/>
      <c r="K11" s="721"/>
      <c r="L11" s="721"/>
      <c r="M11" s="721"/>
      <c r="N11" s="721"/>
      <c r="O11" s="721"/>
      <c r="P11" s="722"/>
    </row>
    <row r="12" spans="2:16" ht="32.25" customHeight="1" x14ac:dyDescent="0.25">
      <c r="B12" s="731"/>
      <c r="C12" s="603"/>
      <c r="D12" s="732"/>
      <c r="E12" s="582"/>
      <c r="F12" s="583"/>
      <c r="G12" s="581"/>
      <c r="H12" s="582"/>
      <c r="I12" s="582"/>
      <c r="J12" s="582"/>
      <c r="K12" s="582"/>
      <c r="L12" s="582"/>
      <c r="M12" s="582"/>
      <c r="N12" s="582"/>
      <c r="O12" s="582"/>
      <c r="P12" s="812"/>
    </row>
    <row r="13" spans="2:16" ht="21.75" customHeight="1" x14ac:dyDescent="0.25">
      <c r="B13" s="731"/>
      <c r="C13" s="603"/>
      <c r="D13" s="816" t="s">
        <v>1023</v>
      </c>
      <c r="E13" s="579"/>
      <c r="F13" s="580"/>
      <c r="G13" s="1143" t="s">
        <v>1024</v>
      </c>
      <c r="H13" s="579"/>
      <c r="I13" s="579"/>
      <c r="J13" s="579"/>
      <c r="K13" s="579"/>
      <c r="L13" s="580"/>
      <c r="M13" s="787" t="s">
        <v>947</v>
      </c>
      <c r="N13" s="580"/>
      <c r="O13" s="402"/>
      <c r="P13" s="403"/>
    </row>
    <row r="14" spans="2:16" ht="18" customHeight="1" x14ac:dyDescent="0.25">
      <c r="B14" s="731"/>
      <c r="C14" s="603"/>
      <c r="D14" s="731"/>
      <c r="E14" s="681"/>
      <c r="F14" s="603"/>
      <c r="G14" s="803" t="s">
        <v>1025</v>
      </c>
      <c r="H14" s="681"/>
      <c r="I14" s="681"/>
      <c r="J14" s="681"/>
      <c r="K14" s="681"/>
      <c r="L14" s="603"/>
      <c r="M14" s="601"/>
      <c r="N14" s="603"/>
      <c r="O14" s="404"/>
      <c r="P14" s="405"/>
    </row>
    <row r="15" spans="2:16" ht="22.5" customHeight="1" x14ac:dyDescent="0.25">
      <c r="B15" s="731"/>
      <c r="C15" s="603"/>
      <c r="D15" s="731"/>
      <c r="E15" s="681"/>
      <c r="F15" s="603"/>
      <c r="G15" s="789" t="s">
        <v>1026</v>
      </c>
      <c r="H15" s="681"/>
      <c r="I15" s="681"/>
      <c r="J15" s="681"/>
      <c r="K15" s="681"/>
      <c r="L15" s="603"/>
      <c r="M15" s="601"/>
      <c r="N15" s="603"/>
      <c r="O15" s="793" t="s">
        <v>952</v>
      </c>
      <c r="P15" s="727"/>
    </row>
    <row r="16" spans="2:16" ht="24.75" customHeight="1" thickBot="1" x14ac:dyDescent="0.3">
      <c r="B16" s="732"/>
      <c r="C16" s="583"/>
      <c r="D16" s="817"/>
      <c r="E16" s="771"/>
      <c r="F16" s="807"/>
      <c r="G16" s="806" t="s">
        <v>1027</v>
      </c>
      <c r="H16" s="771"/>
      <c r="I16" s="771"/>
      <c r="J16" s="771"/>
      <c r="K16" s="771"/>
      <c r="L16" s="807"/>
      <c r="M16" s="581"/>
      <c r="N16" s="583"/>
      <c r="O16" s="794"/>
      <c r="P16" s="795"/>
    </row>
    <row r="17" spans="2:16" ht="69.75" customHeight="1" thickBot="1" x14ac:dyDescent="0.3">
      <c r="B17" s="1244" t="s">
        <v>1028</v>
      </c>
      <c r="C17" s="797"/>
      <c r="D17" s="797"/>
      <c r="E17" s="797"/>
      <c r="F17" s="797"/>
      <c r="G17" s="797"/>
      <c r="H17" s="797"/>
      <c r="I17" s="797"/>
      <c r="J17" s="797"/>
      <c r="K17" s="797"/>
      <c r="L17" s="797"/>
      <c r="M17" s="797"/>
      <c r="N17" s="797"/>
      <c r="O17" s="797"/>
      <c r="P17" s="798"/>
    </row>
    <row r="18" spans="2:16" ht="18.75" customHeight="1" x14ac:dyDescent="0.25">
      <c r="B18" s="538"/>
      <c r="C18" s="801" t="s">
        <v>508</v>
      </c>
      <c r="D18" s="681"/>
      <c r="E18" s="603"/>
      <c r="F18" s="785" t="str">
        <f>CONCATENATE(輸入!$T$24,"  ",輸入!$U$24,)</f>
        <v>警員  蘇詠棠</v>
      </c>
      <c r="G18" s="721"/>
      <c r="H18" s="721"/>
      <c r="I18" s="721"/>
      <c r="J18" s="786"/>
      <c r="K18" s="485" t="s">
        <v>509</v>
      </c>
      <c r="L18" s="594" t="str">
        <f>輸入!$T$21</f>
        <v>(02)27398997</v>
      </c>
      <c r="M18" s="574"/>
      <c r="N18" s="574"/>
      <c r="O18" s="575"/>
      <c r="P18" s="538"/>
    </row>
    <row r="19" spans="2:16" ht="18.75" customHeight="1" x14ac:dyDescent="0.25">
      <c r="B19" s="538"/>
      <c r="C19" s="581"/>
      <c r="D19" s="582"/>
      <c r="E19" s="583"/>
      <c r="F19" s="581"/>
      <c r="G19" s="582"/>
      <c r="H19" s="582"/>
      <c r="I19" s="582"/>
      <c r="J19" s="583"/>
      <c r="K19" s="485" t="s">
        <v>510</v>
      </c>
      <c r="L19" s="594" t="str">
        <f>輸入!$T$22</f>
        <v>(02)27398997</v>
      </c>
      <c r="M19" s="574"/>
      <c r="N19" s="574"/>
      <c r="O19" s="575"/>
      <c r="P19" s="538"/>
    </row>
    <row r="20" spans="2:16" ht="18.75" customHeight="1" x14ac:dyDescent="0.25">
      <c r="B20" s="538"/>
      <c r="C20" s="777" t="s">
        <v>511</v>
      </c>
      <c r="D20" s="574"/>
      <c r="E20" s="575"/>
      <c r="F20" s="765" t="str">
        <f>IF(OR(輸入!$C$2="通緝",輸入!$C$2="公共危險",輸入!$C$2=調閱用!$K$1),CONCATENATE(LEFT(下拉用!$J$10,10),"     時     分"),CONCATENATE(下拉用!$J$10))</f>
        <v>日期：中華民國 年月日</v>
      </c>
      <c r="G20" s="574"/>
      <c r="H20" s="574"/>
      <c r="I20" s="574"/>
      <c r="J20" s="574"/>
      <c r="K20" s="574"/>
      <c r="L20" s="574"/>
      <c r="M20" s="574"/>
      <c r="N20" s="574"/>
      <c r="O20" s="575"/>
      <c r="P20" s="538"/>
    </row>
    <row r="21" spans="2:16" ht="36.75" customHeight="1" x14ac:dyDescent="0.25">
      <c r="B21" s="538"/>
      <c r="C21" s="1242" t="s">
        <v>513</v>
      </c>
      <c r="D21" s="575"/>
      <c r="E21" s="1231" t="s">
        <v>514</v>
      </c>
      <c r="F21" s="574"/>
      <c r="G21" s="574"/>
      <c r="H21" s="574"/>
      <c r="I21" s="574"/>
      <c r="J21" s="574"/>
      <c r="K21" s="574"/>
      <c r="L21" s="574"/>
      <c r="M21" s="574"/>
      <c r="N21" s="574"/>
      <c r="O21" s="575"/>
      <c r="P21" s="538"/>
    </row>
    <row r="22" spans="2:16" ht="19.5" customHeight="1" x14ac:dyDescent="0.25">
      <c r="B22" s="401" t="s">
        <v>431</v>
      </c>
      <c r="C22" s="401"/>
      <c r="D22" s="401"/>
      <c r="E22" s="401"/>
      <c r="F22" s="401"/>
      <c r="G22" s="406"/>
      <c r="H22" s="1245" t="s">
        <v>1029</v>
      </c>
      <c r="I22" s="574"/>
      <c r="J22" s="574"/>
      <c r="K22" s="574"/>
      <c r="L22" s="574"/>
      <c r="M22" s="574"/>
      <c r="N22" s="401"/>
      <c r="O22" s="401"/>
      <c r="P22" s="401"/>
    </row>
    <row r="23" spans="2:16" ht="29.25" customHeight="1" x14ac:dyDescent="0.25">
      <c r="C23" s="790" t="s">
        <v>516</v>
      </c>
      <c r="D23" s="579"/>
      <c r="E23" s="580"/>
      <c r="F23" s="784" t="s">
        <v>517</v>
      </c>
      <c r="G23" s="579"/>
      <c r="H23" s="579"/>
      <c r="I23" s="579"/>
      <c r="J23" s="579"/>
      <c r="K23" s="579"/>
      <c r="L23" s="579"/>
      <c r="M23" s="579"/>
      <c r="N23" s="579"/>
      <c r="O23" s="580"/>
    </row>
    <row r="24" spans="2:16" ht="38.25" customHeight="1" x14ac:dyDescent="0.25">
      <c r="C24" s="777" t="s">
        <v>518</v>
      </c>
      <c r="D24" s="574"/>
      <c r="E24" s="575"/>
      <c r="F24" s="818" t="s">
        <v>519</v>
      </c>
      <c r="G24" s="574"/>
      <c r="H24" s="574"/>
      <c r="I24" s="574"/>
      <c r="J24" s="574"/>
      <c r="K24" s="574"/>
      <c r="L24" s="574"/>
      <c r="M24" s="574"/>
      <c r="N24" s="574"/>
      <c r="O24" s="575"/>
    </row>
    <row r="25" spans="2:16" ht="21.75" customHeight="1" x14ac:dyDescent="0.25">
      <c r="C25" s="777" t="s">
        <v>520</v>
      </c>
      <c r="D25" s="574"/>
      <c r="E25" s="575"/>
      <c r="F25" s="592"/>
      <c r="G25" s="574"/>
      <c r="H25" s="574"/>
      <c r="I25" s="574"/>
      <c r="J25" s="575"/>
      <c r="K25" s="777" t="s">
        <v>521</v>
      </c>
      <c r="L25" s="575"/>
      <c r="M25" s="594"/>
      <c r="N25" s="574"/>
      <c r="O25" s="575"/>
    </row>
    <row r="26" spans="2:16" ht="21" customHeight="1" x14ac:dyDescent="0.25">
      <c r="C26" s="777" t="s">
        <v>522</v>
      </c>
      <c r="D26" s="579"/>
      <c r="E26" s="580"/>
      <c r="F26" s="1246"/>
      <c r="G26" s="681"/>
      <c r="H26" s="681"/>
      <c r="I26" s="681"/>
      <c r="J26" s="603"/>
      <c r="K26" s="777" t="s">
        <v>509</v>
      </c>
      <c r="L26" s="575"/>
      <c r="M26" s="1248" t="s">
        <v>523</v>
      </c>
      <c r="N26" s="574"/>
      <c r="O26" s="575"/>
    </row>
    <row r="27" spans="2:16" ht="21" customHeight="1" x14ac:dyDescent="0.25">
      <c r="C27" s="581"/>
      <c r="D27" s="582"/>
      <c r="E27" s="583"/>
      <c r="F27" s="581"/>
      <c r="G27" s="582"/>
      <c r="H27" s="582"/>
      <c r="I27" s="582"/>
      <c r="J27" s="583"/>
      <c r="K27" s="777" t="s">
        <v>510</v>
      </c>
      <c r="L27" s="575"/>
      <c r="M27" s="1248" t="s">
        <v>524</v>
      </c>
      <c r="N27" s="574"/>
      <c r="O27" s="575"/>
    </row>
    <row r="28" spans="2:16" ht="21" customHeight="1" x14ac:dyDescent="0.25">
      <c r="C28" s="777" t="s">
        <v>525</v>
      </c>
      <c r="D28" s="574"/>
      <c r="E28" s="575"/>
      <c r="F28" s="765" t="s">
        <v>519</v>
      </c>
      <c r="G28" s="574"/>
      <c r="H28" s="574"/>
      <c r="I28" s="574"/>
      <c r="J28" s="574"/>
      <c r="K28" s="574"/>
      <c r="L28" s="574"/>
      <c r="M28" s="574"/>
      <c r="N28" s="574"/>
      <c r="O28" s="575"/>
    </row>
  </sheetData>
  <mergeCells count="58">
    <mergeCell ref="F28:O28"/>
    <mergeCell ref="F26:J27"/>
    <mergeCell ref="E3:O3"/>
    <mergeCell ref="K25:L25"/>
    <mergeCell ref="F5:H5"/>
    <mergeCell ref="F8:H8"/>
    <mergeCell ref="K5:O5"/>
    <mergeCell ref="K26:L26"/>
    <mergeCell ref="M27:O27"/>
    <mergeCell ref="E4:O4"/>
    <mergeCell ref="C8:E8"/>
    <mergeCell ref="M26:O26"/>
    <mergeCell ref="C7:E7"/>
    <mergeCell ref="C28:E28"/>
    <mergeCell ref="C26:E27"/>
    <mergeCell ref="G16:L16"/>
    <mergeCell ref="K27:L27"/>
    <mergeCell ref="I5:J5"/>
    <mergeCell ref="B11:C16"/>
    <mergeCell ref="C20:E20"/>
    <mergeCell ref="E21:O21"/>
    <mergeCell ref="G13:L13"/>
    <mergeCell ref="F25:J25"/>
    <mergeCell ref="M25:O25"/>
    <mergeCell ref="M13:N16"/>
    <mergeCell ref="B17:P17"/>
    <mergeCell ref="G15:L15"/>
    <mergeCell ref="C18:E19"/>
    <mergeCell ref="G14:L14"/>
    <mergeCell ref="C23:E23"/>
    <mergeCell ref="H22:M22"/>
    <mergeCell ref="L19:O19"/>
    <mergeCell ref="B2:B4"/>
    <mergeCell ref="F24:O24"/>
    <mergeCell ref="C1:O1"/>
    <mergeCell ref="F20:O20"/>
    <mergeCell ref="L18:O18"/>
    <mergeCell ref="K8:O8"/>
    <mergeCell ref="O15:P16"/>
    <mergeCell ref="K6:O7"/>
    <mergeCell ref="D11:F12"/>
    <mergeCell ref="C21:D21"/>
    <mergeCell ref="C25:E25"/>
    <mergeCell ref="P2:P4"/>
    <mergeCell ref="C6:E6"/>
    <mergeCell ref="C24:E24"/>
    <mergeCell ref="C10:O10"/>
    <mergeCell ref="C2:D4"/>
    <mergeCell ref="F6:H6"/>
    <mergeCell ref="C5:E5"/>
    <mergeCell ref="C9:O9"/>
    <mergeCell ref="F23:O23"/>
    <mergeCell ref="D13:F16"/>
    <mergeCell ref="F18:J19"/>
    <mergeCell ref="F7:H7"/>
    <mergeCell ref="I6:J8"/>
    <mergeCell ref="G11:P12"/>
    <mergeCell ref="E2:O2"/>
  </mergeCells>
  <phoneticPr fontId="1" type="noConversion"/>
  <pageMargins left="0.23622047244094491" right="0.23622047244094491" top="0.74803149606299213" bottom="0.74803149606299213" header="0.31496062992125978" footer="0.31496062992125978"/>
  <pageSetup paperSize="9" scale="93"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工作表7">
    <tabColor rgb="FFFFC000"/>
  </sheetPr>
  <dimension ref="A1:BJ27"/>
  <sheetViews>
    <sheetView view="pageBreakPreview" zoomScale="85" zoomScaleNormal="100" zoomScaleSheetLayoutView="85" workbookViewId="0">
      <selection activeCell="A11" sqref="A11:F13"/>
    </sheetView>
  </sheetViews>
  <sheetFormatPr defaultRowHeight="16.5" x14ac:dyDescent="0.25"/>
  <cols>
    <col min="1" max="1" width="25.25" style="545" customWidth="1"/>
    <col min="2" max="3" width="6.125" style="545" customWidth="1"/>
    <col min="4" max="4" width="19.25" style="545" customWidth="1"/>
    <col min="5" max="5" width="16.125" style="545" customWidth="1"/>
    <col min="6" max="6" width="14.5" style="545" customWidth="1"/>
    <col min="7" max="62" width="2.75" style="545" customWidth="1"/>
  </cols>
  <sheetData>
    <row r="1" spans="1:6" ht="30" customHeight="1" thickBot="1" x14ac:dyDescent="0.3">
      <c r="A1" s="856" t="s">
        <v>1030</v>
      </c>
      <c r="B1" s="846"/>
      <c r="C1" s="846"/>
      <c r="D1" s="846"/>
      <c r="E1" s="846"/>
      <c r="F1" s="846"/>
    </row>
    <row r="2" spans="1:6" ht="21" customHeight="1" thickTop="1" thickBot="1" x14ac:dyDescent="0.3">
      <c r="A2" s="65" t="s">
        <v>547</v>
      </c>
      <c r="B2" s="64" t="s">
        <v>67</v>
      </c>
      <c r="C2" s="64" t="s">
        <v>548</v>
      </c>
      <c r="D2" s="64" t="s">
        <v>549</v>
      </c>
      <c r="E2" s="64" t="s">
        <v>299</v>
      </c>
      <c r="F2" s="63" t="s">
        <v>472</v>
      </c>
    </row>
    <row r="3" spans="1:6" ht="41.25" customHeight="1" thickTop="1" thickBot="1" x14ac:dyDescent="0.3">
      <c r="A3" s="62"/>
      <c r="B3" s="61"/>
      <c r="C3" s="61"/>
      <c r="D3" s="61"/>
      <c r="E3" s="60"/>
      <c r="F3" s="57"/>
    </row>
    <row r="4" spans="1:6" ht="41.25" customHeight="1" thickTop="1" thickBot="1" x14ac:dyDescent="0.3">
      <c r="A4" s="59"/>
      <c r="B4" s="58"/>
      <c r="C4" s="58"/>
      <c r="D4" s="58"/>
      <c r="E4" s="58"/>
      <c r="F4" s="57"/>
    </row>
    <row r="5" spans="1:6" ht="41.25" customHeight="1" thickTop="1" thickBot="1" x14ac:dyDescent="0.3">
      <c r="A5" s="59"/>
      <c r="B5" s="58"/>
      <c r="C5" s="58"/>
      <c r="D5" s="58"/>
      <c r="E5" s="58"/>
      <c r="F5" s="57"/>
    </row>
    <row r="6" spans="1:6" ht="41.25" customHeight="1" thickTop="1" thickBot="1" x14ac:dyDescent="0.3">
      <c r="A6" s="59"/>
      <c r="B6" s="58"/>
      <c r="C6" s="58"/>
      <c r="D6" s="58"/>
      <c r="E6" s="58"/>
      <c r="F6" s="57"/>
    </row>
    <row r="7" spans="1:6" ht="41.25" customHeight="1" thickTop="1" thickBot="1" x14ac:dyDescent="0.3">
      <c r="A7" s="59"/>
      <c r="B7" s="58"/>
      <c r="C7" s="58"/>
      <c r="D7" s="58"/>
      <c r="E7" s="58"/>
      <c r="F7" s="57"/>
    </row>
    <row r="8" spans="1:6" ht="41.25" customHeight="1" thickTop="1" thickBot="1" x14ac:dyDescent="0.3">
      <c r="A8" s="59"/>
      <c r="B8" s="58"/>
      <c r="C8" s="58"/>
      <c r="D8" s="58"/>
      <c r="E8" s="58"/>
      <c r="F8" s="57"/>
    </row>
    <row r="9" spans="1:6" ht="41.25" customHeight="1" thickTop="1" thickBot="1" x14ac:dyDescent="0.3">
      <c r="A9" s="59"/>
      <c r="B9" s="58"/>
      <c r="C9" s="58"/>
      <c r="D9" s="58"/>
      <c r="E9" s="58"/>
      <c r="F9" s="57"/>
    </row>
    <row r="10" spans="1:6" ht="8.25" customHeight="1" thickTop="1" x14ac:dyDescent="0.25">
      <c r="A10" s="56"/>
      <c r="B10" s="56"/>
      <c r="C10" s="56"/>
      <c r="D10" s="56"/>
      <c r="E10" s="56"/>
      <c r="F10" s="56"/>
    </row>
    <row r="11" spans="1:6" ht="23.25" customHeight="1" x14ac:dyDescent="0.25">
      <c r="A11" s="857" t="str">
        <f>CONCATENATE("上列物品係本人於民國",下拉用!$J$4,"在",輸入!$C$7,"遭",呈報單!$G$15,"，於報案後經貴單位查(破)獲並經本人認明相符，蒙將遭",呈報單!$G$15,"之物品發還具領保管，如有冒領情事願負法律責任。（貴重物品附保證人蓋章及",呈報單!$G$15,"報案證明）")</f>
        <v>上列物品係本人於民國115年09月12日13時30分在臺北市信義區吳興街206號遭毀損，於報案後經貴單位查(破)獲並經本人認明相符，蒙將遭毀損之物品發還具領保管，如有冒領情事願負法律責任。（貴重物品附保證人蓋章及毀損報案證明）</v>
      </c>
      <c r="B11" s="681"/>
      <c r="C11" s="681"/>
      <c r="D11" s="681"/>
      <c r="E11" s="681"/>
      <c r="F11" s="681"/>
    </row>
    <row r="12" spans="1:6" ht="23.25" customHeight="1" x14ac:dyDescent="0.25">
      <c r="A12" s="681"/>
      <c r="B12" s="681"/>
      <c r="C12" s="681"/>
      <c r="D12" s="681"/>
      <c r="E12" s="681"/>
      <c r="F12" s="681"/>
    </row>
    <row r="13" spans="1:6" ht="23.25" customHeight="1" x14ac:dyDescent="0.25">
      <c r="A13" s="681"/>
      <c r="B13" s="681"/>
      <c r="C13" s="681"/>
      <c r="D13" s="681"/>
      <c r="E13" s="681"/>
      <c r="F13" s="681"/>
    </row>
    <row r="14" spans="1:6" ht="12" customHeight="1" x14ac:dyDescent="0.25">
      <c r="A14" s="494"/>
      <c r="B14" s="494"/>
      <c r="C14" s="494"/>
      <c r="D14" s="494"/>
      <c r="E14" s="494"/>
      <c r="F14" s="494"/>
    </row>
    <row r="15" spans="1:6" ht="23.25" customHeight="1" x14ac:dyDescent="0.25">
      <c r="A15" s="52" t="s">
        <v>552</v>
      </c>
    </row>
    <row r="16" spans="1:6" ht="33" customHeight="1" x14ac:dyDescent="0.25">
      <c r="A16" s="53" t="str">
        <f>CONCATENATE(輸入!$S$18,輸入!$T$18,輸入!$S$19,輸入!$T$19)</f>
        <v>臺北市政府警察局信義分局</v>
      </c>
    </row>
    <row r="17" spans="1:6" ht="30" customHeight="1" x14ac:dyDescent="0.25">
      <c r="A17" s="52" t="s">
        <v>1031</v>
      </c>
      <c r="B17" s="52"/>
      <c r="C17" s="52"/>
      <c r="D17" s="52" t="s">
        <v>1032</v>
      </c>
      <c r="E17" s="52"/>
      <c r="F17" s="52"/>
    </row>
    <row r="18" spans="1:6" ht="30" customHeight="1" x14ac:dyDescent="0.25">
      <c r="A18" s="495" t="s">
        <v>1033</v>
      </c>
      <c r="B18" s="495"/>
      <c r="C18" s="495"/>
      <c r="D18" s="495"/>
      <c r="E18" s="495"/>
      <c r="F18" s="495"/>
    </row>
    <row r="19" spans="1:6" ht="30" customHeight="1" x14ac:dyDescent="0.25">
      <c r="A19" s="52" t="s">
        <v>1034</v>
      </c>
    </row>
    <row r="20" spans="1:6" ht="30" customHeight="1" x14ac:dyDescent="0.25">
      <c r="A20" s="495" t="s">
        <v>1035</v>
      </c>
    </row>
    <row r="21" spans="1:6" ht="30" customHeight="1" x14ac:dyDescent="0.25">
      <c r="A21" s="55"/>
    </row>
    <row r="22" spans="1:6" ht="30" customHeight="1" x14ac:dyDescent="0.25">
      <c r="A22" s="52" t="s">
        <v>1036</v>
      </c>
      <c r="B22" s="67"/>
      <c r="C22" s="67"/>
      <c r="D22" s="52" t="s">
        <v>1037</v>
      </c>
    </row>
    <row r="23" spans="1:6" ht="30" customHeight="1" x14ac:dyDescent="0.25">
      <c r="A23" s="66" t="s">
        <v>1038</v>
      </c>
      <c r="B23" s="67"/>
      <c r="C23" s="67"/>
      <c r="D23" s="52" t="s">
        <v>1039</v>
      </c>
    </row>
    <row r="24" spans="1:6" ht="30" customHeight="1" x14ac:dyDescent="0.25">
      <c r="A24" s="52" t="s">
        <v>555</v>
      </c>
      <c r="B24" s="67"/>
      <c r="C24" s="67"/>
      <c r="D24" s="67"/>
    </row>
    <row r="25" spans="1:6" ht="22.5" customHeight="1" x14ac:dyDescent="0.25">
      <c r="A25" s="54"/>
    </row>
    <row r="26" spans="1:6" ht="18.75" customHeight="1" x14ac:dyDescent="0.25">
      <c r="A26" s="54"/>
    </row>
    <row r="27" spans="1:6" ht="25.5" customHeight="1" x14ac:dyDescent="0.25">
      <c r="A27" s="53" t="s">
        <v>556</v>
      </c>
    </row>
  </sheetData>
  <mergeCells count="2">
    <mergeCell ref="A11:F13"/>
    <mergeCell ref="A1:F1"/>
  </mergeCells>
  <phoneticPr fontId="1" type="noConversion"/>
  <pageMargins left="0.7" right="0.7" top="0.75" bottom="0.75" header="0.3" footer="0.3"/>
  <pageSetup paperSize="9" scale="95"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工作表40">
    <tabColor theme="9" tint="-0.499984740745262"/>
  </sheetPr>
  <dimension ref="A1:K9"/>
  <sheetViews>
    <sheetView view="pageBreakPreview" zoomScale="85" zoomScaleNormal="100" zoomScaleSheetLayoutView="85" zoomScalePageLayoutView="55" workbookViewId="0">
      <selection activeCell="B4" sqref="B4:K4"/>
    </sheetView>
  </sheetViews>
  <sheetFormatPr defaultRowHeight="16.5" x14ac:dyDescent="0.25"/>
  <cols>
    <col min="1" max="1" width="8.375" style="505" customWidth="1"/>
    <col min="2" max="2" width="17.375" style="505" customWidth="1"/>
    <col min="3" max="3" width="6.625" style="505" customWidth="1"/>
    <col min="4" max="4" width="5.75" style="505" customWidth="1"/>
    <col min="5" max="5" width="7" style="505" customWidth="1"/>
    <col min="6" max="6" width="1.5" style="505" customWidth="1"/>
    <col min="7" max="7" width="5.5" style="505" customWidth="1"/>
    <col min="8" max="8" width="6.125" style="505" customWidth="1"/>
    <col min="9" max="9" width="2.25" style="505" customWidth="1"/>
    <col min="10" max="10" width="4.375" style="505" customWidth="1"/>
    <col min="11" max="11" width="19" style="505" customWidth="1"/>
    <col min="12" max="12" width="9" style="505" customWidth="1"/>
    <col min="13" max="16384" width="9" style="505"/>
  </cols>
  <sheetData>
    <row r="1" spans="1:11" ht="25.5" customHeight="1" x14ac:dyDescent="0.25">
      <c r="A1" s="1251" t="str">
        <f>CONCATENATE(,輸入!S18,輸入!T18,輸入!S19,輸入!T19,"執行勤務績效獎勵金申請陳報單")</f>
        <v>臺北市政府警察局信義分局執行勤務績效獎勵金申請陳報單</v>
      </c>
      <c r="B1" s="721"/>
      <c r="C1" s="721"/>
      <c r="D1" s="721"/>
      <c r="E1" s="721"/>
      <c r="F1" s="721"/>
      <c r="G1" s="721"/>
      <c r="H1" s="371" t="s">
        <v>378</v>
      </c>
      <c r="I1" s="287"/>
      <c r="J1" s="1254" t="str">
        <f>LEFT(呈報單!$G$13,10)</f>
        <v>114年06月06日</v>
      </c>
      <c r="K1" s="1255"/>
    </row>
    <row r="2" spans="1:11" ht="25.5" customHeight="1" x14ac:dyDescent="0.25">
      <c r="A2" s="731"/>
      <c r="B2" s="596"/>
      <c r="C2" s="596"/>
      <c r="D2" s="596"/>
      <c r="E2" s="596"/>
      <c r="F2" s="596"/>
      <c r="G2" s="596"/>
      <c r="H2" s="1249" t="s">
        <v>1040</v>
      </c>
      <c r="I2" s="574"/>
      <c r="J2" s="574"/>
      <c r="K2" s="1250"/>
    </row>
    <row r="3" spans="1:11" ht="32.25" customHeight="1" x14ac:dyDescent="0.25">
      <c r="A3" s="372" t="s">
        <v>67</v>
      </c>
      <c r="B3" s="497" t="str">
        <f>CONCATENATE(輸入!$S$20,"所")</f>
        <v>吳興街所</v>
      </c>
      <c r="C3" s="497" t="s">
        <v>1041</v>
      </c>
      <c r="D3" s="683" t="s">
        <v>105</v>
      </c>
      <c r="E3" s="575"/>
      <c r="F3" s="682" t="s">
        <v>47</v>
      </c>
      <c r="G3" s="574"/>
      <c r="H3" s="1253" t="str">
        <f>輸入!$O$8</f>
        <v>蘇詠棠</v>
      </c>
      <c r="I3" s="574"/>
      <c r="J3" s="574"/>
      <c r="K3" s="1250"/>
    </row>
    <row r="4" spans="1:11" ht="366" customHeight="1" x14ac:dyDescent="0.25">
      <c r="A4" s="373" t="s">
        <v>1042</v>
      </c>
      <c r="B4" s="1252" t="str">
        <f>CONCATENATE("    本所警員",輸入!$O$8,"執行勤務時，於",IF(ISBLANK(輸入!$C$11),下拉用!$J$13,下拉用!$J$5),"查獲",word用!$H$2,呈報單!$G$15,"案乙件，全案移送偵查隊處理。",輸入!$O$8,"員等人積極緝捕，獲致績效，陳報鈞長頒發績效獎勵金以資鼓勵。")</f>
        <v xml:space="preserve">    本所警員蘇詠棠執行勤務時，於114年06月06日18時00分查獲顏文祥毀損案乙件，全案移送偵查隊處理。蘇詠棠員等人積極緝捕，獲致績效，陳報鈞長頒發績效獎勵金以資鼓勵。</v>
      </c>
      <c r="C4" s="574"/>
      <c r="D4" s="574"/>
      <c r="E4" s="574"/>
      <c r="F4" s="574"/>
      <c r="G4" s="574"/>
      <c r="H4" s="574"/>
      <c r="I4" s="574"/>
      <c r="J4" s="574"/>
      <c r="K4" s="1250"/>
    </row>
    <row r="5" spans="1:11" ht="55.5" customHeight="1" x14ac:dyDescent="0.25">
      <c r="A5" s="374" t="s">
        <v>1043</v>
      </c>
      <c r="B5" s="1249" t="s">
        <v>1044</v>
      </c>
      <c r="C5" s="574"/>
      <c r="D5" s="574"/>
      <c r="E5" s="574"/>
      <c r="F5" s="574"/>
      <c r="G5" s="574"/>
      <c r="H5" s="574"/>
      <c r="I5" s="574"/>
      <c r="J5" s="574"/>
      <c r="K5" s="1250"/>
    </row>
    <row r="6" spans="1:11" ht="70.5" customHeight="1" x14ac:dyDescent="0.25">
      <c r="A6" s="376" t="s">
        <v>1045</v>
      </c>
      <c r="B6" s="169"/>
      <c r="C6" s="369"/>
      <c r="D6" s="369"/>
      <c r="E6" s="369"/>
      <c r="F6" s="369"/>
      <c r="G6" s="369"/>
      <c r="H6" s="369"/>
      <c r="I6" s="369"/>
      <c r="J6" s="369"/>
      <c r="K6" s="375"/>
    </row>
    <row r="7" spans="1:11" ht="24.75" customHeight="1" x14ac:dyDescent="0.25">
      <c r="A7" s="377" t="s">
        <v>1046</v>
      </c>
      <c r="B7" s="269"/>
      <c r="C7" s="50"/>
      <c r="D7" s="50"/>
      <c r="E7" s="50"/>
      <c r="F7" s="50"/>
      <c r="G7" s="50"/>
      <c r="H7" s="50"/>
      <c r="I7" s="50"/>
      <c r="J7" s="50"/>
      <c r="K7" s="351"/>
    </row>
    <row r="8" spans="1:11" ht="45.75" customHeight="1" x14ac:dyDescent="0.25">
      <c r="A8" s="378" t="s">
        <v>1047</v>
      </c>
      <c r="B8" s="370"/>
      <c r="C8" s="49"/>
      <c r="D8" s="49"/>
      <c r="E8" s="49"/>
      <c r="F8" s="49"/>
      <c r="G8" s="49"/>
      <c r="H8" s="49"/>
      <c r="I8" s="49"/>
      <c r="J8" s="49"/>
      <c r="K8" s="379"/>
    </row>
    <row r="9" spans="1:11" ht="70.5" customHeight="1" thickBot="1" x14ac:dyDescent="0.3">
      <c r="A9" s="380" t="s">
        <v>393</v>
      </c>
      <c r="B9" s="381"/>
      <c r="C9" s="382"/>
      <c r="D9" s="382"/>
      <c r="E9" s="382"/>
      <c r="F9" s="382"/>
      <c r="G9" s="382"/>
      <c r="H9" s="382"/>
      <c r="I9" s="382"/>
      <c r="J9" s="382"/>
      <c r="K9" s="383"/>
    </row>
  </sheetData>
  <mergeCells count="8">
    <mergeCell ref="B5:K5"/>
    <mergeCell ref="F3:G3"/>
    <mergeCell ref="A1:G2"/>
    <mergeCell ref="B4:K4"/>
    <mergeCell ref="H3:K3"/>
    <mergeCell ref="H2:K2"/>
    <mergeCell ref="J1:K1"/>
    <mergeCell ref="D3:E3"/>
  </mergeCells>
  <phoneticPr fontId="1" type="noConversion"/>
  <printOptions horizontalCentered="1"/>
  <pageMargins left="0.74803149606299213" right="0.74803149606299213" top="1.338582677165354" bottom="0.74803149606299213" header="0.31496062992125978" footer="0.31496062992125978"/>
  <pageSetup paperSize="9"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工作表52"/>
  <dimension ref="A1:S27"/>
  <sheetViews>
    <sheetView topLeftCell="A6" workbookViewId="0">
      <selection activeCell="A8" sqref="A8"/>
    </sheetView>
  </sheetViews>
  <sheetFormatPr defaultRowHeight="30" customHeight="1" x14ac:dyDescent="0.25"/>
  <cols>
    <col min="1" max="1" width="17.5" style="33" customWidth="1"/>
    <col min="2" max="2" width="12" style="33" customWidth="1"/>
    <col min="3" max="7" width="9" style="33" customWidth="1"/>
    <col min="8" max="8" width="12.375" style="33" customWidth="1"/>
    <col min="9" max="10" width="9" style="33" customWidth="1"/>
    <col min="11" max="11" width="10.375" style="33" customWidth="1"/>
    <col min="12" max="12" width="9" style="33" customWidth="1"/>
    <col min="13" max="16384" width="9" style="33"/>
  </cols>
  <sheetData>
    <row r="1" spans="1:19" ht="38.25" customHeight="1" x14ac:dyDescent="0.25">
      <c r="A1" s="407" t="s">
        <v>1048</v>
      </c>
      <c r="B1" s="408" t="s">
        <v>1049</v>
      </c>
      <c r="C1" s="408" t="s">
        <v>1050</v>
      </c>
      <c r="D1" s="408" t="s">
        <v>1051</v>
      </c>
      <c r="E1" s="408" t="s">
        <v>1052</v>
      </c>
      <c r="F1" s="408" t="s">
        <v>1053</v>
      </c>
      <c r="G1" s="408" t="s">
        <v>1054</v>
      </c>
      <c r="H1" s="408" t="s">
        <v>3</v>
      </c>
      <c r="I1" s="408" t="s">
        <v>1055</v>
      </c>
      <c r="J1" s="408" t="s">
        <v>1049</v>
      </c>
      <c r="K1" s="408" t="s">
        <v>1056</v>
      </c>
      <c r="L1" s="536" t="s">
        <v>1057</v>
      </c>
      <c r="M1" s="33" t="s">
        <v>1058</v>
      </c>
      <c r="N1" s="33" t="s">
        <v>1059</v>
      </c>
      <c r="O1" s="33" t="s">
        <v>1060</v>
      </c>
      <c r="P1" s="541" t="s">
        <v>1061</v>
      </c>
      <c r="Q1" s="541" t="s">
        <v>1062</v>
      </c>
      <c r="R1" s="541" t="s">
        <v>1063</v>
      </c>
      <c r="S1" s="541" t="s">
        <v>1064</v>
      </c>
    </row>
    <row r="2" spans="1:19" ht="30" customHeight="1" x14ac:dyDescent="0.25">
      <c r="A2" s="250" t="str">
        <f>CONCATENATE("你今(",MID(輸入!$C$10,6,2),")日因何事接受警方製作筆錄？")</f>
        <v>你今(12)日因何事接受警方製作筆錄？</v>
      </c>
      <c r="B2" s="409" t="s">
        <v>1065</v>
      </c>
      <c r="C2" s="409" t="s">
        <v>1066</v>
      </c>
      <c r="D2" s="409" t="s">
        <v>1067</v>
      </c>
      <c r="E2" s="409" t="s">
        <v>1068</v>
      </c>
      <c r="F2" s="258" t="s">
        <v>1069</v>
      </c>
      <c r="G2" s="258" t="s">
        <v>1070</v>
      </c>
      <c r="H2" s="258" t="s">
        <v>1071</v>
      </c>
      <c r="I2" s="258" t="s">
        <v>1072</v>
      </c>
      <c r="J2" s="409" t="s">
        <v>1065</v>
      </c>
      <c r="K2" s="258" t="s">
        <v>1073</v>
      </c>
      <c r="L2" s="33" t="s">
        <v>1074</v>
      </c>
      <c r="M2" s="33" t="s">
        <v>1075</v>
      </c>
      <c r="N2" s="33" t="s">
        <v>1075</v>
      </c>
      <c r="O2" s="33" t="s">
        <v>1075</v>
      </c>
      <c r="P2" s="541" t="s">
        <v>1076</v>
      </c>
      <c r="Q2" s="541" t="s">
        <v>1077</v>
      </c>
      <c r="R2" s="541" t="str">
        <f>CONCATENATE("你今（",MID(輸入!$C$11,6,2),"）日因何事情而要聲請民事保護令？請詳述（通常保護令或暫時保護令）。")</f>
        <v>你今（）日因何事情而要聲請民事保護令？請詳述（通常保護令或暫時保護令）。</v>
      </c>
      <c r="S2" s="541" t="s">
        <v>1078</v>
      </c>
    </row>
    <row r="3" spans="1:19" ht="30" customHeight="1" x14ac:dyDescent="0.25">
      <c r="A3" s="250" t="s">
        <v>1079</v>
      </c>
      <c r="B3" s="48" t="s">
        <v>1080</v>
      </c>
      <c r="C3" s="258" t="s">
        <v>1081</v>
      </c>
      <c r="D3" s="258" t="s">
        <v>1082</v>
      </c>
      <c r="E3" s="258" t="s">
        <v>1083</v>
      </c>
      <c r="F3" s="258" t="s">
        <v>1084</v>
      </c>
      <c r="G3" s="258" t="s">
        <v>1085</v>
      </c>
      <c r="H3" s="258" t="s">
        <v>1086</v>
      </c>
      <c r="I3" s="258" t="s">
        <v>1087</v>
      </c>
      <c r="J3" s="48" t="s">
        <v>1080</v>
      </c>
      <c r="K3" s="258" t="s">
        <v>1088</v>
      </c>
      <c r="L3" s="33" t="s">
        <v>1089</v>
      </c>
      <c r="M3" s="33" t="s">
        <v>1090</v>
      </c>
      <c r="N3" s="33" t="s">
        <v>1091</v>
      </c>
      <c r="O3" s="33" t="s">
        <v>1092</v>
      </c>
      <c r="P3" s="541" t="s">
        <v>1093</v>
      </c>
      <c r="Q3" s="541" t="s">
        <v>1094</v>
      </c>
      <c r="R3" s="541" t="s">
        <v>1095</v>
      </c>
      <c r="S3" s="541" t="s">
        <v>1096</v>
      </c>
    </row>
    <row r="4" spans="1:19" ht="30" customHeight="1" x14ac:dyDescent="0.25">
      <c r="A4" s="250" t="str">
        <f>CONCATENATE("警方提供指認犯罪嫌疑人紀錄，編號一至六號中，何者為",呈報單!$G$15,"的犯嫌？(犯嫌可能不在指認表中)")</f>
        <v>警方提供指認犯罪嫌疑人紀錄，編號一至六號中，何者為毀損的犯嫌？(犯嫌可能不在指認表中)</v>
      </c>
      <c r="B4" s="48" t="s">
        <v>1097</v>
      </c>
      <c r="C4" s="258" t="s">
        <v>1098</v>
      </c>
      <c r="D4" s="258" t="s">
        <v>1099</v>
      </c>
      <c r="E4" s="258" t="s">
        <v>1100</v>
      </c>
      <c r="F4" s="258" t="s">
        <v>1101</v>
      </c>
      <c r="G4" s="258" t="s">
        <v>1102</v>
      </c>
      <c r="H4" s="258" t="s">
        <v>1103</v>
      </c>
      <c r="I4" s="258" t="s">
        <v>1104</v>
      </c>
      <c r="J4" s="48" t="s">
        <v>1097</v>
      </c>
      <c r="K4" s="258" t="s">
        <v>1105</v>
      </c>
      <c r="L4" s="33" t="s">
        <v>1106</v>
      </c>
      <c r="M4" s="33" t="s">
        <v>1107</v>
      </c>
      <c r="N4" s="33" t="s">
        <v>1108</v>
      </c>
      <c r="O4" s="33" t="s">
        <v>1109</v>
      </c>
      <c r="P4" s="541" t="s">
        <v>1110</v>
      </c>
      <c r="Q4" s="541" t="s">
        <v>1111</v>
      </c>
      <c r="R4" s="541" t="s">
        <v>1112</v>
      </c>
      <c r="S4" s="541" t="s">
        <v>1113</v>
      </c>
    </row>
    <row r="5" spans="1:19" ht="30" customHeight="1" x14ac:dyDescent="0.25">
      <c r="A5" s="250" t="s">
        <v>1114</v>
      </c>
      <c r="B5" s="258" t="s">
        <v>1115</v>
      </c>
      <c r="C5" s="258" t="s">
        <v>1116</v>
      </c>
      <c r="D5" s="258" t="s">
        <v>1117</v>
      </c>
      <c r="E5" s="258" t="s">
        <v>1118</v>
      </c>
      <c r="F5" s="258" t="s">
        <v>1119</v>
      </c>
      <c r="G5" s="258" t="s">
        <v>1120</v>
      </c>
      <c r="H5" s="258" t="s">
        <v>1121</v>
      </c>
      <c r="I5" s="258" t="s">
        <v>1122</v>
      </c>
      <c r="J5" s="258" t="s">
        <v>1115</v>
      </c>
      <c r="K5" s="258" t="s">
        <v>1123</v>
      </c>
      <c r="L5" s="33" t="s">
        <v>1124</v>
      </c>
      <c r="M5" s="33" t="s">
        <v>1125</v>
      </c>
      <c r="N5" s="33" t="s">
        <v>1126</v>
      </c>
      <c r="O5" s="33" t="s">
        <v>1127</v>
      </c>
      <c r="P5" s="541" t="s">
        <v>1128</v>
      </c>
      <c r="Q5" s="541" t="s">
        <v>1129</v>
      </c>
      <c r="R5" s="541" t="s">
        <v>1130</v>
      </c>
      <c r="S5" s="541" t="s">
        <v>1131</v>
      </c>
    </row>
    <row r="6" spans="1:19" ht="30" customHeight="1" x14ac:dyDescent="0.25">
      <c r="A6" s="250" t="s">
        <v>1132</v>
      </c>
      <c r="B6" s="258" t="s">
        <v>1133</v>
      </c>
      <c r="C6" s="258" t="s">
        <v>1134</v>
      </c>
      <c r="D6" s="258" t="s">
        <v>1135</v>
      </c>
      <c r="E6" s="258" t="s">
        <v>1136</v>
      </c>
      <c r="F6" s="258" t="s">
        <v>1137</v>
      </c>
      <c r="G6" s="258" t="s">
        <v>1138</v>
      </c>
      <c r="H6" s="258" t="s">
        <v>1139</v>
      </c>
      <c r="I6" s="258" t="s">
        <v>1140</v>
      </c>
      <c r="J6" s="258" t="s">
        <v>1133</v>
      </c>
      <c r="K6" s="258" t="s">
        <v>1141</v>
      </c>
      <c r="L6" s="33" t="s">
        <v>1142</v>
      </c>
      <c r="M6" s="33" t="s">
        <v>1143</v>
      </c>
      <c r="N6" s="33" t="s">
        <v>1144</v>
      </c>
      <c r="O6" s="33" t="s">
        <v>1145</v>
      </c>
      <c r="P6" s="541" t="s">
        <v>1146</v>
      </c>
      <c r="Q6" s="541" t="s">
        <v>1147</v>
      </c>
      <c r="S6" s="541" t="s">
        <v>1148</v>
      </c>
    </row>
    <row r="7" spans="1:19" ht="30" customHeight="1" x14ac:dyDescent="0.25">
      <c r="A7" s="250" t="s">
        <v>1149</v>
      </c>
      <c r="B7" s="258" t="s">
        <v>1150</v>
      </c>
      <c r="C7" s="258"/>
      <c r="D7" s="536" t="s">
        <v>1151</v>
      </c>
      <c r="E7" s="258"/>
      <c r="F7" s="258"/>
      <c r="G7" s="258" t="s">
        <v>1152</v>
      </c>
      <c r="H7" s="258" t="s">
        <v>1153</v>
      </c>
      <c r="I7" s="258" t="s">
        <v>1154</v>
      </c>
      <c r="J7" s="258" t="s">
        <v>1150</v>
      </c>
      <c r="K7" s="258" t="s">
        <v>1155</v>
      </c>
      <c r="L7" s="33" t="s">
        <v>1143</v>
      </c>
      <c r="M7" s="33" t="s">
        <v>1156</v>
      </c>
      <c r="N7" s="33" t="s">
        <v>1157</v>
      </c>
      <c r="O7" s="33" t="s">
        <v>1158</v>
      </c>
      <c r="P7" s="541" t="s">
        <v>1159</v>
      </c>
      <c r="Q7" s="541" t="s">
        <v>1160</v>
      </c>
    </row>
    <row r="8" spans="1:19" ht="46.5" customHeight="1" x14ac:dyDescent="0.25">
      <c r="A8" s="248" t="s">
        <v>1161</v>
      </c>
      <c r="B8" s="258" t="s">
        <v>1162</v>
      </c>
      <c r="C8" s="258"/>
      <c r="D8" s="258"/>
      <c r="E8" s="258"/>
      <c r="F8" s="258"/>
      <c r="G8" s="258" t="s">
        <v>1163</v>
      </c>
      <c r="H8" s="258" t="s">
        <v>1164</v>
      </c>
      <c r="I8" s="258" t="s">
        <v>1165</v>
      </c>
      <c r="J8" s="258" t="s">
        <v>1162</v>
      </c>
      <c r="K8" s="258" t="s">
        <v>1166</v>
      </c>
      <c r="L8" s="33" t="s">
        <v>1167</v>
      </c>
      <c r="M8" s="33" t="s">
        <v>1168</v>
      </c>
      <c r="N8" s="33" t="s">
        <v>1169</v>
      </c>
      <c r="O8" s="33" t="s">
        <v>1170</v>
      </c>
      <c r="P8" s="541" t="s">
        <v>1171</v>
      </c>
      <c r="Q8" s="541" t="s">
        <v>1172</v>
      </c>
    </row>
    <row r="9" spans="1:19" ht="30" customHeight="1" x14ac:dyDescent="0.25">
      <c r="A9" s="250" t="s">
        <v>1173</v>
      </c>
      <c r="B9" s="258" t="s">
        <v>1174</v>
      </c>
      <c r="C9" s="258"/>
      <c r="D9" s="258"/>
      <c r="E9" s="258"/>
      <c r="F9" s="258"/>
      <c r="G9" s="258" t="s">
        <v>1175</v>
      </c>
      <c r="H9" s="258" t="s">
        <v>1176</v>
      </c>
      <c r="I9" s="258" t="s">
        <v>1177</v>
      </c>
      <c r="J9" s="258" t="s">
        <v>1174</v>
      </c>
      <c r="K9" s="258" t="s">
        <v>1178</v>
      </c>
      <c r="L9" s="33" t="s">
        <v>1179</v>
      </c>
      <c r="M9" s="33" t="s">
        <v>1180</v>
      </c>
      <c r="N9" s="33" t="s">
        <v>1181</v>
      </c>
      <c r="O9" s="33" t="s">
        <v>1182</v>
      </c>
      <c r="P9" s="541" t="s">
        <v>1183</v>
      </c>
      <c r="Q9" s="541" t="s">
        <v>1184</v>
      </c>
    </row>
    <row r="10" spans="1:19" ht="30" customHeight="1" x14ac:dyDescent="0.25">
      <c r="A10" s="250" t="s">
        <v>1185</v>
      </c>
      <c r="B10" s="258" t="s">
        <v>1186</v>
      </c>
      <c r="C10" s="258"/>
      <c r="D10" s="258"/>
      <c r="E10" s="258"/>
      <c r="F10" s="258"/>
      <c r="G10" s="258" t="s">
        <v>1187</v>
      </c>
      <c r="H10" s="258" t="s">
        <v>1188</v>
      </c>
      <c r="I10" s="258"/>
      <c r="J10" s="258" t="s">
        <v>1186</v>
      </c>
      <c r="K10" s="258" t="s">
        <v>1189</v>
      </c>
      <c r="L10" s="33" t="s">
        <v>1190</v>
      </c>
      <c r="M10" s="33" t="s">
        <v>1191</v>
      </c>
      <c r="N10" s="33" t="s">
        <v>1192</v>
      </c>
      <c r="O10" s="33" t="s">
        <v>1193</v>
      </c>
      <c r="P10" s="541" t="s">
        <v>1194</v>
      </c>
      <c r="Q10" s="541" t="s">
        <v>1195</v>
      </c>
    </row>
    <row r="11" spans="1:19" ht="27" customHeight="1" x14ac:dyDescent="0.25">
      <c r="A11" s="250" t="s">
        <v>1196</v>
      </c>
      <c r="B11" s="251" t="s">
        <v>1197</v>
      </c>
      <c r="C11" s="258"/>
      <c r="D11" s="258"/>
      <c r="E11" s="258"/>
      <c r="F11" s="258"/>
      <c r="G11" s="258" t="s">
        <v>1198</v>
      </c>
      <c r="H11" s="258"/>
      <c r="I11" s="258"/>
      <c r="J11" s="251" t="s">
        <v>1197</v>
      </c>
      <c r="K11" s="258" t="s">
        <v>1199</v>
      </c>
      <c r="L11" s="33" t="s">
        <v>1200</v>
      </c>
      <c r="M11" s="33" t="s">
        <v>1201</v>
      </c>
      <c r="N11" s="33" t="s">
        <v>1202</v>
      </c>
      <c r="O11" s="33" t="s">
        <v>1203</v>
      </c>
      <c r="P11" s="541" t="s">
        <v>1204</v>
      </c>
      <c r="Q11" s="541" t="s">
        <v>1205</v>
      </c>
    </row>
    <row r="12" spans="1:19" ht="30" customHeight="1" x14ac:dyDescent="0.25">
      <c r="A12" s="48" t="s">
        <v>1206</v>
      </c>
      <c r="B12" s="258" t="s">
        <v>1207</v>
      </c>
      <c r="C12" s="255"/>
      <c r="D12" s="255"/>
      <c r="E12" s="255"/>
      <c r="F12" s="255"/>
      <c r="G12" s="255" t="s">
        <v>1208</v>
      </c>
      <c r="H12" s="255"/>
      <c r="I12" s="255"/>
      <c r="J12" s="258" t="s">
        <v>1207</v>
      </c>
      <c r="K12" s="255" t="s">
        <v>1209</v>
      </c>
      <c r="P12" s="541" t="s">
        <v>1210</v>
      </c>
      <c r="Q12" s="541" t="s">
        <v>1211</v>
      </c>
    </row>
    <row r="13" spans="1:19" ht="30" customHeight="1" x14ac:dyDescent="0.25">
      <c r="A13" s="536" t="s">
        <v>1212</v>
      </c>
      <c r="B13" s="48" t="s">
        <v>1213</v>
      </c>
      <c r="C13" s="48"/>
      <c r="D13" s="48"/>
      <c r="E13" s="48"/>
      <c r="F13" s="48"/>
      <c r="G13" s="48" t="s">
        <v>1214</v>
      </c>
      <c r="H13" s="48"/>
      <c r="I13" s="48"/>
      <c r="J13" s="48" t="s">
        <v>1213</v>
      </c>
      <c r="K13" s="48" t="s">
        <v>1215</v>
      </c>
      <c r="P13" s="541" t="s">
        <v>1216</v>
      </c>
      <c r="Q13" s="541" t="s">
        <v>1217</v>
      </c>
    </row>
    <row r="14" spans="1:19" ht="30" customHeight="1" x14ac:dyDescent="0.25">
      <c r="A14" s="536" t="str">
        <f>CONCATENATE("你於",LEFT(下拉用!$J$4,10),"第一次警詢筆錄的陳述是否實在？")</f>
        <v>你於115年09月12日第一次警詢筆錄的陳述是否實在？</v>
      </c>
      <c r="B14" s="48" t="s">
        <v>1218</v>
      </c>
      <c r="C14" s="48"/>
      <c r="D14" s="48"/>
      <c r="E14" s="48"/>
      <c r="F14" s="48"/>
      <c r="G14" s="48" t="s">
        <v>1219</v>
      </c>
      <c r="H14" s="48"/>
      <c r="I14" s="48"/>
      <c r="J14" s="48" t="s">
        <v>1218</v>
      </c>
      <c r="K14" s="48" t="s">
        <v>1220</v>
      </c>
      <c r="P14" s="541" t="s">
        <v>1221</v>
      </c>
      <c r="Q14" s="541" t="s">
        <v>1222</v>
      </c>
    </row>
    <row r="15" spans="1:19" ht="30" customHeight="1" x14ac:dyDescent="0.25">
      <c r="A15" s="536" t="str">
        <f>CONCATENATE("警方於",LEFT(下拉用!$J$5,10),"在約談涉嫌人來所說明案情,筆錄期間涉嫌人主動交付贓證物,是否為妳遭",輸入!$C$2,"之物品？是否由你領回？贓物認領保管單是否為妳本人確認無誤後親自簽名？")</f>
        <v>警方於年月日時分在約談涉嫌人來所說明案情,筆錄期間涉嫌人主動交付贓證物,是否為妳遭毀損之物品？是否由你領回？贓物認領保管單是否為妳本人確認無誤後親自簽名？</v>
      </c>
      <c r="K15" s="48" t="s">
        <v>1223</v>
      </c>
      <c r="P15" s="541" t="s">
        <v>1224</v>
      </c>
      <c r="Q15" s="541" t="s">
        <v>1225</v>
      </c>
    </row>
    <row r="16" spans="1:19" ht="30" customHeight="1" x14ac:dyDescent="0.25">
      <c r="A16" s="536" t="str">
        <f>CONCATENATE("警方於發現贓證物，是否為妳遭",輸入!$C$2,"之物品？是否由你領回？贓物認領保管單是否為妳本人確認無誤後親自簽名？")</f>
        <v>警方於發現贓證物，是否為妳遭毀損之物品？是否由你領回？贓物認領保管單是否為妳本人確認無誤後親自簽名？</v>
      </c>
      <c r="P16" s="541" t="s">
        <v>1226</v>
      </c>
      <c r="Q16" s="541" t="s">
        <v>1227</v>
      </c>
    </row>
    <row r="17" spans="1:16" ht="16.5" x14ac:dyDescent="0.25">
      <c r="P17" s="541" t="s">
        <v>1228</v>
      </c>
    </row>
    <row r="18" spans="1:16" ht="30" customHeight="1" x14ac:dyDescent="0.25">
      <c r="A18" s="536"/>
      <c r="P18" s="541" t="s">
        <v>1229</v>
      </c>
    </row>
    <row r="19" spans="1:16" ht="30" customHeight="1" x14ac:dyDescent="0.25">
      <c r="A19" s="536"/>
    </row>
    <row r="20" spans="1:16" ht="30" customHeight="1" x14ac:dyDescent="0.25">
      <c r="A20" s="536" t="str">
        <f>CONCATENATE("因為警方通知我在",LEFT(下拉用!$J$9,10),"至所報",呈報單!$G$15,"案，證明單號為",輸入!$C$13,"，有循線通知嫌疑人到案說明，所以今日請我至貴派出所製作第二次筆錄以及領回贓證物。")</f>
        <v>因為警方通知我在115年09月12日至所報毀損案，證明單號為，有循線通知嫌疑人到案說明，所以今日請我至貴派出所製作第二次筆錄以及領回贓證物。</v>
      </c>
    </row>
    <row r="21" spans="1:16" ht="30" customHeight="1" x14ac:dyDescent="0.25">
      <c r="A21" s="536"/>
    </row>
    <row r="27" spans="1:16" ht="30" customHeight="1" x14ac:dyDescent="0.25">
      <c r="K27" s="410"/>
    </row>
  </sheetData>
  <phoneticPr fontId="1" type="noConversion"/>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工作表51"/>
  <dimension ref="A1:W18"/>
  <sheetViews>
    <sheetView workbookViewId="0">
      <selection activeCell="D2" sqref="D2"/>
    </sheetView>
  </sheetViews>
  <sheetFormatPr defaultRowHeight="20.100000000000001" customHeight="1" x14ac:dyDescent="0.25"/>
  <cols>
    <col min="1" max="1" width="18.625" style="545" customWidth="1"/>
    <col min="4" max="4" width="17.875" style="505" customWidth="1"/>
    <col min="10" max="10" width="11.625" style="545" customWidth="1"/>
    <col min="11" max="11" width="15.875" style="505" customWidth="1"/>
    <col min="12" max="12" width="10.375" style="545" customWidth="1"/>
    <col min="13" max="13" width="8.75" style="545" customWidth="1"/>
    <col min="14" max="14" width="9.25" style="545" customWidth="1"/>
    <col min="16" max="16" width="10.75" style="545" customWidth="1"/>
  </cols>
  <sheetData>
    <row r="1" spans="1:23" ht="20.100000000000001" customHeight="1" x14ac:dyDescent="0.25">
      <c r="A1" s="335" t="s">
        <v>1230</v>
      </c>
      <c r="B1" s="336" t="s">
        <v>1049</v>
      </c>
      <c r="C1" s="336" t="s">
        <v>1050</v>
      </c>
      <c r="D1" s="336" t="s">
        <v>1051</v>
      </c>
      <c r="E1" s="336" t="s">
        <v>1052</v>
      </c>
      <c r="F1" s="336" t="s">
        <v>1053</v>
      </c>
      <c r="G1" s="336" t="s">
        <v>1054</v>
      </c>
      <c r="H1" s="336" t="s">
        <v>3</v>
      </c>
      <c r="I1" s="336" t="s">
        <v>1055</v>
      </c>
      <c r="J1" s="336" t="s">
        <v>1231</v>
      </c>
      <c r="K1" s="87" t="s">
        <v>1232</v>
      </c>
      <c r="L1" s="259" t="s">
        <v>208</v>
      </c>
      <c r="M1" s="259" t="s">
        <v>209</v>
      </c>
      <c r="N1" s="259" t="s">
        <v>210</v>
      </c>
      <c r="O1" s="263" t="s">
        <v>1233</v>
      </c>
      <c r="P1" s="259" t="s">
        <v>1234</v>
      </c>
      <c r="Q1" s="541" t="s">
        <v>1057</v>
      </c>
      <c r="R1" s="541" t="s">
        <v>1058</v>
      </c>
      <c r="S1" s="541" t="s">
        <v>1059</v>
      </c>
      <c r="T1" s="541" t="s">
        <v>1060</v>
      </c>
      <c r="U1" s="541" t="s">
        <v>1056</v>
      </c>
      <c r="V1" s="541" t="s">
        <v>1061</v>
      </c>
      <c r="W1" s="541" t="s">
        <v>1062</v>
      </c>
    </row>
    <row r="2" spans="1:23" ht="40.5" customHeight="1" x14ac:dyDescent="0.25">
      <c r="A2" s="250" t="s">
        <v>1235</v>
      </c>
      <c r="B2" s="257" t="s">
        <v>1065</v>
      </c>
      <c r="C2" s="257" t="s">
        <v>1066</v>
      </c>
      <c r="D2" s="536" t="str">
        <f>CONCATENATE("經警方提供你觀看監視器，於",輸入!$C$5,"，拿取該物品是否為你本人？")</f>
        <v>經警方提供你觀看監視器，於報案人稱於115年09月12日12時18分載乘客至臺北市信義區吳興街206號，遭不知名民眾敲擊自小營(TDW-2575)右後側板金，並造成凹陷，故至所報案。，拿取該物品是否為你本人？</v>
      </c>
      <c r="E2" s="541" t="s">
        <v>1236</v>
      </c>
      <c r="F2" s="541" t="s">
        <v>1237</v>
      </c>
      <c r="G2" s="541" t="s">
        <v>1237</v>
      </c>
      <c r="H2" s="541" t="s">
        <v>1237</v>
      </c>
      <c r="I2" s="541" t="s">
        <v>1237</v>
      </c>
      <c r="J2" s="257" t="str">
        <f>CONCATENATE("你於",LEFT(下拉用!$J$9,10),"所報",輸入!$C$2,"(案號：",輸入!C13,")並第一次警詢筆錄所陳述是否實在?")</f>
        <v>你於115年09月12日所報毀損(案號：)並第一次警詢筆錄所陳述是否實在?</v>
      </c>
      <c r="K2" s="505" t="s">
        <v>1238</v>
      </c>
      <c r="L2" s="261" t="str">
        <f>CONCATENATE("本所警方於",下拉用!$J$10,"許巡經",輸入!$C$7,"時，發現",word用!$Z$2,"(",word用!$AA$2,")",輸入!$H$3,"，遂攔停",word用!$Z$2,"(",word用!$AA$2,")，攔停過程時發現駕駛人",word用!$H$2,"身上有濃厚之酒味，詢問駕駛人",word用!$H$2,"坦承有飲酒，經你同意實施酒精測試，且由你本人親自吹試之酒精濃度值酒測值為",word用!$AD$2,"MG/L，是否屬實? 你對於該結果有無任何疑義？")</f>
        <v>本所警方於日期：中華民國 年月日許巡經臺北市信義區吳興街206號時，發現輕機(EWJ-8123)，遂攔停輕機(EWJ-8123)，攔停過程時發現駕駛人顏文祥身上有濃厚之酒味，詢問駕駛人顏文祥坦承有飲酒，經你同意實施酒精測試，且由你本人親自吹試之酒精濃度值酒測值為0.67MG/L，是否屬實? 你對於該結果有無任何疑義？</v>
      </c>
      <c r="M2" s="261" t="str">
        <f>CONCATENATE("本所警員於勤務中，於",下拉用!$J$5,"許巡經",輸入!$C$7,"時，發現該",word用!$R$2,"子行跡可疑，上前盤查，發現為",輸入!$H$6,"，通緝日期：",LEFT(下拉用!$J$6,10),"，所發布之通緝犯，姓名：",word用!$H$2,"（",word用!$R$2,"性、",word用!$L$2,"、",UPPER(word用!$I$2),")，通緝文號：",word用!$AD$2,"，通緝案號：",word用!$AE$2,"；案由：",word用!$E$2,"，是否為你本人？")</f>
        <v>本所警員於勤務中，於年月日時分許巡經臺北市信義區吳興街206號時，發現該男子行跡可疑，上前盤查，發現為，通緝日期：114年05月05日，所發布之通緝犯，姓名：顏文祥（男性、84.03.06、A126819564)，通緝文號：0.67，通緝案號：400；案由：毀損，是否為你本人？</v>
      </c>
      <c r="N2" s="260" t="s">
        <v>1239</v>
      </c>
      <c r="O2" s="264" t="s">
        <v>1240</v>
      </c>
      <c r="P2" s="541" t="s">
        <v>1237</v>
      </c>
      <c r="Q2" s="541" t="s">
        <v>1237</v>
      </c>
      <c r="R2" s="541" t="s">
        <v>1241</v>
      </c>
      <c r="S2" s="541" t="s">
        <v>1241</v>
      </c>
      <c r="T2" s="541" t="s">
        <v>1241</v>
      </c>
      <c r="U2" s="541" t="s">
        <v>1241</v>
      </c>
      <c r="V2" s="541" t="s">
        <v>1171</v>
      </c>
      <c r="W2" s="541" t="s">
        <v>1077</v>
      </c>
    </row>
    <row r="3" spans="1:23" ht="18.75" customHeight="1" x14ac:dyDescent="0.25">
      <c r="A3" s="250" t="s">
        <v>1242</v>
      </c>
      <c r="B3" s="36" t="s">
        <v>1080</v>
      </c>
      <c r="C3" s="256" t="s">
        <v>1081</v>
      </c>
      <c r="D3" s="505" t="s">
        <v>1243</v>
      </c>
      <c r="E3" s="541" t="s">
        <v>1244</v>
      </c>
      <c r="F3" s="541" t="s">
        <v>1245</v>
      </c>
      <c r="G3" s="541" t="s">
        <v>1246</v>
      </c>
      <c r="H3" s="541" t="s">
        <v>1247</v>
      </c>
      <c r="I3" s="541" t="s">
        <v>1248</v>
      </c>
      <c r="J3" s="256" t="str">
        <f>CONCATENATE("警方於",下拉用!$J$10,"在約談涉嫌人來所說明案情,筆錄期間涉嫌人主動交付贓證物,是否為妳遭",輸入!$C$2,"之物品？")</f>
        <v>警方於日期：中華民國 年月日在約談涉嫌人來所說明案情,筆錄期間涉嫌人主動交付贓證物,是否為妳遭毀損之物品？</v>
      </c>
      <c r="K3" s="505" t="s">
        <v>1249</v>
      </c>
      <c r="L3" s="536" t="str">
        <f>CONCATENATE("警方是否有在對你實施酒測酒精測試前，是否有提供呼氣酒精測試檢定合格證書（檢定合格單號碼：",word用!$AK$2,"、酒測器編號：",word用!$AL$2,"）供你檢視？之後對你告知拒測的相關事項？是否有讓你簽名？")</f>
        <v>警方是否有在對你實施酒測酒精測試前，是否有提供呼氣酒精測試檢定合格證書（檢定合格單號碼：J0JA1300812、酒測器編號：A191245）供你檢視？之後對你告知拒測的相關事項？是否有讓你簽名？</v>
      </c>
      <c r="M3" s="261" t="s">
        <v>1250</v>
      </c>
      <c r="N3" s="261" t="s">
        <v>1251</v>
      </c>
      <c r="O3" s="265" t="s">
        <v>1252</v>
      </c>
      <c r="P3" s="541" t="s">
        <v>1253</v>
      </c>
      <c r="Q3" s="541" t="s">
        <v>1254</v>
      </c>
      <c r="R3" s="541" t="s">
        <v>1255</v>
      </c>
      <c r="S3" s="541" t="s">
        <v>1256</v>
      </c>
      <c r="T3" s="541" t="s">
        <v>1257</v>
      </c>
      <c r="U3" s="541" t="s">
        <v>1258</v>
      </c>
      <c r="V3" s="541" t="s">
        <v>1183</v>
      </c>
      <c r="W3" s="541" t="s">
        <v>1129</v>
      </c>
    </row>
    <row r="4" spans="1:23" ht="18.75" customHeight="1" x14ac:dyDescent="0.25">
      <c r="A4" s="250" t="s">
        <v>1259</v>
      </c>
      <c r="B4" s="36" t="s">
        <v>1097</v>
      </c>
      <c r="C4" s="256" t="s">
        <v>1098</v>
      </c>
      <c r="D4" s="505" t="s">
        <v>1260</v>
      </c>
      <c r="E4" s="541" t="s">
        <v>1261</v>
      </c>
      <c r="F4" s="541" t="s">
        <v>1262</v>
      </c>
      <c r="G4" s="541" t="s">
        <v>1262</v>
      </c>
      <c r="H4" s="541" t="s">
        <v>1262</v>
      </c>
      <c r="I4" s="541" t="s">
        <v>1262</v>
      </c>
      <c r="J4" s="255" t="str">
        <f>CONCATENATE("警方於",下拉用!$J$10,"在",輸入!$H$13,"發現贓證物，是否為妳遭竊之物品？")</f>
        <v>警方於日期：中華民國 年月日在發現贓證物，是否為妳遭竊之物品？</v>
      </c>
      <c r="K4" s="505" t="s">
        <v>1263</v>
      </c>
      <c r="L4" s="261" t="s">
        <v>1264</v>
      </c>
      <c r="M4" s="261" t="s">
        <v>1265</v>
      </c>
      <c r="N4" s="260" t="s">
        <v>1266</v>
      </c>
      <c r="O4" s="265" t="s">
        <v>1267</v>
      </c>
      <c r="P4" s="541" t="s">
        <v>1262</v>
      </c>
      <c r="Q4" s="541" t="s">
        <v>1262</v>
      </c>
      <c r="R4" s="541" t="s">
        <v>1268</v>
      </c>
      <c r="S4" s="541" t="s">
        <v>1269</v>
      </c>
      <c r="T4" s="541" t="s">
        <v>1269</v>
      </c>
      <c r="U4" s="541" t="s">
        <v>1269</v>
      </c>
      <c r="V4" s="541" t="s">
        <v>1229</v>
      </c>
      <c r="W4" s="541" t="s">
        <v>1270</v>
      </c>
    </row>
    <row r="5" spans="1:23" ht="18.75" customHeight="1" x14ac:dyDescent="0.25">
      <c r="A5" s="250" t="str">
        <f>CONCATENATE("現在時間",LEFT(下拉用!$J$5,10),"時分許，依刑事訴訟法為夜間偵訊時間，你是否同意接受製作夜間警詢筆錄？目前精神狀況是否良好？意識是否清醒？")</f>
        <v>現在時間年月日時分時分許，依刑事訴訟法為夜間偵訊時間，你是否同意接受製作夜間警詢筆錄？目前精神狀況是否良好？意識是否清醒？</v>
      </c>
      <c r="B5" s="256" t="s">
        <v>1115</v>
      </c>
      <c r="C5" s="256" t="s">
        <v>1116</v>
      </c>
      <c r="D5" s="505" t="str">
        <f>CONCATENATE("該物品目前現於何處？",$A$13)</f>
        <v>該物品目前現於何處？物品是否為你同意並主動交付？且搜索扣押筆錄是否由你親自審視後，並簽名捺印？</v>
      </c>
      <c r="E5" s="541" t="s">
        <v>1271</v>
      </c>
      <c r="F5" s="541" t="s">
        <v>1272</v>
      </c>
      <c r="G5" s="541" t="s">
        <v>1273</v>
      </c>
      <c r="H5" s="541" t="s">
        <v>1273</v>
      </c>
      <c r="I5" s="541" t="s">
        <v>1273</v>
      </c>
      <c r="J5" s="256" t="s">
        <v>1274</v>
      </c>
      <c r="K5" s="505" t="s">
        <v>1275</v>
      </c>
      <c r="L5" s="536" t="str">
        <f>CONCATENATE("警方對你實施酒測酒精測定值",word用!$AD$2,"mg/l,酒測單案號",word用!$AM$2,"號、酒測器編號",word用!$AL$2,",是否為你本人親自簽名的？是否為你本人親自吹測無誤？")</f>
        <v>警方對你實施酒測酒精測定值0.67mg/l,酒測單案號125號、酒測器編號A191245,是否為你本人親自簽名的？是否為你本人親自吹測無誤？</v>
      </c>
      <c r="M5" s="261" t="s">
        <v>1276</v>
      </c>
      <c r="N5" s="260" t="s">
        <v>1277</v>
      </c>
      <c r="O5" s="265" t="s">
        <v>1278</v>
      </c>
      <c r="P5" s="541" t="s">
        <v>1273</v>
      </c>
      <c r="Q5" s="541" t="s">
        <v>1279</v>
      </c>
      <c r="R5" s="541" t="s">
        <v>1262</v>
      </c>
      <c r="S5" s="541" t="s">
        <v>1279</v>
      </c>
      <c r="T5" s="541" t="s">
        <v>1279</v>
      </c>
      <c r="U5" s="541" t="s">
        <v>1279</v>
      </c>
      <c r="W5" s="541" t="s">
        <v>1160</v>
      </c>
    </row>
    <row r="6" spans="1:23" ht="18.75" customHeight="1" x14ac:dyDescent="0.25">
      <c r="A6" s="247" t="str">
        <f>CONCATENATE("現在時間",LEFT(下拉用!$J$5,10),"時分許，依刑事訴訟法為夜間偵訊時間，警方不得對你詢問製作筆錄，你是否知悉？")</f>
        <v>現在時間年月日時分時分許，依刑事訴訟法為夜間偵訊時間，警方不得對你詢問製作筆錄，你是否知悉？</v>
      </c>
      <c r="B6" s="256" t="s">
        <v>1133</v>
      </c>
      <c r="C6" s="256" t="s">
        <v>1134</v>
      </c>
      <c r="D6" s="505" t="s">
        <v>1280</v>
      </c>
      <c r="E6" s="541" t="s">
        <v>1281</v>
      </c>
      <c r="F6" s="541" t="s">
        <v>1273</v>
      </c>
      <c r="G6" s="541" t="s">
        <v>1282</v>
      </c>
      <c r="H6" s="541" t="s">
        <v>1283</v>
      </c>
      <c r="I6" s="541" t="s">
        <v>1284</v>
      </c>
      <c r="J6" s="256" t="s">
        <v>1285</v>
      </c>
      <c r="K6" s="505" t="s">
        <v>1286</v>
      </c>
      <c r="L6" s="261" t="str">
        <f>CONCATENATE("因你觸犯刑法公共危險案，警方依法對你代保管車輛，",word用!$Z$2,"(",word用!$AA$2,")，該告發單 ",word用!$AN$2," 及移置車輛保管單號 ",word用!$AO$2," 是否都有交給你？")</f>
        <v>因你觸犯刑法公共危險案，警方依法對你代保管車輛，輕機(EWJ-8123)，該告發單 A03H5S314 及移置車輛保管單號 24AH5S00E 是否都有交給你？</v>
      </c>
      <c r="M6" s="260"/>
      <c r="N6" s="260" t="s">
        <v>1287</v>
      </c>
      <c r="O6" s="265" t="s">
        <v>1288</v>
      </c>
      <c r="P6" s="541" t="s">
        <v>1289</v>
      </c>
      <c r="Q6" s="541" t="s">
        <v>1273</v>
      </c>
      <c r="R6" s="541" t="s">
        <v>1279</v>
      </c>
      <c r="S6" s="541" t="s">
        <v>1273</v>
      </c>
      <c r="T6" s="541" t="s">
        <v>1273</v>
      </c>
      <c r="U6" s="541" t="s">
        <v>1273</v>
      </c>
      <c r="W6" s="541" t="s">
        <v>1184</v>
      </c>
    </row>
    <row r="7" spans="1:23" ht="18.75" customHeight="1" x14ac:dyDescent="0.25">
      <c r="A7" s="250" t="str">
        <f>CONCATENATE("妳今(",MID(輸入!$C$11,6,2),")日因何事接受警方製作筆錄？")</f>
        <v>妳今()日因何事接受警方製作筆錄？</v>
      </c>
      <c r="B7" s="256" t="s">
        <v>1150</v>
      </c>
      <c r="C7" s="256"/>
      <c r="D7" s="505" t="s">
        <v>1290</v>
      </c>
      <c r="E7" s="541" t="s">
        <v>1291</v>
      </c>
      <c r="F7" s="541" t="s">
        <v>1292</v>
      </c>
      <c r="G7" s="541" t="s">
        <v>1293</v>
      </c>
      <c r="H7" s="541" t="s">
        <v>1294</v>
      </c>
      <c r="I7" s="541" t="s">
        <v>1295</v>
      </c>
      <c r="J7" s="256" t="s">
        <v>1296</v>
      </c>
      <c r="K7" s="505" t="s">
        <v>1297</v>
      </c>
      <c r="L7" s="261" t="s">
        <v>1298</v>
      </c>
      <c r="M7" s="260"/>
      <c r="N7" s="260" t="s">
        <v>1299</v>
      </c>
      <c r="O7" s="265" t="s">
        <v>1300</v>
      </c>
      <c r="P7" s="541" t="s">
        <v>1301</v>
      </c>
      <c r="Q7" s="541" t="s">
        <v>1302</v>
      </c>
      <c r="R7" s="541" t="s">
        <v>1273</v>
      </c>
      <c r="S7" s="541" t="s">
        <v>1303</v>
      </c>
      <c r="T7" s="541" t="s">
        <v>1304</v>
      </c>
      <c r="U7" s="541" t="s">
        <v>1305</v>
      </c>
      <c r="W7" s="541" t="s">
        <v>1306</v>
      </c>
    </row>
    <row r="8" spans="1:23" ht="18.75" customHeight="1" x14ac:dyDescent="0.25">
      <c r="A8" s="250" t="s">
        <v>1307</v>
      </c>
      <c r="B8" s="256" t="s">
        <v>1162</v>
      </c>
      <c r="C8" s="256"/>
      <c r="D8" s="505" t="s">
        <v>1308</v>
      </c>
      <c r="E8" s="541" t="s">
        <v>1309</v>
      </c>
      <c r="F8" s="541" t="s">
        <v>1310</v>
      </c>
      <c r="G8" s="541" t="s">
        <v>1311</v>
      </c>
      <c r="H8" s="541" t="s">
        <v>1312</v>
      </c>
      <c r="I8" s="541" t="s">
        <v>1313</v>
      </c>
      <c r="K8" s="505" t="s">
        <v>1314</v>
      </c>
      <c r="L8" s="261" t="str">
        <f>CONCATENATE("你從何時、何地開始駕駛",word用!$Z$2,"(",word用!$AA$2,")？行駛的距離？欲前往何處？")</f>
        <v>你從何時、何地開始駕駛輕機(EWJ-8123)？行駛的距離？欲前往何處？</v>
      </c>
      <c r="M8" s="260"/>
      <c r="N8" s="260" t="str">
        <f>CONCATENATE("你以何方式施用毒品",輸入!$H$7,"？有無以扣案之物品作為施用之器具？多久施用1次？數量為何？")</f>
        <v>你以何方式施用毒品0.67？有無以扣案之物品作為施用之器具？多久施用1次？數量為何？</v>
      </c>
      <c r="O8" s="266" t="s">
        <v>1315</v>
      </c>
      <c r="P8" s="541" t="s">
        <v>1316</v>
      </c>
      <c r="Q8" s="541" t="s">
        <v>1317</v>
      </c>
      <c r="R8" s="541" t="s">
        <v>1318</v>
      </c>
      <c r="S8" s="541" t="s">
        <v>1319</v>
      </c>
      <c r="T8" s="541" t="s">
        <v>1320</v>
      </c>
      <c r="U8" s="541" t="s">
        <v>1321</v>
      </c>
      <c r="W8" s="541" t="s">
        <v>1195</v>
      </c>
    </row>
    <row r="9" spans="1:23" ht="18.75" customHeight="1" x14ac:dyDescent="0.25">
      <c r="A9" s="250" t="s">
        <v>1322</v>
      </c>
      <c r="B9" s="256" t="s">
        <v>1174</v>
      </c>
      <c r="C9" s="256"/>
      <c r="E9" s="541" t="s">
        <v>1323</v>
      </c>
      <c r="F9" s="541" t="s">
        <v>1324</v>
      </c>
      <c r="G9" s="541" t="s">
        <v>1325</v>
      </c>
      <c r="H9" s="541" t="s">
        <v>1326</v>
      </c>
      <c r="I9" s="541" t="s">
        <v>1327</v>
      </c>
      <c r="J9" s="256"/>
      <c r="K9" s="505" t="s">
        <v>1328</v>
      </c>
      <c r="L9" s="261" t="s">
        <v>1329</v>
      </c>
      <c r="M9" s="260"/>
      <c r="N9" s="260" t="str">
        <f>CONCATENATE("你(於前案後)於何時、何地施用毒品",輸入!$H$7,"？")</f>
        <v>你(於前案後)於何時、何地施用毒品0.67？</v>
      </c>
      <c r="O9" s="265" t="s">
        <v>1330</v>
      </c>
      <c r="P9" s="541" t="s">
        <v>1331</v>
      </c>
      <c r="Q9" s="541" t="s">
        <v>1332</v>
      </c>
      <c r="R9" s="541" t="s">
        <v>1333</v>
      </c>
      <c r="S9" s="541" t="s">
        <v>1334</v>
      </c>
      <c r="T9" s="541" t="s">
        <v>1335</v>
      </c>
      <c r="U9" s="541" t="s">
        <v>1336</v>
      </c>
      <c r="W9" s="541" t="s">
        <v>1205</v>
      </c>
    </row>
    <row r="10" spans="1:23" ht="18.75" customHeight="1" x14ac:dyDescent="0.25">
      <c r="A10" s="250" t="s">
        <v>1337</v>
      </c>
      <c r="B10" s="256" t="s">
        <v>1186</v>
      </c>
      <c r="C10" s="256"/>
      <c r="E10" s="541" t="s">
        <v>1338</v>
      </c>
      <c r="F10" s="541" t="s">
        <v>1339</v>
      </c>
      <c r="G10" s="541" t="s">
        <v>1340</v>
      </c>
      <c r="H10" s="541" t="s">
        <v>1341</v>
      </c>
      <c r="I10" s="541" t="s">
        <v>1342</v>
      </c>
      <c r="J10" s="256"/>
      <c r="K10" s="505" t="s">
        <v>1343</v>
      </c>
      <c r="L10" s="261" t="s">
        <v>1344</v>
      </c>
      <c r="M10" s="260"/>
      <c r="N10" s="260" t="str">
        <f>CONCATENATE("你所施用之毒品",輸入!$H$7,"係於何時、何地、向何人取得？價格、數量為何？")</f>
        <v>你所施用之毒品0.67係於何時、何地、向何人取得？價格、數量為何？</v>
      </c>
      <c r="O10" s="265"/>
      <c r="P10" s="541" t="s">
        <v>1342</v>
      </c>
      <c r="Q10" s="541" t="s">
        <v>1331</v>
      </c>
      <c r="R10" s="541" t="s">
        <v>1345</v>
      </c>
      <c r="S10" s="541" t="s">
        <v>1346</v>
      </c>
      <c r="T10" s="541" t="s">
        <v>1347</v>
      </c>
      <c r="U10" s="541" t="s">
        <v>1348</v>
      </c>
      <c r="W10" s="541" t="s">
        <v>1217</v>
      </c>
    </row>
    <row r="11" spans="1:23" ht="18.75" customHeight="1" x14ac:dyDescent="0.25">
      <c r="A11" s="250" t="s">
        <v>1349</v>
      </c>
      <c r="B11" s="503" t="s">
        <v>1197</v>
      </c>
      <c r="C11" s="256"/>
      <c r="E11" s="541" t="s">
        <v>1350</v>
      </c>
      <c r="F11" s="541" t="s">
        <v>1351</v>
      </c>
      <c r="G11" s="541" t="s">
        <v>1352</v>
      </c>
      <c r="H11" s="541" t="s">
        <v>1353</v>
      </c>
      <c r="I11" s="541" t="s">
        <v>1354</v>
      </c>
      <c r="J11" s="256"/>
      <c r="K11" s="411" t="s">
        <v>1355</v>
      </c>
      <c r="L11" s="261" t="s">
        <v>1356</v>
      </c>
      <c r="M11" s="260"/>
      <c r="N11" s="260" t="s">
        <v>1357</v>
      </c>
      <c r="O11" s="36"/>
      <c r="P11" s="541" t="s">
        <v>1358</v>
      </c>
      <c r="Q11" s="541" t="s">
        <v>1342</v>
      </c>
      <c r="R11" s="541" t="s">
        <v>1359</v>
      </c>
      <c r="S11" s="541" t="s">
        <v>1360</v>
      </c>
      <c r="T11" s="541" t="s">
        <v>1361</v>
      </c>
      <c r="U11" s="541" t="s">
        <v>1362</v>
      </c>
      <c r="W11" s="541" t="s">
        <v>1222</v>
      </c>
    </row>
    <row r="12" spans="1:23" ht="18.75" customHeight="1" x14ac:dyDescent="0.25">
      <c r="A12" s="536" t="s">
        <v>1363</v>
      </c>
      <c r="B12" s="256" t="s">
        <v>1207</v>
      </c>
      <c r="C12" s="255"/>
      <c r="E12" s="541" t="s">
        <v>1364</v>
      </c>
      <c r="F12" s="541" t="s">
        <v>1365</v>
      </c>
      <c r="G12" s="541" t="s">
        <v>1366</v>
      </c>
      <c r="H12" s="541" t="s">
        <v>1367</v>
      </c>
      <c r="I12" s="541" t="s">
        <v>1368</v>
      </c>
      <c r="J12" s="256"/>
      <c r="K12" s="505" t="s">
        <v>1369</v>
      </c>
      <c r="L12" s="261" t="s">
        <v>1370</v>
      </c>
      <c r="M12" s="260"/>
      <c r="N12" s="260" t="s">
        <v>1371</v>
      </c>
      <c r="O12" s="252"/>
      <c r="P12" s="541" t="s">
        <v>1372</v>
      </c>
      <c r="Q12" s="541" t="s">
        <v>1373</v>
      </c>
      <c r="R12" s="541" t="s">
        <v>1374</v>
      </c>
      <c r="S12" s="541" t="s">
        <v>1375</v>
      </c>
      <c r="T12" s="541" t="s">
        <v>1376</v>
      </c>
      <c r="U12" s="541" t="s">
        <v>1377</v>
      </c>
      <c r="W12" s="541" t="s">
        <v>1225</v>
      </c>
    </row>
    <row r="13" spans="1:23" ht="18.75" customHeight="1" x14ac:dyDescent="0.25">
      <c r="A13" s="505" t="s">
        <v>1378</v>
      </c>
      <c r="B13" s="36" t="s">
        <v>1213</v>
      </c>
      <c r="C13" s="48"/>
      <c r="E13" s="541" t="s">
        <v>1379</v>
      </c>
      <c r="F13" s="541" t="s">
        <v>1380</v>
      </c>
      <c r="G13" s="541" t="s">
        <v>1381</v>
      </c>
      <c r="H13" s="541" t="s">
        <v>1354</v>
      </c>
      <c r="I13" s="541" t="s">
        <v>1382</v>
      </c>
      <c r="J13" s="48"/>
      <c r="K13" s="505" t="s">
        <v>1383</v>
      </c>
      <c r="L13" s="261" t="s">
        <v>1384</v>
      </c>
      <c r="M13" s="260"/>
      <c r="N13" s="262" t="s">
        <v>1385</v>
      </c>
      <c r="O13" s="249"/>
      <c r="P13" s="541" t="s">
        <v>1386</v>
      </c>
      <c r="Q13" s="541" t="s">
        <v>1387</v>
      </c>
      <c r="R13" s="541" t="s">
        <v>1342</v>
      </c>
      <c r="S13" s="541" t="s">
        <v>1388</v>
      </c>
      <c r="T13" s="541" t="s">
        <v>1389</v>
      </c>
      <c r="U13" s="541" t="s">
        <v>1390</v>
      </c>
      <c r="W13" s="541" t="s">
        <v>1227</v>
      </c>
    </row>
    <row r="14" spans="1:23" ht="18.75" customHeight="1" x14ac:dyDescent="0.25">
      <c r="A14" s="505"/>
      <c r="B14" s="36" t="s">
        <v>1218</v>
      </c>
      <c r="C14" s="36"/>
      <c r="E14" s="541" t="s">
        <v>1391</v>
      </c>
      <c r="F14" s="541" t="s">
        <v>1392</v>
      </c>
      <c r="G14" s="541" t="s">
        <v>1393</v>
      </c>
      <c r="H14" s="541" t="s">
        <v>1394</v>
      </c>
      <c r="I14" s="541" t="s">
        <v>1395</v>
      </c>
      <c r="J14" s="36"/>
      <c r="K14" s="505" t="s">
        <v>1222</v>
      </c>
      <c r="L14" s="260" t="s">
        <v>1396</v>
      </c>
      <c r="M14" s="260"/>
      <c r="N14" s="260" t="s">
        <v>1397</v>
      </c>
      <c r="O14" s="505"/>
      <c r="P14" s="541" t="s">
        <v>1398</v>
      </c>
      <c r="Q14" s="541" t="s">
        <v>1399</v>
      </c>
      <c r="R14" s="541" t="s">
        <v>1373</v>
      </c>
      <c r="S14" s="541" t="s">
        <v>1400</v>
      </c>
      <c r="T14" s="541" t="s">
        <v>1401</v>
      </c>
      <c r="U14" s="541" t="s">
        <v>1402</v>
      </c>
    </row>
    <row r="15" spans="1:23" ht="18.75" customHeight="1" x14ac:dyDescent="0.25">
      <c r="E15" s="541" t="s">
        <v>1403</v>
      </c>
      <c r="F15" s="541" t="s">
        <v>1404</v>
      </c>
      <c r="G15" s="541" t="s">
        <v>1405</v>
      </c>
      <c r="H15" s="541" t="s">
        <v>1406</v>
      </c>
      <c r="I15" s="541" t="s">
        <v>1407</v>
      </c>
      <c r="K15" s="505" t="s">
        <v>1408</v>
      </c>
      <c r="L15" s="260" t="s">
        <v>1409</v>
      </c>
      <c r="M15" s="260"/>
      <c r="N15" s="260" t="s">
        <v>1410</v>
      </c>
      <c r="O15" s="505"/>
      <c r="P15" s="541" t="s">
        <v>1411</v>
      </c>
      <c r="Q15" s="541" t="s">
        <v>1412</v>
      </c>
      <c r="R15" s="541" t="s">
        <v>1413</v>
      </c>
      <c r="S15" s="541" t="s">
        <v>1342</v>
      </c>
      <c r="T15" s="541" t="s">
        <v>1414</v>
      </c>
      <c r="U15" s="541" t="s">
        <v>1342</v>
      </c>
    </row>
    <row r="16" spans="1:23" ht="18.75" customHeight="1" x14ac:dyDescent="0.25">
      <c r="E16" s="541" t="s">
        <v>1415</v>
      </c>
      <c r="F16" s="541" t="s">
        <v>1407</v>
      </c>
      <c r="G16" s="541" t="s">
        <v>1416</v>
      </c>
      <c r="H16" s="541" t="s">
        <v>1407</v>
      </c>
      <c r="I16" s="541" t="s">
        <v>1417</v>
      </c>
      <c r="K16" s="505" t="s">
        <v>1418</v>
      </c>
      <c r="L16" s="260" t="s">
        <v>1419</v>
      </c>
      <c r="M16" s="260"/>
      <c r="N16" s="260" t="s">
        <v>1420</v>
      </c>
      <c r="O16" s="36"/>
      <c r="P16" s="541" t="s">
        <v>1417</v>
      </c>
      <c r="Q16" s="541" t="s">
        <v>1417</v>
      </c>
      <c r="R16" s="541" t="s">
        <v>1421</v>
      </c>
      <c r="S16" s="541" t="s">
        <v>1422</v>
      </c>
      <c r="T16" s="541" t="s">
        <v>1423</v>
      </c>
      <c r="U16" s="541" t="s">
        <v>1424</v>
      </c>
    </row>
    <row r="17" spans="5:21" ht="18.75" customHeight="1" x14ac:dyDescent="0.25">
      <c r="E17" s="541" t="s">
        <v>1425</v>
      </c>
      <c r="F17" s="541" t="s">
        <v>1426</v>
      </c>
      <c r="G17" s="541" t="s">
        <v>1427</v>
      </c>
      <c r="H17" s="541" t="s">
        <v>1428</v>
      </c>
      <c r="I17" s="541" t="s">
        <v>1429</v>
      </c>
      <c r="K17" s="505" t="s">
        <v>1430</v>
      </c>
      <c r="L17" s="260" t="s">
        <v>1431</v>
      </c>
      <c r="M17" s="260"/>
      <c r="N17" s="260" t="s">
        <v>1432</v>
      </c>
      <c r="O17" s="36"/>
      <c r="P17" s="541" t="s">
        <v>1429</v>
      </c>
      <c r="Q17" s="541" t="s">
        <v>1429</v>
      </c>
      <c r="R17" s="541" t="s">
        <v>1433</v>
      </c>
      <c r="S17" s="541" t="s">
        <v>1424</v>
      </c>
      <c r="T17" s="541" t="s">
        <v>1434</v>
      </c>
      <c r="U17" s="541" t="s">
        <v>1435</v>
      </c>
    </row>
    <row r="18" spans="5:21" ht="18.75" customHeight="1" x14ac:dyDescent="0.25">
      <c r="E18" s="541" t="s">
        <v>1436</v>
      </c>
      <c r="F18" s="541" t="s">
        <v>1437</v>
      </c>
      <c r="G18" s="541" t="s">
        <v>1438</v>
      </c>
      <c r="H18" s="541" t="s">
        <v>1438</v>
      </c>
      <c r="I18" s="541" t="s">
        <v>1439</v>
      </c>
      <c r="K18" s="505" t="s">
        <v>1440</v>
      </c>
      <c r="P18" s="541" t="s">
        <v>1439</v>
      </c>
      <c r="Q18" s="541" t="s">
        <v>1439</v>
      </c>
      <c r="R18" s="541" t="s">
        <v>1439</v>
      </c>
      <c r="S18" s="541" t="s">
        <v>1439</v>
      </c>
      <c r="T18" s="541" t="s">
        <v>1439</v>
      </c>
      <c r="U18" s="541" t="s">
        <v>1439</v>
      </c>
    </row>
  </sheetData>
  <phoneticPr fontId="1" type="noConversion"/>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工作表53"/>
  <dimension ref="A1:E18"/>
  <sheetViews>
    <sheetView workbookViewId="0">
      <selection activeCell="A8" sqref="A8"/>
    </sheetView>
  </sheetViews>
  <sheetFormatPr defaultRowHeight="16.5" x14ac:dyDescent="0.25"/>
  <sheetData>
    <row r="1" spans="1:5" ht="19.5" customHeight="1" x14ac:dyDescent="0.25">
      <c r="A1" s="335" t="s">
        <v>1441</v>
      </c>
      <c r="B1" s="335" t="s">
        <v>1442</v>
      </c>
      <c r="C1" s="87" t="s">
        <v>185</v>
      </c>
      <c r="D1" s="541" t="s">
        <v>1061</v>
      </c>
      <c r="E1" s="541" t="s">
        <v>1062</v>
      </c>
    </row>
    <row r="2" spans="1:5" ht="17.25" customHeight="1" x14ac:dyDescent="0.25">
      <c r="A2" s="250" t="s">
        <v>1443</v>
      </c>
      <c r="B2" s="247" t="s">
        <v>1444</v>
      </c>
      <c r="C2" s="505" t="s">
        <v>1445</v>
      </c>
      <c r="E2" s="541" t="s">
        <v>1077</v>
      </c>
    </row>
    <row r="3" spans="1:5" x14ac:dyDescent="0.25">
      <c r="A3" s="247" t="s">
        <v>1445</v>
      </c>
      <c r="B3" s="247" t="str">
        <f>CONCATENATE("當被害人遭",呈報單!$G$15,"時，你是否在場？請說明事情過程？")</f>
        <v>當被害人遭毀損時，你是否在場？請說明事情過程？</v>
      </c>
      <c r="C3" s="505" t="str">
        <f>CONCATENATE("你今(",MID(輸入!$C$10,6,2),")日因何事接受警方製作筆錄？")</f>
        <v>你今(12)日因何事接受警方製作筆錄？</v>
      </c>
      <c r="E3" s="541" t="s">
        <v>1094</v>
      </c>
    </row>
    <row r="4" spans="1:5" x14ac:dyDescent="0.25">
      <c r="A4" s="247" t="s">
        <v>1446</v>
      </c>
      <c r="B4" s="247" t="str">
        <f>CONCATENATE("你今(",MID(輸入!$C$10,6,2),")日因何事接受警方製作筆錄？")</f>
        <v>你今(12)日因何事接受警方製作筆錄？</v>
      </c>
      <c r="C4" s="505" t="str">
        <f>CONCATENATE("你於何時、何地、如何發現",輸入!$B$17,"狀況？過程為何？請詳述之。")</f>
        <v>你於何時、何地、如何發現黃軾錦狀況？過程為何？請詳述之。</v>
      </c>
      <c r="E4" s="541" t="s">
        <v>1111</v>
      </c>
    </row>
    <row r="5" spans="1:5" ht="20.25" customHeight="1" x14ac:dyDescent="0.25">
      <c r="A5" s="250" t="s">
        <v>1447</v>
      </c>
      <c r="B5" s="247" t="s">
        <v>1448</v>
      </c>
      <c r="C5" s="505" t="str">
        <f>CONCATENATE("經該",輸入!$L$17,"子送台北馬偕醫院，經醫生於113年1月10日8時30分宣告不治死亡，你是否為真?")</f>
        <v>經該男子送台北馬偕醫院，經醫生於113年1月10日8時30分宣告不治死亡，你是否為真?</v>
      </c>
      <c r="E5" s="541" t="s">
        <v>1449</v>
      </c>
    </row>
    <row r="6" spans="1:5" x14ac:dyDescent="0.25">
      <c r="A6" s="247" t="s">
        <v>1450</v>
      </c>
      <c r="B6" s="247" t="s">
        <v>1451</v>
      </c>
      <c r="C6" s="505" t="s">
        <v>1452</v>
      </c>
      <c r="E6" s="541" t="s">
        <v>1270</v>
      </c>
    </row>
    <row r="7" spans="1:5" x14ac:dyDescent="0.25">
      <c r="A7" s="247" t="str">
        <f>CONCATENATE("你於",LEFT(下拉用!$J$4,10),"第一次警詢筆錄的陳述是否實在?")</f>
        <v>你於115年09月12日第一次警詢筆錄的陳述是否實在?</v>
      </c>
      <c r="B7" s="247" t="s">
        <v>1114</v>
      </c>
      <c r="C7" s="505" t="str">
        <f>CONCATENATE("你與",輸入!$B$17,"是什麼關係？",輸入!$B$17,"之年籍資料、聯絡方式為何？",輸入!$B$17,"有無使用交通工具？使用何交通工具？你瞭解",輸入!$B$17,"生活狀況如何？最近生活有無異常？交友狀況如何？有無與人糾紛或結怨？你瞭解",輸入!$B$17,"家庭狀況如何？")</f>
        <v>你與黃軾錦是什麼關係？黃軾錦之年籍資料、聯絡方式為何？黃軾錦有無使用交通工具？使用何交通工具？你瞭解黃軾錦生活狀況如何？最近生活有無異常？交友狀況如何？有無與人糾紛或結怨？你瞭解黃軾錦家庭狀況如何？</v>
      </c>
      <c r="E7" s="541" t="s">
        <v>1453</v>
      </c>
    </row>
    <row r="8" spans="1:5" x14ac:dyDescent="0.25">
      <c r="A8" s="247"/>
      <c r="B8" s="247" t="s">
        <v>1454</v>
      </c>
      <c r="C8" s="505" t="str">
        <f>CONCATENATE("是否知悉",輸入!$B$17,"有無投保保險？",輸入!$B$17,"經濟來源為何？有無工作？")</f>
        <v>是否知悉黃軾錦有無投保保險？黃軾錦經濟來源為何？有無工作？</v>
      </c>
      <c r="E8" s="541" t="s">
        <v>1306</v>
      </c>
    </row>
    <row r="9" spans="1:5" x14ac:dyDescent="0.25">
      <c r="A9" s="247"/>
      <c r="B9" s="247" t="s">
        <v>1455</v>
      </c>
      <c r="C9" s="505" t="str">
        <f>CONCATENATE(,輸入!$B$17,"身體健康狀況如何？有無疾病纏身？有無生前就醫紀錄？")</f>
        <v>黃軾錦身體健康狀況如何？有無疾病纏身？有無生前就醫紀錄？</v>
      </c>
      <c r="E9" s="541" t="s">
        <v>1195</v>
      </c>
    </row>
    <row r="10" spans="1:5" x14ac:dyDescent="0.25">
      <c r="A10" s="247"/>
      <c r="B10" s="247" t="s">
        <v>1456</v>
      </c>
      <c r="C10" s="505" t="str">
        <f>CONCATENATE(,輸入!$B$17,"曾有無表示想輕生念頭？有無留下遺書？現場是否留有遺書？")</f>
        <v>黃軾錦曾有無表示想輕生念頭？有無留下遺書？現場是否留有遺書？</v>
      </c>
      <c r="E10" s="541" t="s">
        <v>1205</v>
      </c>
    </row>
    <row r="11" spans="1:5" x14ac:dyDescent="0.25">
      <c r="A11" s="247"/>
      <c r="B11" s="247" t="s">
        <v>1457</v>
      </c>
      <c r="C11" s="505" t="str">
        <f>CONCATENATE(,輸入!$B$17,"大體目前放置於何處？")</f>
        <v>黃軾錦大體目前放置於何處？</v>
      </c>
      <c r="E11" s="541" t="s">
        <v>1211</v>
      </c>
    </row>
    <row r="12" spans="1:5" ht="165" x14ac:dyDescent="0.25">
      <c r="A12" s="505"/>
      <c r="B12" s="255" t="s">
        <v>1458</v>
      </c>
      <c r="C12" s="505" t="str">
        <f>CONCATENATE("你對於",輸入!$B$17,"之死亡有無任何意見？")</f>
        <v>你對於黃軾錦之死亡有無任何意見？</v>
      </c>
      <c r="E12" s="541" t="s">
        <v>1459</v>
      </c>
    </row>
    <row r="13" spans="1:5" x14ac:dyDescent="0.25">
      <c r="A13" s="505"/>
      <c r="B13" s="541" t="s">
        <v>1094</v>
      </c>
      <c r="C13" s="503" t="s">
        <v>1447</v>
      </c>
      <c r="E13" s="541" t="s">
        <v>1460</v>
      </c>
    </row>
    <row r="14" spans="1:5" x14ac:dyDescent="0.25">
      <c r="A14" s="505"/>
      <c r="B14" s="541"/>
      <c r="E14" s="541" t="s">
        <v>1461</v>
      </c>
    </row>
    <row r="15" spans="1:5" x14ac:dyDescent="0.25">
      <c r="B15" s="541"/>
      <c r="E15" s="541" t="s">
        <v>1462</v>
      </c>
    </row>
    <row r="16" spans="1:5" x14ac:dyDescent="0.25">
      <c r="B16" s="541"/>
      <c r="E16" s="541" t="s">
        <v>1463</v>
      </c>
    </row>
    <row r="17" spans="5:5" x14ac:dyDescent="0.25">
      <c r="E17" s="541" t="s">
        <v>1225</v>
      </c>
    </row>
    <row r="18" spans="5:5" x14ac:dyDescent="0.25">
      <c r="E18" s="541" t="s">
        <v>1227</v>
      </c>
    </row>
  </sheetData>
  <phoneticPr fontId="1" type="noConversion"/>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工作表28"/>
  <dimension ref="A1:T2"/>
  <sheetViews>
    <sheetView workbookViewId="0">
      <selection activeCell="H2" sqref="H2"/>
    </sheetView>
  </sheetViews>
  <sheetFormatPr defaultRowHeight="16.5" x14ac:dyDescent="0.25"/>
  <cols>
    <col min="1" max="1" width="6.25" style="505" customWidth="1"/>
    <col min="2" max="2" width="6.625" style="505" customWidth="1"/>
    <col min="3" max="3" width="9" style="505" customWidth="1"/>
    <col min="4" max="4" width="8.75" style="505" customWidth="1"/>
    <col min="5" max="5" width="8" style="505" customWidth="1"/>
    <col min="6" max="6" width="14.25" style="505" customWidth="1"/>
    <col min="7" max="8" width="10.875" style="505" customWidth="1"/>
    <col min="9" max="9" width="13.125" style="505" customWidth="1"/>
    <col min="10" max="10" width="7.5" style="505" customWidth="1"/>
    <col min="11" max="11" width="8.625" style="505" customWidth="1"/>
    <col min="12" max="12" width="4.875" style="505" customWidth="1"/>
    <col min="13" max="13" width="10.875" style="505" customWidth="1"/>
    <col min="14" max="15" width="9" style="505" customWidth="1"/>
    <col min="16" max="16" width="8.875" style="505" customWidth="1"/>
    <col min="17" max="17" width="8.5" style="505" customWidth="1"/>
    <col min="18" max="18" width="11.75" style="505" customWidth="1"/>
    <col min="19" max="19" width="9" style="505" customWidth="1"/>
    <col min="20" max="20" width="18" style="505" customWidth="1"/>
    <col min="21" max="21" width="8.375" style="505" customWidth="1"/>
    <col min="22" max="22" width="9" style="505" customWidth="1"/>
    <col min="23" max="16384" width="9" style="505"/>
  </cols>
  <sheetData>
    <row r="1" spans="1:20" ht="18" customHeight="1" x14ac:dyDescent="0.25">
      <c r="A1" s="44" t="s">
        <v>68</v>
      </c>
      <c r="B1" s="44" t="s">
        <v>269</v>
      </c>
      <c r="C1" s="44" t="s">
        <v>1464</v>
      </c>
      <c r="D1" s="44" t="s">
        <v>82</v>
      </c>
      <c r="E1" s="44" t="s">
        <v>89</v>
      </c>
      <c r="F1" s="44" t="s">
        <v>2</v>
      </c>
      <c r="G1" s="45" t="s">
        <v>117</v>
      </c>
      <c r="H1" s="454" t="s">
        <v>1465</v>
      </c>
      <c r="I1" s="454" t="s">
        <v>1466</v>
      </c>
      <c r="J1" s="454" t="str">
        <f>輸入!S24</f>
        <v>拍照人</v>
      </c>
      <c r="K1" s="505" t="s">
        <v>1467</v>
      </c>
      <c r="L1" s="505" t="s">
        <v>67</v>
      </c>
      <c r="M1" s="505" t="s">
        <v>1468</v>
      </c>
      <c r="N1" s="505" t="s">
        <v>1469</v>
      </c>
      <c r="O1" s="505" t="s">
        <v>283</v>
      </c>
      <c r="P1" s="505" t="s">
        <v>1470</v>
      </c>
      <c r="Q1" s="505" t="s">
        <v>1471</v>
      </c>
      <c r="R1" s="87" t="s">
        <v>1472</v>
      </c>
      <c r="S1" s="505" t="s">
        <v>1473</v>
      </c>
      <c r="T1" s="505" t="s">
        <v>117</v>
      </c>
    </row>
    <row r="2" spans="1:20" x14ac:dyDescent="0.25">
      <c r="A2" s="452" t="str">
        <f>LEFT(輸入!$C$10,3)</f>
        <v>115</v>
      </c>
      <c r="B2" s="452" t="str">
        <f>MID(輸入!$C$10,4,2)</f>
        <v>09</v>
      </c>
      <c r="C2" s="452" t="str">
        <f>輸入!$S$18</f>
        <v>臺北市</v>
      </c>
      <c r="D2" s="452" t="str">
        <f>CONCATENATE(輸入!$S$19,輸入!$T$19)</f>
        <v>信義分局</v>
      </c>
      <c r="E2" s="452" t="str">
        <f>輸入!$S$20</f>
        <v>吳興街</v>
      </c>
      <c r="F2" s="452" t="str">
        <f>CONCATENATE(,word用!$H$2,"遭",呈報單!$G$15,"案")</f>
        <v>顏文祥遭毀損案</v>
      </c>
      <c r="G2" s="42" t="str">
        <f>下拉用!$J$6</f>
        <v>114年05月05日05時05分</v>
      </c>
      <c r="H2" s="42" t="str">
        <f>輸入!$C$7</f>
        <v>臺北市信義區吳興街206號</v>
      </c>
      <c r="I2" s="42" t="str">
        <f>輸入!$S$23</f>
        <v>台北市信義區吳興街262號</v>
      </c>
      <c r="J2" s="42" t="str">
        <f>輸入!$U$24</f>
        <v>蘇詠棠</v>
      </c>
      <c r="K2" s="480" t="str">
        <f>CONCATENATE(輸入!$S$18,輸入!$T$18,輸入!$S$19,輸入!$T$19)</f>
        <v>臺北市政府警察局信義分局</v>
      </c>
      <c r="L2" s="480" t="str">
        <f>CONCATENATE(,輸入!$S$20,輸入!$T$20)</f>
        <v>吳興街派出所</v>
      </c>
      <c r="M2" s="505" t="str">
        <f>輸入!$S$23</f>
        <v>台北市信義區吳興街262號</v>
      </c>
      <c r="N2" s="505" t="str">
        <f>輸入!$O$8</f>
        <v>蘇詠棠</v>
      </c>
      <c r="O2" s="505" t="str">
        <f>輸入!$T$21</f>
        <v>(02)27398997</v>
      </c>
      <c r="P2" s="505" t="str">
        <f>CONCATENATE("中華民國",LEFT(下拉用!$J$9,10))</f>
        <v>中華民國115年09月12日</v>
      </c>
      <c r="Q2" s="505" t="str">
        <f>CONCATENATE(輸入!$S$19,LEFT(輸入!$S$20,1),"字第",輸入!$C$10,"號")</f>
        <v>信義吳字第11509121330號</v>
      </c>
      <c r="R2" s="505" t="str">
        <f>LEFT(下拉用!$J$9,10)</f>
        <v>115年09月12日</v>
      </c>
      <c r="S2" s="505" t="str">
        <f>輸入!$C$7</f>
        <v>臺北市信義區吳興街206號</v>
      </c>
      <c r="T2" s="505" t="str">
        <f>LEFT(下拉用!$J$6,13)</f>
        <v>114年05月05日05時</v>
      </c>
    </row>
  </sheetData>
  <phoneticPr fontId="1" type="noConversion"/>
  <pageMargins left="0.7" right="0.7" top="0.75" bottom="0.75" header="0.3" footer="0.3"/>
  <pageSetup paperSize="9" orientation="portrai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工作表15">
    <tabColor rgb="FF92D050"/>
  </sheetPr>
  <dimension ref="A1:V21"/>
  <sheetViews>
    <sheetView view="pageLayout" topLeftCell="A2" zoomScale="85" zoomScaleNormal="100" zoomScalePageLayoutView="85" workbookViewId="0">
      <selection activeCell="Q8" sqref="Q8:V8"/>
    </sheetView>
  </sheetViews>
  <sheetFormatPr defaultColWidth="9" defaultRowHeight="16.5" x14ac:dyDescent="0.25"/>
  <cols>
    <col min="1" max="1" width="6" style="545" customWidth="1"/>
    <col min="2" max="3" width="4.875" style="545" customWidth="1"/>
    <col min="4" max="4" width="7.875" style="545" customWidth="1"/>
    <col min="5" max="5" width="10.25" style="545" customWidth="1"/>
    <col min="6" max="6" width="10.875" style="545" customWidth="1"/>
    <col min="7" max="7" width="5.5" style="545" customWidth="1"/>
    <col min="8" max="8" width="20.125" style="545" customWidth="1"/>
    <col min="9" max="9" width="4" style="545" customWidth="1"/>
    <col min="10" max="11" width="7.5" style="545" customWidth="1"/>
    <col min="12" max="12" width="6" style="545" customWidth="1"/>
    <col min="13" max="14" width="4.875" style="545" customWidth="1"/>
    <col min="15" max="15" width="8.375" style="545" customWidth="1"/>
    <col min="16" max="16" width="10.25" style="545" customWidth="1"/>
    <col min="17" max="17" width="10.5" style="545" customWidth="1"/>
    <col min="18" max="18" width="5.5" style="545" customWidth="1"/>
    <col min="19" max="19" width="18.125" style="545" customWidth="1"/>
    <col min="20" max="20" width="3" style="545" customWidth="1"/>
    <col min="21" max="21" width="8.375" style="545" customWidth="1"/>
    <col min="22" max="22" width="8.75" style="545" customWidth="1"/>
  </cols>
  <sheetData>
    <row r="1" spans="1:22" ht="45.75" customHeight="1" thickBot="1" x14ac:dyDescent="0.3">
      <c r="A1" s="966" t="str">
        <f>CONCATENATE(,輸入!$S$19,輸入!$T$19,輸入!$S$20,輸入!$T$20,"酒測密錄器照片")</f>
        <v>信義分局吳興街派出所酒測密錄器照片</v>
      </c>
      <c r="B1" s="681"/>
      <c r="C1" s="681"/>
      <c r="D1" s="681"/>
      <c r="E1" s="681"/>
      <c r="F1" s="681"/>
      <c r="G1" s="681"/>
      <c r="H1" s="681"/>
      <c r="I1" s="681"/>
      <c r="J1" s="681"/>
      <c r="K1" s="681"/>
      <c r="L1" s="966" t="str">
        <f>CONCATENATE(,輸入!$S$19,輸入!$T$19,輸入!$S$20,輸入!$T$20,"酒測密錄器照片")</f>
        <v>信義分局吳興街派出所酒測密錄器照片</v>
      </c>
      <c r="M1" s="681"/>
      <c r="N1" s="681"/>
      <c r="O1" s="681"/>
      <c r="P1" s="681"/>
      <c r="Q1" s="681"/>
      <c r="R1" s="681"/>
      <c r="S1" s="681"/>
      <c r="T1" s="681"/>
      <c r="U1" s="681"/>
      <c r="V1" s="681"/>
    </row>
    <row r="2" spans="1:22" ht="19.7" customHeight="1" thickTop="1" thickBot="1" x14ac:dyDescent="0.3">
      <c r="A2" s="1259" t="s">
        <v>1474</v>
      </c>
      <c r="B2" s="543" t="s">
        <v>68</v>
      </c>
      <c r="C2" s="543" t="s">
        <v>269</v>
      </c>
      <c r="D2" s="543" t="s">
        <v>1464</v>
      </c>
      <c r="E2" s="543" t="s">
        <v>82</v>
      </c>
      <c r="F2" s="544" t="s">
        <v>1475</v>
      </c>
      <c r="G2" s="136"/>
      <c r="J2" s="135"/>
      <c r="K2" s="135"/>
      <c r="L2" s="1259" t="s">
        <v>1474</v>
      </c>
      <c r="M2" s="543" t="s">
        <v>68</v>
      </c>
      <c r="N2" s="543" t="s">
        <v>269</v>
      </c>
      <c r="O2" s="543" t="s">
        <v>1464</v>
      </c>
      <c r="P2" s="543" t="s">
        <v>82</v>
      </c>
      <c r="Q2" s="544" t="s">
        <v>1475</v>
      </c>
      <c r="R2" s="136"/>
      <c r="U2" s="135"/>
      <c r="V2" s="135"/>
    </row>
    <row r="3" spans="1:22" ht="19.7" customHeight="1" thickTop="1" x14ac:dyDescent="0.25">
      <c r="A3" s="1260"/>
      <c r="B3" s="44" t="str">
        <f>LEFT(輸入!$H$5,3)</f>
        <v>114</v>
      </c>
      <c r="C3" s="44" t="str">
        <f>MID(輸入!$H$5,4,2)</f>
        <v>05</v>
      </c>
      <c r="D3" s="44" t="str">
        <f>輸入!$S$18</f>
        <v>臺北市</v>
      </c>
      <c r="E3" s="134" t="str">
        <f>CONCATENATE(,輸入!$S$19,輸入!$T$19)</f>
        <v>信義分局</v>
      </c>
      <c r="F3" s="513"/>
      <c r="G3" s="133" t="s">
        <v>2</v>
      </c>
      <c r="H3" s="1264" t="str">
        <f>CONCATENATE(,word用!$H$2,呈報單!$G$15,"案")</f>
        <v>顏文祥毀損案</v>
      </c>
      <c r="I3" s="1265"/>
      <c r="J3" s="1265"/>
      <c r="K3" s="1140"/>
      <c r="L3" s="1260"/>
      <c r="M3" s="44" t="str">
        <f>LEFT(輸入!$H$5,3)</f>
        <v>114</v>
      </c>
      <c r="N3" s="44" t="str">
        <f>MID(輸入!$H$5,4,2)</f>
        <v>05</v>
      </c>
      <c r="O3" s="44" t="str">
        <f>輸入!$S$18</f>
        <v>臺北市</v>
      </c>
      <c r="P3" s="134" t="str">
        <f>CONCATENATE(,輸入!$S$19,輸入!$T$19)</f>
        <v>信義分局</v>
      </c>
      <c r="Q3" s="513"/>
      <c r="R3" s="133" t="s">
        <v>2</v>
      </c>
      <c r="S3" s="1264" t="str">
        <f>CONCATENATE(,word用!$H$2,呈報單!$G$15,"案")</f>
        <v>顏文祥毀損案</v>
      </c>
      <c r="T3" s="1265"/>
      <c r="U3" s="1265"/>
      <c r="V3" s="1140"/>
    </row>
    <row r="4" spans="1:22" ht="19.7" hidden="1" customHeight="1" x14ac:dyDescent="0.25">
      <c r="A4" s="132"/>
      <c r="B4" s="130"/>
      <c r="C4" s="131"/>
      <c r="D4" s="130"/>
      <c r="E4" s="129"/>
      <c r="F4" s="128"/>
      <c r="G4" s="127"/>
      <c r="H4" s="95"/>
      <c r="I4" s="95"/>
      <c r="J4" s="95"/>
      <c r="K4" s="126"/>
      <c r="L4" s="132"/>
      <c r="M4" s="131"/>
      <c r="N4" s="131"/>
      <c r="O4" s="130"/>
      <c r="P4" s="129"/>
      <c r="Q4" s="128"/>
      <c r="R4" s="127"/>
      <c r="S4" s="95"/>
      <c r="T4" s="95"/>
      <c r="U4" s="95"/>
      <c r="V4" s="126"/>
    </row>
    <row r="5" spans="1:22" ht="19.7" customHeight="1" x14ac:dyDescent="0.25">
      <c r="A5" s="1267" t="s">
        <v>1476</v>
      </c>
      <c r="B5" s="1268"/>
      <c r="C5" s="125"/>
      <c r="D5" s="125"/>
      <c r="E5" s="125"/>
      <c r="F5" s="125"/>
      <c r="G5" s="125"/>
      <c r="H5" s="125"/>
      <c r="I5" s="125"/>
      <c r="J5" s="125"/>
      <c r="K5" s="124"/>
      <c r="L5" s="1267" t="s">
        <v>1477</v>
      </c>
      <c r="M5" s="1268"/>
      <c r="N5" s="125"/>
      <c r="O5" s="125"/>
      <c r="P5" s="125"/>
      <c r="Q5" s="125"/>
      <c r="R5" s="125"/>
      <c r="S5" s="125"/>
      <c r="T5" s="125"/>
      <c r="U5" s="125"/>
      <c r="V5" s="124"/>
    </row>
    <row r="6" spans="1:22" ht="269.25" customHeight="1" thickBot="1" x14ac:dyDescent="0.3">
      <c r="A6" s="1261"/>
      <c r="B6" s="670"/>
      <c r="C6" s="670"/>
      <c r="D6" s="670"/>
      <c r="E6" s="670"/>
      <c r="F6" s="670"/>
      <c r="G6" s="670"/>
      <c r="H6" s="670"/>
      <c r="I6" s="670"/>
      <c r="J6" s="670"/>
      <c r="K6" s="671"/>
      <c r="L6" s="1261"/>
      <c r="M6" s="670"/>
      <c r="N6" s="670"/>
      <c r="O6" s="670"/>
      <c r="P6" s="670"/>
      <c r="Q6" s="670"/>
      <c r="R6" s="670"/>
      <c r="S6" s="670"/>
      <c r="T6" s="670"/>
      <c r="U6" s="670"/>
      <c r="V6" s="671"/>
    </row>
    <row r="7" spans="1:22" ht="19.7" customHeight="1" x14ac:dyDescent="0.25">
      <c r="A7" s="1269" t="s">
        <v>117</v>
      </c>
      <c r="B7" s="785" t="str">
        <f>CONCATENATE(LEFT(輸入!$H$5,3),"年",MID(輸入!$H$5,4,2),"月",MID(輸入!$H$5,6,2),"日   ",MID(輸入!$H$5,8,2),"時",RIGHT(輸入!$H$5,2),"分")</f>
        <v>114年05月05日   05時05分</v>
      </c>
      <c r="C7" s="721"/>
      <c r="D7" s="786"/>
      <c r="E7" s="121" t="s">
        <v>1465</v>
      </c>
      <c r="F7" s="1266" t="str">
        <f>輸入!$C$7</f>
        <v>臺北市信義區吳興街206號</v>
      </c>
      <c r="G7" s="1215"/>
      <c r="H7" s="1215"/>
      <c r="I7" s="1216"/>
      <c r="J7" s="121" t="str">
        <f>輸入!$S$24</f>
        <v>拍照人</v>
      </c>
      <c r="K7" s="120" t="str">
        <f>輸入!$U$24</f>
        <v>蘇詠棠</v>
      </c>
      <c r="L7" s="1269" t="s">
        <v>117</v>
      </c>
      <c r="M7" s="785" t="str">
        <f>CONCATENATE(LEFT(輸入!$H$5,3),"年",MID(輸入!$H$5,4,2),"月",MID(輸入!$H$5,6,2),"日   ",MID(輸入!$H$5,8,2),"時",RIGHT(輸入!$H$5,2),"分")</f>
        <v>114年05月05日   05時05分</v>
      </c>
      <c r="N7" s="721"/>
      <c r="O7" s="786"/>
      <c r="P7" s="121" t="s">
        <v>1465</v>
      </c>
      <c r="Q7" s="1266" t="str">
        <f>輸入!$C$7</f>
        <v>臺北市信義區吳興街206號</v>
      </c>
      <c r="R7" s="1215"/>
      <c r="S7" s="1215"/>
      <c r="T7" s="1216"/>
      <c r="U7" s="121" t="str">
        <f>輸入!$S$24</f>
        <v>拍照人</v>
      </c>
      <c r="V7" s="120" t="str">
        <f>輸入!$U$24</f>
        <v>蘇詠棠</v>
      </c>
    </row>
    <row r="8" spans="1:22" ht="19.7" customHeight="1" x14ac:dyDescent="0.25">
      <c r="A8" s="1260"/>
      <c r="B8" s="581"/>
      <c r="C8" s="582"/>
      <c r="D8" s="583"/>
      <c r="E8" s="533" t="s">
        <v>1466</v>
      </c>
      <c r="F8" s="1256" t="str">
        <f>輸入!$S$23</f>
        <v>台北市信義區吳興街262號</v>
      </c>
      <c r="G8" s="579"/>
      <c r="H8" s="579"/>
      <c r="I8" s="579"/>
      <c r="J8" s="579"/>
      <c r="K8" s="580"/>
      <c r="L8" s="1260"/>
      <c r="M8" s="581"/>
      <c r="N8" s="582"/>
      <c r="O8" s="583"/>
      <c r="P8" s="533" t="s">
        <v>1466</v>
      </c>
      <c r="Q8" s="1256" t="str">
        <f>輸入!$S$23</f>
        <v>台北市信義區吳興街262號</v>
      </c>
      <c r="R8" s="579"/>
      <c r="S8" s="579"/>
      <c r="T8" s="579"/>
      <c r="U8" s="579"/>
      <c r="V8" s="580"/>
    </row>
    <row r="9" spans="1:22" ht="19.7" customHeight="1" x14ac:dyDescent="0.25">
      <c r="A9" s="1257" t="s">
        <v>1478</v>
      </c>
      <c r="B9" s="574"/>
      <c r="C9" s="574"/>
      <c r="D9" s="574"/>
      <c r="E9" s="574"/>
      <c r="F9" s="574"/>
      <c r="G9" s="574"/>
      <c r="H9" s="574"/>
      <c r="I9" s="574"/>
      <c r="J9" s="574"/>
      <c r="K9" s="1258"/>
      <c r="L9" s="1257" t="s">
        <v>1479</v>
      </c>
      <c r="M9" s="574"/>
      <c r="N9" s="574"/>
      <c r="O9" s="574"/>
      <c r="P9" s="574"/>
      <c r="Q9" s="574"/>
      <c r="R9" s="574"/>
      <c r="S9" s="574"/>
      <c r="T9" s="574"/>
      <c r="U9" s="574"/>
      <c r="V9" s="1258"/>
    </row>
    <row r="10" spans="1:22" ht="19.7" customHeight="1" x14ac:dyDescent="0.25">
      <c r="A10" s="1262" t="s">
        <v>1480</v>
      </c>
      <c r="B10" s="681"/>
      <c r="C10" s="123"/>
      <c r="D10" s="123"/>
      <c r="E10" s="123"/>
      <c r="F10" s="123"/>
      <c r="G10" s="123"/>
      <c r="H10" s="123"/>
      <c r="I10" s="123"/>
      <c r="J10" s="123"/>
      <c r="K10" s="122"/>
      <c r="L10" s="1262" t="s">
        <v>1481</v>
      </c>
      <c r="M10" s="681"/>
      <c r="N10" s="123"/>
      <c r="O10" s="123"/>
      <c r="P10" s="123"/>
      <c r="Q10" s="123"/>
      <c r="R10" s="123"/>
      <c r="S10" s="123"/>
      <c r="T10" s="123"/>
      <c r="U10" s="123"/>
      <c r="V10" s="122"/>
    </row>
    <row r="11" spans="1:22" ht="269.25" customHeight="1" thickBot="1" x14ac:dyDescent="0.3">
      <c r="A11" s="1263"/>
      <c r="B11" s="670"/>
      <c r="C11" s="670"/>
      <c r="D11" s="670"/>
      <c r="E11" s="670"/>
      <c r="F11" s="670"/>
      <c r="G11" s="670"/>
      <c r="H11" s="670"/>
      <c r="I11" s="670"/>
      <c r="J11" s="670"/>
      <c r="K11" s="671"/>
      <c r="L11" s="1263"/>
      <c r="M11" s="670"/>
      <c r="N11" s="670"/>
      <c r="O11" s="670"/>
      <c r="P11" s="670"/>
      <c r="Q11" s="670"/>
      <c r="R11" s="670"/>
      <c r="S11" s="670"/>
      <c r="T11" s="670"/>
      <c r="U11" s="670"/>
      <c r="V11" s="671"/>
    </row>
    <row r="12" spans="1:22" ht="19.7" customHeight="1" x14ac:dyDescent="0.25">
      <c r="A12" s="1269" t="s">
        <v>117</v>
      </c>
      <c r="B12" s="785" t="str">
        <f>CONCATENATE(LEFT(輸入!$H$5,3),"年",MID(輸入!$H$5,4,2),"月",MID(輸入!$H$5,6,2),"日   ",MID(輸入!$H$5,8,2),"時",RIGHT(輸入!$H$5,2),"分")</f>
        <v>114年05月05日   05時05分</v>
      </c>
      <c r="C12" s="721"/>
      <c r="D12" s="786"/>
      <c r="E12" s="121" t="s">
        <v>1465</v>
      </c>
      <c r="F12" s="1266" t="str">
        <f>輸入!$C$7</f>
        <v>臺北市信義區吳興街206號</v>
      </c>
      <c r="G12" s="1215"/>
      <c r="H12" s="1215"/>
      <c r="I12" s="1216"/>
      <c r="J12" s="121" t="str">
        <f>輸入!$S$24</f>
        <v>拍照人</v>
      </c>
      <c r="K12" s="120" t="str">
        <f>輸入!$U$24</f>
        <v>蘇詠棠</v>
      </c>
      <c r="L12" s="1269" t="s">
        <v>117</v>
      </c>
      <c r="M12" s="785" t="str">
        <f>CONCATENATE(LEFT(輸入!$H$5,3),"年",MID(輸入!$H$5,4,2),"月",MID(輸入!$H$5,6,2),"日   ",MID(輸入!$H$5,8,2),"時",RIGHT(輸入!$H$5,2),"分")</f>
        <v>114年05月05日   05時05分</v>
      </c>
      <c r="N12" s="721"/>
      <c r="O12" s="786"/>
      <c r="P12" s="121" t="s">
        <v>1465</v>
      </c>
      <c r="Q12" s="1266" t="str">
        <f>輸入!$C$7</f>
        <v>臺北市信義區吳興街206號</v>
      </c>
      <c r="R12" s="1215"/>
      <c r="S12" s="1215"/>
      <c r="T12" s="1216"/>
      <c r="U12" s="121" t="str">
        <f>輸入!$S$24</f>
        <v>拍照人</v>
      </c>
      <c r="V12" s="120" t="str">
        <f>輸入!$U$24</f>
        <v>蘇詠棠</v>
      </c>
    </row>
    <row r="13" spans="1:22" ht="19.7" customHeight="1" x14ac:dyDescent="0.25">
      <c r="A13" s="1260"/>
      <c r="B13" s="581"/>
      <c r="C13" s="582"/>
      <c r="D13" s="583"/>
      <c r="E13" s="533" t="s">
        <v>1466</v>
      </c>
      <c r="F13" s="1256" t="str">
        <f>輸入!$S$23</f>
        <v>台北市信義區吳興街262號</v>
      </c>
      <c r="G13" s="579"/>
      <c r="H13" s="579"/>
      <c r="I13" s="579"/>
      <c r="J13" s="579"/>
      <c r="K13" s="580"/>
      <c r="L13" s="1260"/>
      <c r="M13" s="581"/>
      <c r="N13" s="582"/>
      <c r="O13" s="583"/>
      <c r="P13" s="533" t="s">
        <v>1466</v>
      </c>
      <c r="Q13" s="1256" t="str">
        <f>輸入!$S$23</f>
        <v>台北市信義區吳興街262號</v>
      </c>
      <c r="R13" s="579"/>
      <c r="S13" s="579"/>
      <c r="T13" s="579"/>
      <c r="U13" s="579"/>
      <c r="V13" s="580"/>
    </row>
    <row r="14" spans="1:22" ht="19.5" customHeight="1" x14ac:dyDescent="0.25">
      <c r="A14" s="1257" t="s">
        <v>1482</v>
      </c>
      <c r="B14" s="574"/>
      <c r="C14" s="574"/>
      <c r="D14" s="574"/>
      <c r="E14" s="574"/>
      <c r="F14" s="574"/>
      <c r="G14" s="574"/>
      <c r="H14" s="574"/>
      <c r="I14" s="574"/>
      <c r="J14" s="574"/>
      <c r="K14" s="1258"/>
      <c r="L14" s="1257" t="str">
        <f>CONCATENATE("說明：經施測後，為酒測值 ",輸入!$H$6," mg/L。")</f>
        <v>說明：經施測後，為酒測值  mg/L。</v>
      </c>
      <c r="M14" s="574"/>
      <c r="N14" s="574"/>
      <c r="O14" s="574"/>
      <c r="P14" s="574"/>
      <c r="Q14" s="574"/>
      <c r="R14" s="574"/>
      <c r="S14" s="574"/>
      <c r="T14" s="574"/>
      <c r="U14" s="574"/>
      <c r="V14" s="1258"/>
    </row>
    <row r="21" ht="16.5" customHeight="1" x14ac:dyDescent="0.25"/>
  </sheetData>
  <mergeCells count="34">
    <mergeCell ref="A1:K1"/>
    <mergeCell ref="B7:D8"/>
    <mergeCell ref="A6:K6"/>
    <mergeCell ref="A12:A13"/>
    <mergeCell ref="F13:K13"/>
    <mergeCell ref="H3:K3"/>
    <mergeCell ref="A7:A8"/>
    <mergeCell ref="A11:K11"/>
    <mergeCell ref="F8:K8"/>
    <mergeCell ref="F12:I12"/>
    <mergeCell ref="Q7:T7"/>
    <mergeCell ref="B12:D13"/>
    <mergeCell ref="L5:M5"/>
    <mergeCell ref="A2:A3"/>
    <mergeCell ref="Q12:T12"/>
    <mergeCell ref="L7:L8"/>
    <mergeCell ref="A5:B5"/>
    <mergeCell ref="L12:L13"/>
    <mergeCell ref="L1:V1"/>
    <mergeCell ref="Q13:V13"/>
    <mergeCell ref="A14:K14"/>
    <mergeCell ref="M12:O13"/>
    <mergeCell ref="L2:L3"/>
    <mergeCell ref="L9:V9"/>
    <mergeCell ref="L6:V6"/>
    <mergeCell ref="A10:B10"/>
    <mergeCell ref="L11:V11"/>
    <mergeCell ref="Q8:V8"/>
    <mergeCell ref="A9:K9"/>
    <mergeCell ref="L14:V14"/>
    <mergeCell ref="M7:O8"/>
    <mergeCell ref="S3:V3"/>
    <mergeCell ref="F7:I7"/>
    <mergeCell ref="L10:M10"/>
  </mergeCells>
  <phoneticPr fontId="1" type="noConversion"/>
  <printOptions horizontalCentered="1"/>
  <pageMargins left="0.78740157480314965" right="0.39370078740157483" top="0.59055118110236227" bottom="0.70866141732283472" header="0" footer="0.39370078740157483"/>
  <pageSetup paperSize="9"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工作表6">
    <tabColor rgb="FFFF0000"/>
  </sheetPr>
  <dimension ref="A1:AM20"/>
  <sheetViews>
    <sheetView showGridLines="0" showZeros="0" view="pageBreakPreview" zoomScale="85" zoomScaleNormal="100" zoomScaleSheetLayoutView="85" workbookViewId="0">
      <selection activeCell="I5" sqref="I5:O6"/>
    </sheetView>
  </sheetViews>
  <sheetFormatPr defaultRowHeight="16.5" x14ac:dyDescent="0.25"/>
  <cols>
    <col min="1" max="1" width="3.125" style="545" customWidth="1"/>
    <col min="2" max="4" width="1.5" style="545" customWidth="1"/>
    <col min="5" max="39" width="3.125" style="545" customWidth="1"/>
  </cols>
  <sheetData>
    <row r="1" spans="1:29" ht="8.25" customHeight="1" x14ac:dyDescent="0.25"/>
    <row r="2" spans="1:29" ht="19.5" customHeight="1" x14ac:dyDescent="0.25">
      <c r="A2" s="1"/>
      <c r="S2" s="5" t="s">
        <v>332</v>
      </c>
      <c r="X2" s="1270" t="str">
        <f>IF($E$7=下拉用!$C$2,調閱用!$K$24,調閱用!$K$23)</f>
        <v>年月</v>
      </c>
      <c r="Y2" s="681"/>
      <c r="Z2" s="681"/>
      <c r="AA2" s="681"/>
      <c r="AB2" s="681"/>
      <c r="AC2" s="681"/>
    </row>
    <row r="3" spans="1:29" ht="45.75" customHeight="1" x14ac:dyDescent="0.25">
      <c r="A3" s="1"/>
      <c r="E3" s="1276" t="str">
        <f>CONCATENATE(,輸入!$S$18,輸入!$T$18,輸入!$S$19,輸入!$T$19)</f>
        <v>臺北市政府警察局信義分局</v>
      </c>
      <c r="F3" s="681"/>
      <c r="G3" s="681"/>
      <c r="H3" s="681"/>
      <c r="I3" s="681"/>
      <c r="J3" s="681"/>
      <c r="K3" s="681"/>
      <c r="L3" s="681"/>
      <c r="M3" s="681"/>
      <c r="N3" s="681"/>
      <c r="O3" s="681"/>
      <c r="P3" s="681"/>
      <c r="Q3" s="681"/>
      <c r="R3" s="681"/>
      <c r="S3" s="681"/>
      <c r="T3" s="681"/>
      <c r="U3" s="681"/>
      <c r="V3" s="681"/>
      <c r="W3" s="681"/>
      <c r="X3" s="681"/>
      <c r="Y3" s="681"/>
      <c r="Z3" s="681"/>
      <c r="AA3" s="681"/>
      <c r="AB3" s="681"/>
      <c r="AC3" s="681"/>
    </row>
    <row r="4" spans="1:29" ht="39" customHeight="1" thickBot="1" x14ac:dyDescent="0.3">
      <c r="A4" s="1"/>
      <c r="G4" s="1277" t="str">
        <f>CONCATENATE(,輸入!$S$20,輸入!$T$20,"刑案偵查卷宗")</f>
        <v>吳興街派出所刑案偵查卷宗</v>
      </c>
      <c r="H4" s="681"/>
      <c r="I4" s="681"/>
      <c r="J4" s="681"/>
      <c r="K4" s="681"/>
      <c r="L4" s="681"/>
      <c r="M4" s="681"/>
      <c r="N4" s="681"/>
      <c r="O4" s="681"/>
      <c r="P4" s="681"/>
      <c r="Q4" s="681"/>
      <c r="R4" s="681"/>
      <c r="S4" s="681"/>
      <c r="T4" s="681"/>
      <c r="U4" s="681"/>
      <c r="V4" s="681"/>
      <c r="W4" s="681"/>
      <c r="X4" s="681"/>
      <c r="Y4" s="681"/>
      <c r="Z4" s="681"/>
      <c r="AA4" s="681"/>
    </row>
    <row r="5" spans="1:29" ht="28.5" customHeight="1" thickTop="1" x14ac:dyDescent="0.25">
      <c r="A5" s="1"/>
      <c r="E5" s="1281" t="s">
        <v>333</v>
      </c>
      <c r="F5" s="955"/>
      <c r="G5" s="955"/>
      <c r="H5" s="935"/>
      <c r="I5" s="1278" t="str">
        <f>呈報單!$G$15</f>
        <v>毀損</v>
      </c>
      <c r="J5" s="955"/>
      <c r="K5" s="955"/>
      <c r="L5" s="955"/>
      <c r="M5" s="955"/>
      <c r="N5" s="955"/>
      <c r="O5" s="935"/>
      <c r="P5" s="1272" t="s">
        <v>1483</v>
      </c>
      <c r="Q5" s="1279"/>
      <c r="R5" s="1280"/>
      <c r="S5" s="1272" t="s">
        <v>1484</v>
      </c>
      <c r="T5" s="955"/>
      <c r="U5" s="935"/>
      <c r="V5" s="1272" t="s">
        <v>1485</v>
      </c>
      <c r="W5" s="1279"/>
      <c r="X5" s="1279"/>
      <c r="Y5" s="1279"/>
      <c r="Z5" s="1279"/>
      <c r="AA5" s="1279"/>
      <c r="AB5" s="1279"/>
      <c r="AC5" s="1280"/>
    </row>
    <row r="6" spans="1:29" ht="28.5" customHeight="1" x14ac:dyDescent="0.25">
      <c r="A6" s="1"/>
      <c r="E6" s="1282"/>
      <c r="F6" s="582"/>
      <c r="G6" s="582"/>
      <c r="H6" s="583"/>
      <c r="I6" s="581"/>
      <c r="J6" s="582"/>
      <c r="K6" s="582"/>
      <c r="L6" s="582"/>
      <c r="M6" s="582"/>
      <c r="N6" s="582"/>
      <c r="O6" s="583"/>
      <c r="P6" s="1273" t="s">
        <v>1486</v>
      </c>
      <c r="Q6" s="574"/>
      <c r="R6" s="575"/>
      <c r="S6" s="581"/>
      <c r="T6" s="582"/>
      <c r="U6" s="583"/>
      <c r="V6" s="1273" t="s">
        <v>1487</v>
      </c>
      <c r="W6" s="574"/>
      <c r="X6" s="574"/>
      <c r="Y6" s="574"/>
      <c r="Z6" s="574"/>
      <c r="AA6" s="574"/>
      <c r="AB6" s="574"/>
      <c r="AC6" s="575"/>
    </row>
    <row r="7" spans="1:29" ht="28.5" customHeight="1" x14ac:dyDescent="0.25">
      <c r="A7" s="1"/>
      <c r="E7" s="1287" t="s">
        <v>80</v>
      </c>
      <c r="F7" s="579"/>
      <c r="G7" s="579"/>
      <c r="H7" s="580"/>
      <c r="I7" s="1008" t="e">
        <f>IF(E7=下拉用!C3,_xlfn.TEXTJOIN("、",TRUE,輸入!#REF!),_xlfn.TEXTJOIN("、",TRUE,輸入!#REF!))</f>
        <v>#REF!</v>
      </c>
      <c r="J7" s="579"/>
      <c r="K7" s="579"/>
      <c r="L7" s="579"/>
      <c r="M7" s="579"/>
      <c r="N7" s="579"/>
      <c r="O7" s="580"/>
      <c r="P7" s="1273" t="s">
        <v>1488</v>
      </c>
      <c r="Q7" s="574"/>
      <c r="R7" s="575"/>
      <c r="S7" s="1273" t="s">
        <v>1489</v>
      </c>
      <c r="T7" s="579"/>
      <c r="U7" s="580"/>
      <c r="V7" s="612" t="s">
        <v>1490</v>
      </c>
      <c r="W7" s="579"/>
      <c r="X7" s="579"/>
      <c r="Y7" s="580"/>
      <c r="Z7" s="1273" t="s">
        <v>1491</v>
      </c>
      <c r="AA7" s="574"/>
      <c r="AB7" s="574"/>
      <c r="AC7" s="575"/>
    </row>
    <row r="8" spans="1:29" ht="28.5" customHeight="1" x14ac:dyDescent="0.25">
      <c r="A8" s="1"/>
      <c r="E8" s="1282"/>
      <c r="F8" s="582"/>
      <c r="G8" s="582"/>
      <c r="H8" s="583"/>
      <c r="I8" s="581"/>
      <c r="J8" s="582"/>
      <c r="K8" s="582"/>
      <c r="L8" s="582"/>
      <c r="M8" s="582"/>
      <c r="N8" s="582"/>
      <c r="O8" s="583"/>
      <c r="P8" s="1273" t="s">
        <v>1492</v>
      </c>
      <c r="Q8" s="574"/>
      <c r="R8" s="575"/>
      <c r="S8" s="581"/>
      <c r="T8" s="582"/>
      <c r="U8" s="583"/>
      <c r="V8" s="581"/>
      <c r="W8" s="582"/>
      <c r="X8" s="582"/>
      <c r="Y8" s="583"/>
      <c r="Z8" s="1273" t="s">
        <v>1493</v>
      </c>
      <c r="AA8" s="574"/>
      <c r="AB8" s="574"/>
      <c r="AC8" s="575"/>
    </row>
    <row r="9" spans="1:29" ht="28.5" customHeight="1" x14ac:dyDescent="0.25">
      <c r="A9" s="1"/>
      <c r="E9" s="1287" t="s">
        <v>268</v>
      </c>
      <c r="F9" s="579"/>
      <c r="G9" s="579"/>
      <c r="H9" s="580"/>
      <c r="I9" s="1274" t="str">
        <f>IF(ISBLANK(輸入!$C$8),"",CONCATENATE("發生：",下拉用!$J$6))</f>
        <v>發生：114年05月05日05時05分</v>
      </c>
      <c r="J9" s="574"/>
      <c r="K9" s="574"/>
      <c r="L9" s="574"/>
      <c r="M9" s="574"/>
      <c r="N9" s="574"/>
      <c r="O9" s="574"/>
      <c r="P9" s="574"/>
      <c r="Q9" s="574"/>
      <c r="R9" s="574"/>
      <c r="S9" s="574"/>
      <c r="T9" s="574"/>
      <c r="U9" s="574"/>
      <c r="V9" s="574"/>
      <c r="W9" s="574"/>
      <c r="X9" s="574"/>
      <c r="Y9" s="574"/>
      <c r="Z9" s="574"/>
      <c r="AA9" s="574"/>
      <c r="AB9" s="574"/>
      <c r="AC9" s="1275"/>
    </row>
    <row r="10" spans="1:29" ht="28.5" customHeight="1" x14ac:dyDescent="0.25">
      <c r="A10" s="1"/>
      <c r="E10" s="1291"/>
      <c r="F10" s="681"/>
      <c r="G10" s="681"/>
      <c r="H10" s="603"/>
      <c r="I10" s="1274" t="str">
        <f>IF(ISBLANK(輸入!$C$9),"",CONCATENATE("發現：",下拉用!$J$8))</f>
        <v/>
      </c>
      <c r="J10" s="574"/>
      <c r="K10" s="574"/>
      <c r="L10" s="574"/>
      <c r="M10" s="574"/>
      <c r="N10" s="574"/>
      <c r="O10" s="574"/>
      <c r="P10" s="574"/>
      <c r="Q10" s="574"/>
      <c r="R10" s="574"/>
      <c r="S10" s="574"/>
      <c r="T10" s="574"/>
      <c r="U10" s="574"/>
      <c r="V10" s="574"/>
      <c r="W10" s="574"/>
      <c r="X10" s="574"/>
      <c r="Y10" s="574"/>
      <c r="Z10" s="574"/>
      <c r="AA10" s="574"/>
      <c r="AB10" s="574"/>
      <c r="AC10" s="1275"/>
    </row>
    <row r="11" spans="1:29" ht="28.5" customHeight="1" x14ac:dyDescent="0.25">
      <c r="A11" s="1"/>
      <c r="E11" s="1291"/>
      <c r="F11" s="681"/>
      <c r="G11" s="681"/>
      <c r="H11" s="603"/>
      <c r="I11" s="1274" t="str">
        <f>IF(ISBLANK(輸入!$C$10),"",CONCATENATE("報案：",下拉用!$J$9))</f>
        <v>報案：115年09月12日13時30分</v>
      </c>
      <c r="J11" s="574"/>
      <c r="K11" s="574"/>
      <c r="L11" s="574"/>
      <c r="M11" s="574"/>
      <c r="N11" s="574"/>
      <c r="O11" s="574"/>
      <c r="P11" s="574"/>
      <c r="Q11" s="574"/>
      <c r="R11" s="574"/>
      <c r="S11" s="574"/>
      <c r="T11" s="574"/>
      <c r="U11" s="574"/>
      <c r="V11" s="574"/>
      <c r="W11" s="574"/>
      <c r="X11" s="574"/>
      <c r="Y11" s="574"/>
      <c r="Z11" s="574"/>
      <c r="AA11" s="574"/>
      <c r="AB11" s="574"/>
      <c r="AC11" s="1275"/>
    </row>
    <row r="12" spans="1:29" ht="28.5" customHeight="1" x14ac:dyDescent="0.25">
      <c r="A12" s="1"/>
      <c r="E12" s="1282"/>
      <c r="F12" s="582"/>
      <c r="G12" s="582"/>
      <c r="H12" s="583"/>
      <c r="I12" s="1274" t="str">
        <f>IF($E$7=下拉用!$C$2,CONCATENATE("查獲：",下拉用!$J$10),"")</f>
        <v>查獲：日期：中華民國 年月日</v>
      </c>
      <c r="J12" s="574"/>
      <c r="K12" s="574"/>
      <c r="L12" s="574"/>
      <c r="M12" s="574"/>
      <c r="N12" s="574"/>
      <c r="O12" s="574"/>
      <c r="P12" s="574"/>
      <c r="Q12" s="574"/>
      <c r="R12" s="574"/>
      <c r="S12" s="574"/>
      <c r="T12" s="574"/>
      <c r="U12" s="574"/>
      <c r="V12" s="574"/>
      <c r="W12" s="574"/>
      <c r="X12" s="574"/>
      <c r="Y12" s="574"/>
      <c r="Z12" s="574"/>
      <c r="AA12" s="574"/>
      <c r="AB12" s="574"/>
      <c r="AC12" s="1275"/>
    </row>
    <row r="13" spans="1:29" ht="28.5" customHeight="1" x14ac:dyDescent="0.25">
      <c r="A13" s="1"/>
      <c r="E13" s="1290" t="s">
        <v>1494</v>
      </c>
      <c r="F13" s="681"/>
      <c r="G13" s="681"/>
      <c r="H13" s="603"/>
      <c r="I13" s="612" t="s">
        <v>1495</v>
      </c>
      <c r="J13" s="574"/>
      <c r="K13" s="575"/>
      <c r="L13" s="1274" t="s">
        <v>1496</v>
      </c>
      <c r="M13" s="574"/>
      <c r="N13" s="574"/>
      <c r="O13" s="574"/>
      <c r="P13" s="574"/>
      <c r="Q13" s="574"/>
      <c r="R13" s="574"/>
      <c r="S13" s="574"/>
      <c r="T13" s="574"/>
      <c r="U13" s="574"/>
      <c r="V13" s="574"/>
      <c r="W13" s="574"/>
      <c r="X13" s="574"/>
      <c r="Y13" s="574"/>
      <c r="Z13" s="574"/>
      <c r="AA13" s="574"/>
      <c r="AB13" s="574"/>
      <c r="AC13" s="1275"/>
    </row>
    <row r="14" spans="1:29" ht="28.5" customHeight="1" x14ac:dyDescent="0.25">
      <c r="A14" s="1"/>
      <c r="E14" s="1282"/>
      <c r="F14" s="582"/>
      <c r="G14" s="582"/>
      <c r="H14" s="583"/>
      <c r="I14" s="612" t="s">
        <v>1497</v>
      </c>
      <c r="J14" s="574"/>
      <c r="K14" s="575"/>
      <c r="L14" s="1273" t="str">
        <f>輸入!$C$7</f>
        <v>臺北市信義區吳興街206號</v>
      </c>
      <c r="M14" s="574"/>
      <c r="N14" s="574"/>
      <c r="O14" s="574"/>
      <c r="P14" s="574"/>
      <c r="Q14" s="574"/>
      <c r="R14" s="574"/>
      <c r="S14" s="574"/>
      <c r="T14" s="574"/>
      <c r="U14" s="574"/>
      <c r="V14" s="574"/>
      <c r="W14" s="574"/>
      <c r="X14" s="574"/>
      <c r="Y14" s="574"/>
      <c r="Z14" s="574"/>
      <c r="AA14" s="574"/>
      <c r="AB14" s="574"/>
      <c r="AC14" s="575"/>
    </row>
    <row r="15" spans="1:29" ht="201.75" customHeight="1" x14ac:dyDescent="0.25">
      <c r="A15" s="1"/>
      <c r="E15" s="1288" t="s">
        <v>1498</v>
      </c>
      <c r="F15" s="574"/>
      <c r="G15" s="574"/>
      <c r="H15" s="575"/>
      <c r="I15" s="4" t="s">
        <v>1499</v>
      </c>
      <c r="J15" s="3" t="s">
        <v>1500</v>
      </c>
      <c r="K15" s="3" t="s">
        <v>1501</v>
      </c>
      <c r="L15" s="3" t="s">
        <v>1502</v>
      </c>
      <c r="M15" s="3" t="s">
        <v>1503</v>
      </c>
      <c r="N15" s="3" t="s">
        <v>1504</v>
      </c>
      <c r="O15" s="3" t="s">
        <v>1505</v>
      </c>
      <c r="P15" s="3" t="s">
        <v>1506</v>
      </c>
      <c r="Q15" s="3" t="s">
        <v>1507</v>
      </c>
      <c r="R15" s="3" t="s">
        <v>1508</v>
      </c>
      <c r="S15" s="3" t="s">
        <v>1509</v>
      </c>
      <c r="T15" s="3" t="s">
        <v>1510</v>
      </c>
      <c r="U15" s="3" t="s">
        <v>1511</v>
      </c>
      <c r="V15" s="3" t="s">
        <v>1512</v>
      </c>
      <c r="W15" s="3" t="s">
        <v>1513</v>
      </c>
      <c r="X15" s="3" t="s">
        <v>1514</v>
      </c>
      <c r="Y15" s="3" t="s">
        <v>1515</v>
      </c>
      <c r="Z15" s="3" t="s">
        <v>755</v>
      </c>
      <c r="AA15" s="3" t="s">
        <v>755</v>
      </c>
      <c r="AB15" s="3" t="s">
        <v>755</v>
      </c>
      <c r="AC15" s="2" t="s">
        <v>755</v>
      </c>
    </row>
    <row r="16" spans="1:29" ht="37.5" customHeight="1" x14ac:dyDescent="0.25">
      <c r="A16" s="1"/>
      <c r="E16" s="1288" t="s">
        <v>1516</v>
      </c>
      <c r="F16" s="574"/>
      <c r="G16" s="574"/>
      <c r="H16" s="575"/>
      <c r="I16" s="1289" t="s">
        <v>1517</v>
      </c>
      <c r="J16" s="574"/>
      <c r="K16" s="574"/>
      <c r="L16" s="574"/>
      <c r="M16" s="574"/>
      <c r="N16" s="574"/>
      <c r="O16" s="574"/>
      <c r="P16" s="574"/>
      <c r="Q16" s="574"/>
      <c r="R16" s="574"/>
      <c r="S16" s="574"/>
      <c r="T16" s="574"/>
      <c r="U16" s="574"/>
      <c r="V16" s="574"/>
      <c r="W16" s="574"/>
      <c r="X16" s="574"/>
      <c r="Y16" s="574"/>
      <c r="Z16" s="574"/>
      <c r="AA16" s="574"/>
      <c r="AB16" s="574"/>
      <c r="AC16" s="575"/>
    </row>
    <row r="17" spans="1:29" ht="29.25" customHeight="1" x14ac:dyDescent="0.25">
      <c r="A17" s="1"/>
      <c r="E17" s="1288" t="s">
        <v>1518</v>
      </c>
      <c r="F17" s="579"/>
      <c r="G17" s="579"/>
      <c r="H17" s="580"/>
      <c r="I17" s="612" t="s">
        <v>1519</v>
      </c>
      <c r="J17" s="574"/>
      <c r="K17" s="575"/>
      <c r="L17" s="612" t="s">
        <v>1520</v>
      </c>
      <c r="M17" s="574"/>
      <c r="N17" s="574"/>
      <c r="O17" s="575"/>
      <c r="P17" s="612" t="s">
        <v>311</v>
      </c>
      <c r="Q17" s="574"/>
      <c r="R17" s="575"/>
      <c r="S17" s="612" t="s">
        <v>310</v>
      </c>
      <c r="T17" s="574"/>
      <c r="U17" s="575"/>
      <c r="V17" s="612" t="s">
        <v>1521</v>
      </c>
      <c r="W17" s="574"/>
      <c r="X17" s="574"/>
      <c r="Y17" s="574"/>
      <c r="Z17" s="574"/>
      <c r="AA17" s="574"/>
      <c r="AB17" s="574"/>
      <c r="AC17" s="575"/>
    </row>
    <row r="18" spans="1:29" ht="29.25" customHeight="1" x14ac:dyDescent="0.25">
      <c r="A18" s="1"/>
      <c r="E18" s="1282"/>
      <c r="F18" s="582"/>
      <c r="G18" s="582"/>
      <c r="H18" s="583"/>
      <c r="I18" s="928"/>
      <c r="J18" s="574"/>
      <c r="K18" s="575"/>
      <c r="L18" s="928"/>
      <c r="M18" s="574"/>
      <c r="N18" s="574"/>
      <c r="O18" s="575"/>
      <c r="P18" s="928"/>
      <c r="Q18" s="574"/>
      <c r="R18" s="575"/>
      <c r="S18" s="928"/>
      <c r="T18" s="574"/>
      <c r="U18" s="575"/>
      <c r="V18" s="1271" t="str">
        <f>UPPER(輸入!$C$13)</f>
        <v/>
      </c>
      <c r="W18" s="574"/>
      <c r="X18" s="574"/>
      <c r="Y18" s="574"/>
      <c r="Z18" s="574"/>
      <c r="AA18" s="574"/>
      <c r="AB18" s="574"/>
      <c r="AC18" s="575"/>
    </row>
    <row r="19" spans="1:29" ht="40.5" customHeight="1" thickBot="1" x14ac:dyDescent="0.3">
      <c r="A19" s="1"/>
      <c r="E19" s="1286" t="s">
        <v>1522</v>
      </c>
      <c r="F19" s="1284"/>
      <c r="G19" s="1284"/>
      <c r="H19" s="1285"/>
      <c r="I19" s="1283" t="str">
        <f>CONCATENATE(輸入!$T$24," ",輸入!$O$8)</f>
        <v>警員 蘇詠棠</v>
      </c>
      <c r="J19" s="1284"/>
      <c r="K19" s="1284"/>
      <c r="L19" s="1284"/>
      <c r="M19" s="1284"/>
      <c r="N19" s="1284"/>
      <c r="O19" s="1284"/>
      <c r="P19" s="1284"/>
      <c r="Q19" s="1284"/>
      <c r="R19" s="1284"/>
      <c r="S19" s="1284"/>
      <c r="T19" s="1284"/>
      <c r="U19" s="1284"/>
      <c r="V19" s="1284"/>
      <c r="W19" s="1284"/>
      <c r="X19" s="1284"/>
      <c r="Y19" s="1284"/>
      <c r="Z19" s="1284"/>
      <c r="AA19" s="1284"/>
      <c r="AB19" s="1284"/>
      <c r="AC19" s="1285"/>
    </row>
    <row r="20" spans="1:29" ht="17.25" customHeight="1" thickTop="1" x14ac:dyDescent="0.25"/>
  </sheetData>
  <mergeCells count="44">
    <mergeCell ref="P8:R8"/>
    <mergeCell ref="V17:AC17"/>
    <mergeCell ref="E17:H18"/>
    <mergeCell ref="I16:AC16"/>
    <mergeCell ref="E13:H14"/>
    <mergeCell ref="E16:H16"/>
    <mergeCell ref="I18:K18"/>
    <mergeCell ref="P17:R17"/>
    <mergeCell ref="I7:O8"/>
    <mergeCell ref="L14:AC14"/>
    <mergeCell ref="E9:H12"/>
    <mergeCell ref="P18:R18"/>
    <mergeCell ref="I19:AC19"/>
    <mergeCell ref="Z7:AC7"/>
    <mergeCell ref="V7:Y8"/>
    <mergeCell ref="E19:H19"/>
    <mergeCell ref="E7:H8"/>
    <mergeCell ref="L18:O18"/>
    <mergeCell ref="I9:AC9"/>
    <mergeCell ref="E15:H15"/>
    <mergeCell ref="S7:U8"/>
    <mergeCell ref="P7:R7"/>
    <mergeCell ref="I12:AC12"/>
    <mergeCell ref="I14:K14"/>
    <mergeCell ref="L17:O17"/>
    <mergeCell ref="I17:K17"/>
    <mergeCell ref="I13:K13"/>
    <mergeCell ref="I10:AC10"/>
    <mergeCell ref="X2:AC2"/>
    <mergeCell ref="V18:AC18"/>
    <mergeCell ref="S5:U6"/>
    <mergeCell ref="Z8:AC8"/>
    <mergeCell ref="S18:U18"/>
    <mergeCell ref="I11:AC11"/>
    <mergeCell ref="S17:U17"/>
    <mergeCell ref="L13:AC13"/>
    <mergeCell ref="P6:R6"/>
    <mergeCell ref="E3:AC3"/>
    <mergeCell ref="G4:AA4"/>
    <mergeCell ref="I5:O6"/>
    <mergeCell ref="V6:AC6"/>
    <mergeCell ref="P5:R5"/>
    <mergeCell ref="E5:H6"/>
    <mergeCell ref="V5:AC5"/>
  </mergeCells>
  <phoneticPr fontId="1" type="noConversion"/>
  <pageMargins left="0.7" right="0.7" top="0.75" bottom="0.75" header="0.3" footer="0.3"/>
  <pageSetup paperSize="9" scale="98" orientation="portrait" r:id="rId1"/>
  <colBreaks count="1" manualBreakCount="1">
    <brk id="30" max="18" man="1"/>
  </colBreak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工作表25"/>
  <dimension ref="A1:S17"/>
  <sheetViews>
    <sheetView view="pageLayout" zoomScaleNormal="100" workbookViewId="0">
      <selection activeCell="D18" sqref="D18"/>
    </sheetView>
  </sheetViews>
  <sheetFormatPr defaultColWidth="9" defaultRowHeight="16.5" x14ac:dyDescent="0.25"/>
  <cols>
    <col min="1" max="1" width="5.5" style="487" customWidth="1"/>
    <col min="2" max="2" width="4" style="530" customWidth="1"/>
    <col min="3" max="3" width="10" style="487" customWidth="1"/>
    <col min="4" max="4" width="4" style="487" customWidth="1"/>
    <col min="5" max="5" width="18.5" style="487" customWidth="1"/>
    <col min="6" max="6" width="6" style="487" customWidth="1"/>
    <col min="7" max="7" width="5.5" style="487" customWidth="1"/>
    <col min="8" max="8" width="4.875" style="487" customWidth="1"/>
    <col min="9" max="9" width="33.125" style="487" customWidth="1"/>
    <col min="10" max="10" width="9" style="487" customWidth="1"/>
    <col min="11" max="16384" width="9" style="487"/>
  </cols>
  <sheetData>
    <row r="1" spans="1:19" ht="36.75" customHeight="1" x14ac:dyDescent="0.25">
      <c r="A1" s="1292" t="str">
        <f>CONCATENATE(,輸入!$S$18,輸入!$T$18,輸入!$S$19,輸入!$T$19,輸入!$S$20,輸入!$T$20,"  受理案件資料檢核表")</f>
        <v>臺北市政府警察局信義分局吳興街派出所  受理案件資料檢核表</v>
      </c>
      <c r="B1" s="574"/>
      <c r="C1" s="574"/>
      <c r="D1" s="574"/>
      <c r="E1" s="574"/>
      <c r="F1" s="574"/>
      <c r="G1" s="574"/>
      <c r="H1" s="574"/>
      <c r="I1" s="575"/>
      <c r="J1" s="480"/>
      <c r="K1" s="480"/>
      <c r="L1" s="480"/>
      <c r="M1" s="480"/>
      <c r="N1" s="480"/>
      <c r="O1" s="480"/>
      <c r="P1" s="480"/>
      <c r="Q1" s="480"/>
      <c r="R1" s="480"/>
      <c r="S1" s="480"/>
    </row>
    <row r="2" spans="1:19" ht="36.75" customHeight="1" x14ac:dyDescent="0.25">
      <c r="A2" s="584" t="s">
        <v>1523</v>
      </c>
      <c r="B2" s="575"/>
      <c r="C2" s="1293" t="s">
        <v>1524</v>
      </c>
      <c r="D2" s="574"/>
      <c r="E2" s="574"/>
      <c r="F2" s="575"/>
      <c r="G2" s="584" t="s">
        <v>1525</v>
      </c>
      <c r="H2" s="575"/>
      <c r="I2" s="454" t="str">
        <f>LEFT(下拉用!$J$9,10)</f>
        <v>115年09月12日</v>
      </c>
      <c r="J2" s="480"/>
      <c r="K2" s="480"/>
      <c r="L2" s="480"/>
      <c r="M2" s="480"/>
      <c r="N2" s="480"/>
      <c r="O2" s="480"/>
      <c r="P2" s="480"/>
      <c r="Q2" s="480"/>
      <c r="R2" s="480"/>
      <c r="S2" s="480"/>
    </row>
    <row r="3" spans="1:19" ht="29.25" customHeight="1" x14ac:dyDescent="0.25">
      <c r="A3" s="1298" t="s">
        <v>1526</v>
      </c>
      <c r="B3" s="575"/>
      <c r="C3" s="1295" t="str">
        <f>CONCATENATE(word用!$H$2,"遭詐欺案")</f>
        <v>顏文祥遭詐欺案</v>
      </c>
      <c r="D3" s="574"/>
      <c r="E3" s="574"/>
      <c r="F3" s="575"/>
      <c r="G3" s="584" t="s">
        <v>1527</v>
      </c>
      <c r="H3" s="575"/>
      <c r="I3" s="454" t="s">
        <v>1528</v>
      </c>
      <c r="J3" s="480"/>
      <c r="K3" s="480"/>
      <c r="L3" s="480"/>
      <c r="M3" s="480"/>
      <c r="N3" s="480"/>
      <c r="O3" s="480"/>
      <c r="P3" s="480"/>
      <c r="Q3" s="480"/>
      <c r="R3" s="480"/>
      <c r="S3" s="480"/>
    </row>
    <row r="4" spans="1:19" ht="33.950000000000003" customHeight="1" x14ac:dyDescent="0.25">
      <c r="A4" s="454" t="s">
        <v>1529</v>
      </c>
      <c r="B4" s="454">
        <v>1</v>
      </c>
      <c r="C4" s="660" t="e">
        <f>CONCATENATE("陳報單(案號：",word用!#REF!,")")</f>
        <v>#REF!</v>
      </c>
      <c r="D4" s="574"/>
      <c r="E4" s="574"/>
      <c r="F4" s="575"/>
      <c r="G4" s="454" t="s">
        <v>1529</v>
      </c>
      <c r="H4" s="454">
        <v>6</v>
      </c>
      <c r="I4" s="518" t="s">
        <v>1530</v>
      </c>
      <c r="J4" s="480"/>
      <c r="K4" s="480"/>
      <c r="L4" s="480"/>
      <c r="M4" s="480"/>
      <c r="N4" s="480"/>
      <c r="O4" s="480"/>
      <c r="P4" s="480"/>
      <c r="Q4" s="480"/>
      <c r="R4" s="480"/>
      <c r="S4" s="480"/>
    </row>
    <row r="5" spans="1:19" ht="36.75" customHeight="1" x14ac:dyDescent="0.25">
      <c r="A5" s="454" t="s">
        <v>1529</v>
      </c>
      <c r="B5" s="454">
        <v>2</v>
      </c>
      <c r="C5" s="660" t="s">
        <v>1531</v>
      </c>
      <c r="D5" s="574"/>
      <c r="E5" s="574"/>
      <c r="F5" s="575"/>
      <c r="G5" s="454"/>
      <c r="H5" s="454">
        <v>7</v>
      </c>
      <c r="I5" s="518" t="s">
        <v>1532</v>
      </c>
      <c r="J5" s="480"/>
      <c r="K5" s="480"/>
      <c r="L5" s="480"/>
      <c r="M5" s="480"/>
      <c r="N5" s="480"/>
      <c r="O5" s="480"/>
      <c r="P5" s="480"/>
      <c r="Q5" s="480"/>
      <c r="R5" s="480"/>
      <c r="S5" s="480"/>
    </row>
    <row r="6" spans="1:19" ht="53.85" customHeight="1" x14ac:dyDescent="0.25">
      <c r="A6" s="454" t="s">
        <v>1529</v>
      </c>
      <c r="B6" s="454">
        <v>3</v>
      </c>
      <c r="C6" s="660" t="s">
        <v>1533</v>
      </c>
      <c r="D6" s="574"/>
      <c r="E6" s="574"/>
      <c r="F6" s="575"/>
      <c r="G6" s="454"/>
      <c r="H6" s="454">
        <v>8</v>
      </c>
      <c r="I6" s="518" t="s">
        <v>1534</v>
      </c>
      <c r="J6" s="480"/>
      <c r="K6" s="480"/>
      <c r="L6" s="480"/>
      <c r="M6" s="480"/>
      <c r="N6" s="480"/>
      <c r="O6" s="480"/>
      <c r="P6" s="480"/>
      <c r="Q6" s="480"/>
      <c r="R6" s="480"/>
      <c r="S6" s="480"/>
    </row>
    <row r="7" spans="1:19" ht="31.35" customHeight="1" x14ac:dyDescent="0.25">
      <c r="A7" s="454" t="s">
        <v>1529</v>
      </c>
      <c r="B7" s="454">
        <v>4</v>
      </c>
      <c r="C7" s="660" t="s">
        <v>1535</v>
      </c>
      <c r="D7" s="574"/>
      <c r="E7" s="574"/>
      <c r="F7" s="575"/>
      <c r="G7" s="454"/>
      <c r="H7" s="454">
        <v>9</v>
      </c>
      <c r="I7" s="518" t="s">
        <v>1536</v>
      </c>
      <c r="J7" s="480"/>
      <c r="K7" s="480"/>
      <c r="L7" s="480"/>
      <c r="M7" s="480"/>
      <c r="N7" s="480"/>
      <c r="O7" s="480"/>
      <c r="P7" s="480"/>
      <c r="Q7" s="480"/>
      <c r="R7" s="480"/>
      <c r="S7" s="480"/>
    </row>
    <row r="8" spans="1:19" ht="36.75" customHeight="1" thickBot="1" x14ac:dyDescent="0.3">
      <c r="A8" s="533" t="s">
        <v>1529</v>
      </c>
      <c r="B8" s="533">
        <v>5</v>
      </c>
      <c r="C8" s="784" t="s">
        <v>1537</v>
      </c>
      <c r="D8" s="579"/>
      <c r="E8" s="579"/>
      <c r="F8" s="580"/>
      <c r="G8" s="533"/>
      <c r="H8" s="533">
        <v>10</v>
      </c>
      <c r="I8" s="466" t="s">
        <v>1538</v>
      </c>
      <c r="J8" s="480"/>
      <c r="K8" s="480"/>
      <c r="L8" s="480"/>
      <c r="M8" s="480"/>
      <c r="N8" s="480"/>
      <c r="O8" s="480"/>
      <c r="P8" s="480"/>
      <c r="Q8" s="480"/>
      <c r="R8" s="480"/>
      <c r="S8" s="480"/>
    </row>
    <row r="9" spans="1:19" ht="25.5" customHeight="1" thickTop="1" x14ac:dyDescent="0.25">
      <c r="A9" s="164"/>
      <c r="B9" s="543">
        <v>11</v>
      </c>
      <c r="C9" s="1294" t="s">
        <v>1539</v>
      </c>
      <c r="D9" s="1265"/>
      <c r="E9" s="1265"/>
      <c r="F9" s="1265"/>
      <c r="G9" s="1265"/>
      <c r="H9" s="1265"/>
      <c r="I9" s="1152"/>
      <c r="J9" s="505"/>
      <c r="K9" s="480"/>
      <c r="L9" s="480"/>
      <c r="M9" s="480"/>
      <c r="N9" s="480"/>
      <c r="O9" s="480"/>
      <c r="P9" s="480"/>
      <c r="Q9" s="480"/>
      <c r="R9" s="480"/>
      <c r="S9" s="480"/>
    </row>
    <row r="10" spans="1:19" ht="39.6" customHeight="1" x14ac:dyDescent="0.25">
      <c r="A10" s="253" t="s">
        <v>1529</v>
      </c>
      <c r="B10" s="454">
        <v>12</v>
      </c>
      <c r="C10" s="660" t="s">
        <v>1540</v>
      </c>
      <c r="D10" s="574"/>
      <c r="E10" s="574"/>
      <c r="F10" s="575"/>
      <c r="G10" s="454"/>
      <c r="H10" s="454">
        <v>18</v>
      </c>
      <c r="I10" s="165" t="s">
        <v>1541</v>
      </c>
      <c r="J10" s="480"/>
      <c r="K10" s="480"/>
      <c r="L10" s="480"/>
      <c r="M10" s="480"/>
      <c r="N10" s="480"/>
      <c r="O10" s="480"/>
      <c r="P10" s="480"/>
      <c r="Q10" s="480"/>
      <c r="R10" s="480"/>
      <c r="S10" s="480"/>
    </row>
    <row r="11" spans="1:19" ht="73.7" customHeight="1" x14ac:dyDescent="0.25">
      <c r="A11" s="253" t="s">
        <v>1529</v>
      </c>
      <c r="B11" s="454">
        <v>13</v>
      </c>
      <c r="C11" s="660" t="s">
        <v>1542</v>
      </c>
      <c r="D11" s="574"/>
      <c r="E11" s="574"/>
      <c r="F11" s="575"/>
      <c r="G11" s="454"/>
      <c r="H11" s="454">
        <v>19</v>
      </c>
      <c r="I11" s="165" t="s">
        <v>1543</v>
      </c>
      <c r="J11" s="480"/>
      <c r="K11" s="480"/>
      <c r="L11" s="480"/>
      <c r="M11" s="480"/>
      <c r="N11" s="480"/>
      <c r="O11" s="480"/>
      <c r="P11" s="480"/>
      <c r="Q11" s="480"/>
      <c r="R11" s="480"/>
      <c r="S11" s="480"/>
    </row>
    <row r="12" spans="1:19" ht="39.6" customHeight="1" x14ac:dyDescent="0.25">
      <c r="A12" s="253" t="s">
        <v>1529</v>
      </c>
      <c r="B12" s="454">
        <v>14</v>
      </c>
      <c r="C12" s="660" t="s">
        <v>1544</v>
      </c>
      <c r="D12" s="574"/>
      <c r="E12" s="574"/>
      <c r="F12" s="575"/>
      <c r="G12" s="454"/>
      <c r="H12" s="454">
        <v>20</v>
      </c>
      <c r="I12" s="165" t="s">
        <v>1545</v>
      </c>
      <c r="J12" s="480"/>
      <c r="K12" s="480"/>
      <c r="L12" s="480"/>
      <c r="M12" s="480"/>
      <c r="N12" s="480"/>
      <c r="O12" s="480"/>
      <c r="P12" s="480"/>
      <c r="Q12" s="480"/>
      <c r="R12" s="480"/>
      <c r="S12" s="480"/>
    </row>
    <row r="13" spans="1:19" ht="45.2" customHeight="1" x14ac:dyDescent="0.25">
      <c r="A13" s="253"/>
      <c r="B13" s="454">
        <v>15</v>
      </c>
      <c r="C13" s="660" t="s">
        <v>1546</v>
      </c>
      <c r="D13" s="574"/>
      <c r="E13" s="574"/>
      <c r="F13" s="575"/>
      <c r="G13" s="454"/>
      <c r="H13" s="454">
        <v>21</v>
      </c>
      <c r="I13" s="165" t="s">
        <v>1547</v>
      </c>
      <c r="J13" s="480"/>
      <c r="K13" s="480"/>
      <c r="L13" s="480"/>
      <c r="M13" s="480"/>
      <c r="N13" s="480"/>
      <c r="O13" s="480"/>
      <c r="P13" s="480"/>
      <c r="Q13" s="480"/>
      <c r="R13" s="480"/>
      <c r="S13" s="480"/>
    </row>
    <row r="14" spans="1:19" ht="65.099999999999994" customHeight="1" x14ac:dyDescent="0.25">
      <c r="A14" s="253"/>
      <c r="B14" s="454">
        <v>16</v>
      </c>
      <c r="C14" s="660" t="s">
        <v>1548</v>
      </c>
      <c r="D14" s="574"/>
      <c r="E14" s="574"/>
      <c r="F14" s="575"/>
      <c r="G14" s="454"/>
      <c r="H14" s="454">
        <v>22</v>
      </c>
      <c r="I14" s="165" t="s">
        <v>1549</v>
      </c>
      <c r="J14" s="480"/>
      <c r="K14" s="480"/>
      <c r="L14" s="480"/>
      <c r="M14" s="480"/>
      <c r="N14" s="480"/>
      <c r="O14" s="480"/>
      <c r="P14" s="480"/>
      <c r="Q14" s="480"/>
      <c r="R14" s="480"/>
      <c r="S14" s="480"/>
    </row>
    <row r="15" spans="1:19" ht="56.85" customHeight="1" thickBot="1" x14ac:dyDescent="0.3">
      <c r="A15" s="254" t="s">
        <v>1529</v>
      </c>
      <c r="B15" s="166">
        <v>17</v>
      </c>
      <c r="C15" s="1296" t="s">
        <v>1550</v>
      </c>
      <c r="D15" s="1297"/>
      <c r="E15" s="1297"/>
      <c r="F15" s="1150"/>
      <c r="G15" s="166"/>
      <c r="H15" s="166">
        <v>23</v>
      </c>
      <c r="I15" s="167" t="s">
        <v>1551</v>
      </c>
      <c r="J15" s="480"/>
      <c r="K15" s="480"/>
      <c r="L15" s="480"/>
      <c r="M15" s="480"/>
      <c r="N15" s="480"/>
      <c r="O15" s="480"/>
      <c r="P15" s="480"/>
      <c r="Q15" s="480"/>
      <c r="R15" s="480"/>
      <c r="S15" s="480"/>
    </row>
    <row r="16" spans="1:19" ht="45.2" customHeight="1" thickTop="1" x14ac:dyDescent="0.25">
      <c r="A16" s="467"/>
      <c r="B16" s="800" t="s">
        <v>1552</v>
      </c>
      <c r="C16" s="583"/>
      <c r="D16" s="467"/>
      <c r="E16" s="1145" t="s">
        <v>1553</v>
      </c>
      <c r="F16" s="582"/>
      <c r="G16" s="582"/>
      <c r="H16" s="582"/>
      <c r="I16" s="583"/>
      <c r="J16" s="480"/>
      <c r="K16" s="480"/>
      <c r="L16" s="480"/>
      <c r="M16" s="480"/>
      <c r="N16" s="480"/>
      <c r="O16" s="480"/>
      <c r="P16" s="480"/>
      <c r="Q16" s="480"/>
      <c r="R16" s="480"/>
      <c r="S16" s="480"/>
    </row>
    <row r="17" spans="1:19" ht="45.2" customHeight="1" x14ac:dyDescent="0.25">
      <c r="A17" s="518"/>
      <c r="B17" s="584" t="s">
        <v>1554</v>
      </c>
      <c r="C17" s="575"/>
      <c r="D17" s="584" t="str">
        <f>輸入!$O$8</f>
        <v>蘇詠棠</v>
      </c>
      <c r="E17" s="575"/>
      <c r="F17" s="518"/>
      <c r="G17" s="584" t="s">
        <v>993</v>
      </c>
      <c r="H17" s="575"/>
      <c r="I17" s="518"/>
      <c r="J17" s="480"/>
      <c r="K17" s="480"/>
      <c r="L17" s="480"/>
      <c r="M17" s="480"/>
      <c r="N17" s="480"/>
      <c r="O17" s="480"/>
      <c r="P17" s="480"/>
      <c r="Q17" s="480"/>
      <c r="R17" s="480"/>
      <c r="S17" s="480"/>
    </row>
  </sheetData>
  <mergeCells count="24">
    <mergeCell ref="G17:H17"/>
    <mergeCell ref="C13:F13"/>
    <mergeCell ref="C3:F3"/>
    <mergeCell ref="C6:F6"/>
    <mergeCell ref="C15:F15"/>
    <mergeCell ref="B17:C17"/>
    <mergeCell ref="C5:F5"/>
    <mergeCell ref="D17:E17"/>
    <mergeCell ref="A3:B3"/>
    <mergeCell ref="G3:H3"/>
    <mergeCell ref="C14:F14"/>
    <mergeCell ref="E16:I16"/>
    <mergeCell ref="C12:F12"/>
    <mergeCell ref="B16:C16"/>
    <mergeCell ref="C8:F8"/>
    <mergeCell ref="G2:H2"/>
    <mergeCell ref="C7:F7"/>
    <mergeCell ref="A2:B2"/>
    <mergeCell ref="A1:I1"/>
    <mergeCell ref="C11:F11"/>
    <mergeCell ref="C2:F2"/>
    <mergeCell ref="C4:F4"/>
    <mergeCell ref="C10:F10"/>
    <mergeCell ref="C9:I9"/>
  </mergeCells>
  <phoneticPr fontId="1" type="noConversion"/>
  <pageMargins left="0.51181102362204722" right="0.51181102362204722" top="0.86614173228346458" bottom="0.74803149606299213" header="0.47244094488188981" footer="0.31496062992125978"/>
  <pageSetup paperSize="9" orientation="portrait" r:id="rId1"/>
  <headerFooter>
    <oddHeader>&amp;L&amp;"標楷體,標準"編號：5（受理ㄧ般刑事案件）&amp;R&amp;KFF0000112.04.07製表</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53</vt:i4>
      </vt:variant>
      <vt:variant>
        <vt:lpstr>具名範圍</vt:lpstr>
      </vt:variant>
      <vt:variant>
        <vt:i4>12</vt:i4>
      </vt:variant>
    </vt:vector>
  </HeadingPairs>
  <TitlesOfParts>
    <vt:vector size="65" baseType="lpstr">
      <vt:lpstr>輸入</vt:lpstr>
      <vt:lpstr>word用</vt:lpstr>
      <vt:lpstr>下拉用</vt:lpstr>
      <vt:lpstr>調閱用</vt:lpstr>
      <vt:lpstr>報獎條陳</vt:lpstr>
      <vt:lpstr>線上立破通報單</vt:lpstr>
      <vt:lpstr>呈報單</vt:lpstr>
      <vt:lpstr>監視檢核表</vt:lpstr>
      <vt:lpstr>行政陳報單</vt:lpstr>
      <vt:lpstr>調閱呈報單</vt:lpstr>
      <vt:lpstr>調閱監視器(所)</vt:lpstr>
      <vt:lpstr>權利</vt:lpstr>
      <vt:lpstr>夜訊</vt:lpstr>
      <vt:lpstr>發傳喚通知</vt:lpstr>
      <vt:lpstr>本人</vt:lpstr>
      <vt:lpstr>親友</vt:lpstr>
      <vt:lpstr>提審新</vt:lpstr>
      <vt:lpstr>入出所</vt:lpstr>
      <vt:lpstr>法扶(114)</vt:lpstr>
      <vt:lpstr>酒測單</vt:lpstr>
      <vt:lpstr>委託書</vt:lpstr>
      <vt:lpstr>酒扣領據</vt:lpstr>
      <vt:lpstr>銷毀同意書</vt:lpstr>
      <vt:lpstr>鑑驗書</vt:lpstr>
      <vt:lpstr>檢體監管紀錄表</vt:lpstr>
      <vt:lpstr>自願受採尿同意書</vt:lpstr>
      <vt:lpstr>毒品相片紀錄</vt:lpstr>
      <vt:lpstr>案件管制表</vt:lpstr>
      <vt:lpstr>呈報單 多人</vt:lpstr>
      <vt:lpstr>3.4級毒品通報單</vt:lpstr>
      <vt:lpstr>捨棄聲明</vt:lpstr>
      <vt:lpstr>捨棄抗告</vt:lpstr>
      <vt:lpstr>送達新</vt:lpstr>
      <vt:lpstr>送達</vt:lpstr>
      <vt:lpstr>手機</vt:lpstr>
      <vt:lpstr>送驗記錄</vt:lpstr>
      <vt:lpstr>少年關懷</vt:lpstr>
      <vt:lpstr>電訪</vt:lpstr>
      <vt:lpstr>12歲</vt:lpstr>
      <vt:lpstr>通聯紀錄表</vt:lpstr>
      <vt:lpstr>救護資料申請書</vt:lpstr>
      <vt:lpstr>法扶107版</vt:lpstr>
      <vt:lpstr>外勞</vt:lpstr>
      <vt:lpstr>法扶</vt:lpstr>
      <vt:lpstr>贓物認領</vt:lpstr>
      <vt:lpstr>績效獎勵金</vt:lpstr>
      <vt:lpstr>被害人筆錄</vt:lpstr>
      <vt:lpstr>涉嫌人筆錄</vt:lpstr>
      <vt:lpstr>證人筆錄</vt:lpstr>
      <vt:lpstr>相片用</vt:lpstr>
      <vt:lpstr>酒測相片紀錄</vt:lpstr>
      <vt:lpstr>封面</vt:lpstr>
      <vt:lpstr>詐欺用檢核表</vt:lpstr>
      <vt:lpstr>入出所!Print_Area</vt:lpstr>
      <vt:lpstr>發傳喚通知!人別</vt:lpstr>
      <vt:lpstr>人別</vt:lpstr>
      <vt:lpstr>發傳喚通知!有無涉嫌人</vt:lpstr>
      <vt:lpstr>有無涉嫌人</vt:lpstr>
      <vt:lpstr>發傳喚通知!個資</vt:lpstr>
      <vt:lpstr>個資</vt:lpstr>
      <vt:lpstr>發傳喚通知!案由</vt:lpstr>
      <vt:lpstr>案由</vt:lpstr>
      <vt:lpstr>涉嫌人筆錄</vt:lpstr>
      <vt:lpstr>被害人筆錄</vt:lpstr>
      <vt:lpstr>證人筆錄</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信義吳興蘇詠棠</cp:lastModifiedBy>
  <cp:lastPrinted>2026-08-01T11:02:07Z</cp:lastPrinted>
  <dcterms:created xsi:type="dcterms:W3CDTF">2023-01-20T13:26:56Z</dcterms:created>
  <dcterms:modified xsi:type="dcterms:W3CDTF">2026-09-13T07:34:28Z</dcterms:modified>
</cp:coreProperties>
</file>
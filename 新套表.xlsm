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drawings/drawing1.xml" ContentType="application/vnd.openxmlformats-officedocument.drawing+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916" firstSheet="4" activeTab="46" autoFilterDateGrouping="1"/>
  </bookViews>
  <sheets>
    <sheet xmlns:r="http://schemas.openxmlformats.org/officeDocument/2006/relationships" name="輸入" sheetId="1" state="visible" r:id="rId1"/>
    <sheet xmlns:r="http://schemas.openxmlformats.org/officeDocument/2006/relationships" name="word用" sheetId="2" state="visible" r:id="rId2"/>
    <sheet xmlns:r="http://schemas.openxmlformats.org/officeDocument/2006/relationships" name="下拉用" sheetId="3" state="visible" r:id="rId3"/>
    <sheet xmlns:r="http://schemas.openxmlformats.org/officeDocument/2006/relationships" name="調閱用" sheetId="4" state="visible" r:id="rId4"/>
    <sheet xmlns:r="http://schemas.openxmlformats.org/officeDocument/2006/relationships" name="報獎條陳" sheetId="5" state="visible" r:id="rId5"/>
    <sheet xmlns:r="http://schemas.openxmlformats.org/officeDocument/2006/relationships" name="線上立破通報單" sheetId="6" state="hidden" r:id="rId6"/>
    <sheet xmlns:r="http://schemas.openxmlformats.org/officeDocument/2006/relationships" name="呈報單" sheetId="7" state="visible" r:id="rId7"/>
    <sheet xmlns:r="http://schemas.openxmlformats.org/officeDocument/2006/relationships" name="監視檢核表" sheetId="8" state="hidden" r:id="rId8"/>
    <sheet xmlns:r="http://schemas.openxmlformats.org/officeDocument/2006/relationships" name="行政陳報單" sheetId="9" state="visible" r:id="rId9"/>
    <sheet xmlns:r="http://schemas.openxmlformats.org/officeDocument/2006/relationships" name="調閱呈報單" sheetId="10" state="visible" r:id="rId10"/>
    <sheet xmlns:r="http://schemas.openxmlformats.org/officeDocument/2006/relationships" name="調閱監視器(所)" sheetId="11" state="hidden" r:id="rId11"/>
    <sheet xmlns:r="http://schemas.openxmlformats.org/officeDocument/2006/relationships" name="權利" sheetId="12" state="hidden" r:id="rId12"/>
    <sheet xmlns:r="http://schemas.openxmlformats.org/officeDocument/2006/relationships" name="夜訊" sheetId="13" state="hidden" r:id="rId13"/>
    <sheet xmlns:r="http://schemas.openxmlformats.org/officeDocument/2006/relationships" name="發傳喚通知" sheetId="14" state="visible" r:id="rId14"/>
    <sheet xmlns:r="http://schemas.openxmlformats.org/officeDocument/2006/relationships" name="本人" sheetId="15" state="visible" r:id="rId15"/>
    <sheet xmlns:r="http://schemas.openxmlformats.org/officeDocument/2006/relationships" name="親友" sheetId="16" state="visible" r:id="rId16"/>
    <sheet xmlns:r="http://schemas.openxmlformats.org/officeDocument/2006/relationships" name="提審新" sheetId="17" state="visible" r:id="rId17"/>
    <sheet xmlns:r="http://schemas.openxmlformats.org/officeDocument/2006/relationships" name="入出所" sheetId="18" state="hidden" r:id="rId18"/>
    <sheet xmlns:r="http://schemas.openxmlformats.org/officeDocument/2006/relationships" name="法扶(114)" sheetId="19" state="visible" r:id="rId19"/>
    <sheet xmlns:r="http://schemas.openxmlformats.org/officeDocument/2006/relationships" name="酒測單" sheetId="20" state="visible" r:id="rId20"/>
    <sheet xmlns:r="http://schemas.openxmlformats.org/officeDocument/2006/relationships" name="委託書" sheetId="21" state="hidden" r:id="rId21"/>
    <sheet xmlns:r="http://schemas.openxmlformats.org/officeDocument/2006/relationships" name="酒扣領據" sheetId="22" state="hidden" r:id="rId22"/>
    <sheet xmlns:r="http://schemas.openxmlformats.org/officeDocument/2006/relationships" name="銷毀同意書" sheetId="23" state="hidden" r:id="rId23"/>
    <sheet xmlns:r="http://schemas.openxmlformats.org/officeDocument/2006/relationships" name="鑑驗書" sheetId="24" state="hidden" r:id="rId24"/>
    <sheet xmlns:r="http://schemas.openxmlformats.org/officeDocument/2006/relationships" name="檢體監管紀錄表" sheetId="25" state="hidden" r:id="rId25"/>
    <sheet xmlns:r="http://schemas.openxmlformats.org/officeDocument/2006/relationships" name="自願受採尿同意書" sheetId="26" state="hidden" r:id="rId26"/>
    <sheet xmlns:r="http://schemas.openxmlformats.org/officeDocument/2006/relationships" name="毒品相片紀錄" sheetId="27" state="hidden" r:id="rId27"/>
    <sheet xmlns:r="http://schemas.openxmlformats.org/officeDocument/2006/relationships" name="案件管制表" sheetId="28" state="hidden" r:id="rId28"/>
    <sheet xmlns:r="http://schemas.openxmlformats.org/officeDocument/2006/relationships" name="呈報單 多人" sheetId="29" state="visible" r:id="rId29"/>
    <sheet xmlns:r="http://schemas.openxmlformats.org/officeDocument/2006/relationships" name="3.4級毒品通報單" sheetId="30" state="hidden" r:id="rId30"/>
    <sheet xmlns:r="http://schemas.openxmlformats.org/officeDocument/2006/relationships" name="捨棄聲明" sheetId="31" state="hidden" r:id="rId31"/>
    <sheet xmlns:r="http://schemas.openxmlformats.org/officeDocument/2006/relationships" name="捨棄抗告" sheetId="32" state="hidden" r:id="rId32"/>
    <sheet xmlns:r="http://schemas.openxmlformats.org/officeDocument/2006/relationships" name="送達新" sheetId="33" state="hidden" r:id="rId33"/>
    <sheet xmlns:r="http://schemas.openxmlformats.org/officeDocument/2006/relationships" name="送達" sheetId="34" state="hidden" r:id="rId34"/>
    <sheet xmlns:r="http://schemas.openxmlformats.org/officeDocument/2006/relationships" name="手機" sheetId="35" state="visible" r:id="rId35"/>
    <sheet xmlns:r="http://schemas.openxmlformats.org/officeDocument/2006/relationships" name="送驗記錄" sheetId="36" state="hidden" r:id="rId36"/>
    <sheet xmlns:r="http://schemas.openxmlformats.org/officeDocument/2006/relationships" name="少年關懷" sheetId="37" state="hidden" r:id="rId37"/>
    <sheet xmlns:r="http://schemas.openxmlformats.org/officeDocument/2006/relationships" name="電訪" sheetId="38" state="hidden" r:id="rId38"/>
    <sheet xmlns:r="http://schemas.openxmlformats.org/officeDocument/2006/relationships" name="12歲" sheetId="39" state="hidden" r:id="rId39"/>
    <sheet xmlns:r="http://schemas.openxmlformats.org/officeDocument/2006/relationships" name="通聯紀錄表" sheetId="40" state="hidden" r:id="rId40"/>
    <sheet xmlns:r="http://schemas.openxmlformats.org/officeDocument/2006/relationships" name="救護資料申請書" sheetId="41" state="hidden" r:id="rId41"/>
    <sheet xmlns:r="http://schemas.openxmlformats.org/officeDocument/2006/relationships" name="法扶107版" sheetId="42" state="hidden" r:id="rId42"/>
    <sheet xmlns:r="http://schemas.openxmlformats.org/officeDocument/2006/relationships" name="外勞" sheetId="43" state="hidden" r:id="rId43"/>
    <sheet xmlns:r="http://schemas.openxmlformats.org/officeDocument/2006/relationships" name="法扶" sheetId="44" state="hidden" r:id="rId44"/>
    <sheet xmlns:r="http://schemas.openxmlformats.org/officeDocument/2006/relationships" name="贓物認領" sheetId="45" state="visible" r:id="rId45"/>
    <sheet xmlns:r="http://schemas.openxmlformats.org/officeDocument/2006/relationships" name="績效獎勵金" sheetId="46" state="visible" r:id="rId46"/>
    <sheet xmlns:r="http://schemas.openxmlformats.org/officeDocument/2006/relationships" name="被害人筆錄" sheetId="47" state="visible" r:id="rId47"/>
    <sheet xmlns:r="http://schemas.openxmlformats.org/officeDocument/2006/relationships" name="涉嫌人筆錄" sheetId="48" state="visible" r:id="rId48"/>
    <sheet xmlns:r="http://schemas.openxmlformats.org/officeDocument/2006/relationships" name="證人筆錄" sheetId="49" state="visible" r:id="rId49"/>
    <sheet xmlns:r="http://schemas.openxmlformats.org/officeDocument/2006/relationships" name="相片用" sheetId="50" state="hidden" r:id="rId50"/>
    <sheet xmlns:r="http://schemas.openxmlformats.org/officeDocument/2006/relationships" name="酒測相片紀錄" sheetId="51" state="hidden" r:id="rId51"/>
    <sheet xmlns:r="http://schemas.openxmlformats.org/officeDocument/2006/relationships" name="封面" sheetId="52" state="hidden" r:id="rId52"/>
    <sheet xmlns:r="http://schemas.openxmlformats.org/officeDocument/2006/relationships" name="詐欺用檢核表" sheetId="53" state="hidden" r:id="rId53"/>
  </sheets>
  <externalReferences>
    <externalReference xmlns:r="http://schemas.openxmlformats.org/officeDocument/2006/relationships" r:id="rId54"/>
  </externalReferences>
  <definedNames>
    <definedName name="人別">下拉用!$C$2:$C$8</definedName>
    <definedName name="有無涉嫌人">下拉用!$D$2:$D$3</definedName>
    <definedName name="姓名">OFFSET(下拉用!$Y$3,,,MAX(下拉用!$W$3:$W$11))</definedName>
    <definedName name="個資">輸入!$B$17:$Q$26</definedName>
    <definedName name="案由">調閱用!$1:$1</definedName>
    <definedName name="涉嫌人筆錄">涉嫌人筆錄!$1:$1048576</definedName>
    <definedName name="被害人筆錄">被害人筆錄!$1:$1048576</definedName>
    <definedName name="筆錄">[1]下拉用!$A:$T</definedName>
    <definedName name="證人筆錄">證人筆錄!$1:$1048576</definedName>
    <definedName name="人別" localSheetId="13">下拉用!$C$2:$C$8</definedName>
    <definedName name="有無涉嫌人" localSheetId="13">下拉用!$D$2:$D$3</definedName>
    <definedName name="姓名" localSheetId="13">OFFSET(下拉用!$Y$3,,,MAX(下拉用!$W$3:$W$11))</definedName>
    <definedName name="個資" localSheetId="13">輸入!$B$17:$Q$26</definedName>
    <definedName name="案由" localSheetId="13">下拉用!$I:$L</definedName>
    <definedName name="_xlnm.Print_Area" localSheetId="17">'入出所'!$A$1:$R$48</definedName>
  </definedNames>
  <calcPr calcId="191029" fullCalcOnLoad="1"/>
</workbook>
</file>

<file path=xl/styles.xml><?xml version="1.0" encoding="utf-8"?>
<styleSheet xmlns="http://schemas.openxmlformats.org/spreadsheetml/2006/main">
  <numFmts count="12">
    <numFmt numFmtId="164" formatCode="000&quot;年&quot;00&quot;月&quot;00&quot;日&quot;00&quot;時&quot;00&quot;分&quot;"/>
    <numFmt numFmtId="165" formatCode="00000000000"/>
    <numFmt numFmtId="166" formatCode="0000000000"/>
    <numFmt numFmtId="167" formatCode="000&quot;年&quot;00&quot;月&quot;00&quot;日&quot;"/>
    <numFmt numFmtId="168" formatCode="00"/>
    <numFmt numFmtId="169" formatCode="0.00_);\(0.00\)"/>
    <numFmt numFmtId="170" formatCode="[$-404]ggge&quot;年&quot;m&quot;月&quot;d&quot;日&quot;;@"/>
    <numFmt numFmtId="171" formatCode="h:mm;@"/>
    <numFmt numFmtId="172" formatCode="[$-404]e/m/d;@"/>
    <numFmt numFmtId="173" formatCode="[$-404]e&quot;年&quot;m&quot;月&quot;d&quot;日&quot;;@"/>
    <numFmt numFmtId="174" formatCode="00&quot;時&quot;00&quot;分&quot;"/>
    <numFmt numFmtId="175" formatCode="[&gt;99999999]0000\-000\-000;000\-000\-000"/>
  </numFmts>
  <fonts count="115">
    <font>
      <name val="新細明體"/>
      <charset val="136"/>
      <family val="2"/>
      <color theme="1"/>
      <sz val="12"/>
      <scheme val="minor"/>
    </font>
    <font>
      <name val="新細明體"/>
      <charset val="136"/>
      <family val="2"/>
      <sz val="9"/>
      <scheme val="minor"/>
    </font>
    <font>
      <name val="標楷體"/>
      <charset val="136"/>
      <family val="4"/>
      <sz val="14"/>
    </font>
    <font>
      <name val="標楷體"/>
      <charset val="136"/>
      <family val="4"/>
      <b val="1"/>
      <sz val="14"/>
    </font>
    <font>
      <name val="標楷體"/>
      <charset val="136"/>
      <family val="4"/>
      <b val="1"/>
      <sz val="24"/>
    </font>
    <font>
      <name val="標楷體"/>
      <charset val="136"/>
      <family val="4"/>
      <color theme="1"/>
      <sz val="12"/>
    </font>
    <font>
      <name val="標楷體"/>
      <charset val="136"/>
      <family val="4"/>
      <color theme="1"/>
      <sz val="14"/>
    </font>
    <font>
      <name val="標楷體"/>
      <charset val="136"/>
      <family val="4"/>
      <color theme="1"/>
      <sz val="18"/>
    </font>
    <font>
      <name val="Times New Roman"/>
      <family val="1"/>
      <color theme="1"/>
      <sz val="14"/>
    </font>
    <font>
      <name val="標楷體"/>
      <charset val="136"/>
      <family val="4"/>
      <color theme="1"/>
      <sz val="26"/>
    </font>
    <font>
      <name val="標楷體"/>
      <charset val="136"/>
      <family val="4"/>
      <color theme="1"/>
      <sz val="22"/>
    </font>
    <font>
      <name val="標楷體"/>
      <charset val="136"/>
      <family val="4"/>
      <color theme="1"/>
      <sz val="20"/>
    </font>
    <font>
      <name val="Times New Roman"/>
      <family val="1"/>
      <color theme="1"/>
      <sz val="16"/>
    </font>
    <font>
      <name val="標楷體"/>
      <charset val="136"/>
      <family val="4"/>
      <color theme="1"/>
      <sz val="24"/>
    </font>
    <font>
      <name val="Times New Roman"/>
      <family val="1"/>
      <color theme="1"/>
      <sz val="26"/>
    </font>
    <font>
      <name val="標楷體"/>
      <charset val="136"/>
      <family val="4"/>
      <b val="1"/>
      <color theme="1"/>
      <sz val="28"/>
    </font>
    <font>
      <name val="標楷體"/>
      <charset val="136"/>
      <family val="4"/>
      <color theme="1"/>
      <sz val="28"/>
    </font>
    <font>
      <name val="標楷體"/>
      <charset val="136"/>
      <family val="4"/>
      <color theme="1"/>
      <sz val="36"/>
    </font>
    <font>
      <name val="Times New Roman"/>
      <family val="1"/>
      <color theme="1"/>
      <sz val="36"/>
    </font>
    <font>
      <name val="標楷體"/>
      <charset val="136"/>
      <family val="4"/>
      <color theme="1"/>
      <sz val="48"/>
    </font>
    <font>
      <name val="新細明體"/>
      <charset val="136"/>
      <family val="1"/>
      <sz val="12"/>
    </font>
    <font>
      <name val="標楷體"/>
      <charset val="136"/>
      <family val="4"/>
      <sz val="12"/>
    </font>
    <font>
      <name val="標楷體"/>
      <charset val="136"/>
      <family val="4"/>
      <sz val="22"/>
    </font>
    <font>
      <name val="標楷體"/>
      <charset val="136"/>
      <family val="4"/>
      <b val="1"/>
      <sz val="32"/>
    </font>
    <font>
      <name val="標楷體"/>
      <charset val="136"/>
      <family val="4"/>
      <b val="1"/>
      <color theme="1"/>
      <sz val="12"/>
    </font>
    <font>
      <name val="標楷體"/>
      <charset val="136"/>
      <family val="4"/>
      <color theme="1" tint="0.0499893185216834"/>
      <sz val="12"/>
    </font>
    <font>
      <name val="標楷體"/>
      <charset val="136"/>
      <family val="4"/>
      <b val="1"/>
      <color theme="1"/>
      <sz val="16"/>
    </font>
    <font>
      <name val="標楷體"/>
      <charset val="136"/>
      <family val="4"/>
      <b val="1"/>
      <color theme="1"/>
      <sz val="18"/>
    </font>
    <font>
      <name val="Times New Roman"/>
      <family val="1"/>
      <b val="1"/>
      <color theme="1"/>
      <sz val="18"/>
    </font>
    <font>
      <name val="Times New Roman"/>
      <family val="1"/>
      <b val="1"/>
      <color theme="1"/>
      <sz val="12"/>
    </font>
    <font>
      <name val="標楷體"/>
      <charset val="136"/>
      <family val="4"/>
      <color theme="1"/>
      <sz val="16"/>
    </font>
    <font>
      <name val="標楷體"/>
      <charset val="136"/>
      <family val="4"/>
      <b val="1"/>
      <color theme="1"/>
      <sz val="14"/>
    </font>
    <font>
      <name val="Times New Roman"/>
      <family val="1"/>
      <color theme="1"/>
      <sz val="18"/>
    </font>
    <font>
      <name val="標楷體"/>
      <charset val="136"/>
      <family val="4"/>
      <b val="1"/>
      <color theme="1"/>
      <sz val="20"/>
    </font>
    <font>
      <name val="標楷體"/>
      <charset val="136"/>
      <family val="4"/>
      <color theme="1"/>
      <sz val="11"/>
    </font>
    <font>
      <name val="Times New Roman"/>
      <charset val="136"/>
      <family val="4"/>
      <b val="1"/>
      <color theme="1"/>
      <sz val="12"/>
    </font>
    <font>
      <name val="新細明體"/>
      <charset val="136"/>
      <family val="2"/>
      <b val="1"/>
      <color theme="1"/>
      <sz val="12"/>
      <scheme val="minor"/>
    </font>
    <font>
      <name val="標楷體"/>
      <charset val="136"/>
      <family val="4"/>
      <color theme="1"/>
      <sz val="10"/>
    </font>
    <font>
      <name val="新細明體"/>
      <charset val="136"/>
      <family val="1"/>
      <i val="1"/>
      <sz val="12"/>
    </font>
    <font>
      <name val="Times New Roman"/>
      <family val="1"/>
      <color theme="1"/>
      <sz val="12"/>
    </font>
    <font>
      <name val="新細明體"/>
      <charset val="136"/>
      <family val="2"/>
      <color theme="1"/>
      <sz val="22"/>
      <scheme val="minor"/>
    </font>
    <font>
      <name val="Times New Roman"/>
      <family val="1"/>
      <color theme="1"/>
      <sz val="3"/>
    </font>
    <font>
      <name val="Times New Roman"/>
      <family val="1"/>
      <color theme="1"/>
      <sz val="10"/>
    </font>
    <font>
      <name val="標楷體"/>
      <charset val="136"/>
      <family val="4"/>
      <color rgb="FF000000"/>
      <sz val="12"/>
    </font>
    <font>
      <name val="標楷體"/>
      <charset val="136"/>
      <family val="4"/>
      <color rgb="FF000000"/>
      <sz val="10"/>
    </font>
    <font>
      <name val="標楷體"/>
      <charset val="136"/>
      <family val="4"/>
      <color rgb="FFFF0000"/>
      <sz val="12"/>
    </font>
    <font>
      <name val="標楷體"/>
      <charset val="136"/>
      <family val="4"/>
      <b val="1"/>
      <color theme="1"/>
      <sz val="17"/>
    </font>
    <font>
      <name val="標楷體"/>
      <charset val="136"/>
      <family val="4"/>
      <color theme="1"/>
      <sz val="11.5"/>
    </font>
    <font>
      <name val="新細明體"/>
      <charset val="136"/>
      <family val="1"/>
      <b val="1"/>
      <color theme="1"/>
      <sz val="12"/>
      <scheme val="minor"/>
    </font>
    <font>
      <name val="標楷體"/>
      <charset val="136"/>
      <family val="4"/>
      <color theme="1"/>
      <sz val="9"/>
    </font>
    <font>
      <name val="標楷體"/>
      <charset val="136"/>
      <family val="4"/>
      <b val="1"/>
      <color theme="1"/>
      <sz val="22"/>
    </font>
    <font>
      <name val="新細明體"/>
      <charset val="136"/>
      <family val="2"/>
      <color theme="1"/>
      <sz val="24"/>
      <scheme val="minor"/>
    </font>
    <font>
      <name val="標楷體"/>
      <charset val="136"/>
      <family val="4"/>
      <b val="1"/>
      <color theme="1"/>
      <sz val="48"/>
    </font>
    <font>
      <name val="標楷體"/>
      <charset val="136"/>
      <family val="4"/>
      <color rgb="FF000000"/>
      <sz val="14"/>
    </font>
    <font>
      <name val="標楷體"/>
      <charset val="136"/>
      <family val="4"/>
      <b val="1"/>
      <color theme="1"/>
      <sz val="26"/>
    </font>
    <font>
      <name val="標楷體"/>
      <charset val="136"/>
      <family val="4"/>
      <sz val="16"/>
    </font>
    <font>
      <name val="Times New Roman"/>
      <family val="1"/>
      <b val="1"/>
      <color theme="1"/>
      <sz val="11"/>
    </font>
    <font>
      <name val="標楷體"/>
      <charset val="136"/>
      <family val="4"/>
      <b val="1"/>
      <color theme="1"/>
      <sz val="11"/>
    </font>
    <font>
      <name val="Times New Roman"/>
      <family val="1"/>
      <b val="1"/>
      <color theme="1"/>
      <sz val="14"/>
    </font>
    <font>
      <name val="Times New Roman"/>
      <charset val="136"/>
      <family val="4"/>
      <color theme="1"/>
      <sz val="12"/>
    </font>
    <font>
      <name val="新細明體"/>
      <charset val="136"/>
      <family val="1"/>
      <color theme="1"/>
      <sz val="12"/>
    </font>
    <font>
      <name val="Calibri"/>
      <family val="2"/>
      <color theme="1"/>
      <sz val="12"/>
    </font>
    <font>
      <name val="標楷體"/>
      <charset val="136"/>
      <family val="4"/>
      <b val="1"/>
      <color theme="1"/>
      <sz val="8"/>
    </font>
    <font>
      <name val="標楷體"/>
      <charset val="136"/>
      <family val="4"/>
      <b val="1"/>
      <color theme="1"/>
      <sz val="14"/>
      <u val="single"/>
    </font>
    <font>
      <name val="標楷體"/>
      <charset val="136"/>
      <family val="4"/>
      <b val="1"/>
      <color rgb="FF000000"/>
      <sz val="12"/>
    </font>
    <font>
      <name val="標楷體"/>
      <charset val="136"/>
      <family val="4"/>
      <b val="1"/>
      <color theme="1"/>
      <sz val="9"/>
    </font>
    <font>
      <name val="Times New Roman"/>
      <family val="1"/>
      <b val="1"/>
      <color theme="1"/>
      <sz val="14"/>
      <u val="single"/>
    </font>
    <font>
      <name val="Times New Roman"/>
      <family val="1"/>
      <b val="1"/>
      <color theme="1"/>
      <sz val="16"/>
    </font>
    <font>
      <name val="標楷體"/>
      <charset val="136"/>
      <family val="4"/>
      <b val="1"/>
      <color theme="1"/>
      <sz val="13"/>
    </font>
    <font>
      <name val="標楷體"/>
      <charset val="136"/>
      <family val="4"/>
      <color theme="1"/>
      <sz val="8"/>
    </font>
    <font>
      <name val="標楷體"/>
      <charset val="136"/>
      <family val="4"/>
      <b val="1"/>
      <color theme="1"/>
      <sz val="13.5"/>
    </font>
    <font>
      <name val="新細明體"/>
      <charset val="136"/>
      <family val="2"/>
      <color theme="10"/>
      <sz val="12"/>
      <u val="single"/>
      <scheme val="minor"/>
    </font>
    <font>
      <name val="標楷體"/>
      <charset val="136"/>
      <family val="4"/>
      <color theme="1"/>
      <sz val="13"/>
    </font>
    <font>
      <name val="Times New Roman"/>
      <family val="1"/>
      <color rgb="FF000000"/>
      <sz val="10"/>
    </font>
    <font>
      <name val="標楷體"/>
      <charset val="136"/>
      <family val="4"/>
      <b val="1"/>
      <color rgb="FF000000"/>
      <sz val="14"/>
    </font>
    <font>
      <name val="標楷體"/>
      <charset val="136"/>
      <family val="4"/>
      <sz val="11"/>
    </font>
    <font>
      <name val="新細明體"/>
      <charset val="136"/>
      <family val="1"/>
      <color theme="1"/>
      <sz val="10"/>
    </font>
    <font>
      <name val="新細明體"/>
      <charset val="136"/>
      <family val="1"/>
      <b val="1"/>
      <color theme="1"/>
      <sz val="12"/>
    </font>
    <font>
      <name val="Webdings"/>
      <charset val="2"/>
      <family val="1"/>
      <color rgb="FF000000"/>
      <sz val="9"/>
    </font>
    <font>
      <name val="Webdings"/>
      <charset val="2"/>
      <family val="1"/>
      <color rgb="FF000000"/>
      <sz val="10"/>
    </font>
    <font>
      <name val="Webdings"/>
      <charset val="2"/>
      <family val="1"/>
      <color theme="1"/>
      <sz val="9"/>
    </font>
    <font>
      <name val="Webdings"/>
      <charset val="2"/>
      <family val="1"/>
      <color theme="1"/>
      <sz val="10"/>
    </font>
    <font>
      <name val="新細明體"/>
      <charset val="136"/>
      <family val="1"/>
      <b val="1"/>
      <color theme="0"/>
      <sz val="12"/>
    </font>
    <font>
      <name val="新細明體"/>
      <charset val="136"/>
      <family val="1"/>
      <color rgb="FFFF0000"/>
      <sz val="10"/>
    </font>
    <font>
      <name val="新細明體"/>
      <charset val="136"/>
      <family val="1"/>
      <color rgb="FFFF0000"/>
      <sz val="12"/>
    </font>
    <font>
      <name val="新細明體"/>
      <charset val="136"/>
      <family val="1"/>
      <color rgb="FF0000FF"/>
      <sz val="12"/>
    </font>
    <font>
      <name val="新細明體"/>
      <charset val="136"/>
      <family val="1"/>
      <b val="1"/>
      <color theme="1"/>
      <sz val="14"/>
    </font>
    <font>
      <name val="新細明體"/>
      <charset val="136"/>
      <family val="2"/>
      <color theme="10"/>
      <sz val="10"/>
      <u val="single"/>
      <scheme val="minor"/>
    </font>
    <font>
      <name val="Times New Roman"/>
      <family val="1"/>
      <color rgb="FF0000CC"/>
      <sz val="12"/>
    </font>
    <font>
      <name val="標楷體"/>
      <charset val="136"/>
      <family val="4"/>
      <color rgb="FFFF0000"/>
      <sz val="14"/>
    </font>
    <font>
      <name val="標楷體"/>
      <charset val="136"/>
      <family val="4"/>
      <b val="1"/>
      <color rgb="FF0000CC"/>
      <sz val="16"/>
    </font>
    <font>
      <name val="標楷體"/>
      <charset val="136"/>
      <family val="4"/>
      <color rgb="FF0070C0"/>
      <sz val="16"/>
    </font>
    <font>
      <name val="標楷體"/>
      <charset val="136"/>
      <family val="4"/>
      <color theme="1"/>
      <sz val="17"/>
    </font>
    <font>
      <name val="標楷體"/>
      <charset val="136"/>
      <family val="4"/>
      <color rgb="FF000000"/>
      <sz val="20"/>
    </font>
    <font>
      <name val="標楷體"/>
      <charset val="136"/>
      <family val="4"/>
      <color rgb="FFFF0000"/>
      <sz val="8"/>
    </font>
    <font>
      <name val="標楷體"/>
      <charset val="136"/>
      <family val="4"/>
      <color rgb="FFFF0000"/>
      <sz val="7"/>
    </font>
    <font>
      <name val="標楷體"/>
      <charset val="136"/>
      <family val="4"/>
      <sz val="10"/>
    </font>
    <font>
      <name val="標楷體"/>
      <charset val="136"/>
      <family val="4"/>
      <b val="1"/>
      <sz val="12"/>
    </font>
    <font>
      <name val="標楷體"/>
      <charset val="136"/>
      <family val="4"/>
      <b val="1"/>
      <sz val="10"/>
    </font>
    <font>
      <name val="標楷體"/>
      <charset val="136"/>
      <family val="4"/>
      <sz val="8"/>
    </font>
    <font>
      <name val="標楷體"/>
      <charset val="136"/>
      <family val="4"/>
      <sz val="9"/>
    </font>
    <font>
      <name val="標楷體"/>
      <charset val="136"/>
      <family val="4"/>
      <b val="1"/>
      <sz val="20"/>
    </font>
    <font>
      <name val="Times New Roman"/>
      <charset val="136"/>
      <family val="1"/>
      <b val="1"/>
      <color theme="1"/>
      <sz val="14"/>
    </font>
    <font>
      <name val="新細明體"/>
      <charset val="136"/>
      <family val="1"/>
      <color theme="1"/>
      <sz val="14"/>
      <scheme val="minor"/>
    </font>
    <font>
      <name val="微軟正黑體"/>
      <charset val="136"/>
      <family val="2"/>
      <color rgb="FF000000"/>
      <sz val="11"/>
    </font>
    <font>
      <name val="微軟正黑體"/>
      <charset val="136"/>
      <family val="2"/>
      <color theme="1"/>
      <sz val="12"/>
    </font>
    <font>
      <name val="微軟正黑體"/>
      <charset val="136"/>
      <family val="1"/>
      <b val="1"/>
      <color theme="1"/>
      <sz val="14"/>
      <u val="single"/>
    </font>
    <font>
      <name val="標楷體"/>
      <charset val="136"/>
      <family val="4"/>
      <b val="1"/>
      <color rgb="FF000000"/>
      <sz val="10"/>
    </font>
    <font>
      <name val="標楷體"/>
      <charset val="136"/>
      <family val="4"/>
      <b val="1"/>
      <color rgb="FF000000"/>
      <sz val="10.5"/>
    </font>
    <font>
      <name val="標楷體"/>
      <charset val="136"/>
      <family val="4"/>
      <b val="1"/>
      <color rgb="FF000000"/>
      <sz val="11"/>
    </font>
    <font>
      <name val="Arial"/>
      <family val="2"/>
      <color rgb="FF343434"/>
      <sz val="12"/>
    </font>
    <font>
      <name val="微軟正黑體"/>
      <charset val="136"/>
      <family val="2"/>
      <color rgb="FF343434"/>
      <sz val="12"/>
    </font>
    <font>
      <name val="標楷體"/>
      <charset val="136"/>
      <family val="4"/>
      <color rgb="FF000000"/>
      <sz val="16"/>
    </font>
    <font>
      <name val="新細明體"/>
      <charset val="136"/>
      <family val="1"/>
      <color rgb="FF000000"/>
      <sz val="12"/>
    </font>
    <font>
      <b val="1"/>
      <color rgb="00FFFFFF"/>
    </font>
  </fonts>
  <fills count="24">
    <fill>
      <patternFill/>
    </fill>
    <fill>
      <patternFill patternType="gray125"/>
    </fill>
    <fill>
      <patternFill patternType="solid">
        <fgColor rgb="FFFFC000"/>
        <bgColor indexed="64"/>
      </patternFill>
    </fill>
    <fill>
      <patternFill patternType="solid">
        <fgColor theme="9" tint="0.3999755851924192"/>
        <bgColor indexed="64"/>
      </patternFill>
    </fill>
    <fill>
      <patternFill patternType="solid">
        <fgColor theme="5" tint="0.3999755851924192"/>
        <bgColor indexed="64"/>
      </patternFill>
    </fill>
    <fill>
      <patternFill patternType="solid">
        <fgColor theme="0"/>
        <bgColor indexed="64"/>
      </patternFill>
    </fill>
    <fill>
      <patternFill patternType="solid">
        <fgColor theme="7"/>
        <bgColor indexed="64"/>
      </patternFill>
    </fill>
    <fill>
      <patternFill patternType="solid">
        <fgColor theme="4" tint="0.5999938962981048"/>
        <bgColor indexed="64"/>
      </patternFill>
    </fill>
    <fill>
      <patternFill patternType="solid">
        <fgColor theme="9"/>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rgb="FFF2F2F2"/>
        <bgColor indexed="64"/>
      </patternFill>
    </fill>
    <fill>
      <patternFill patternType="solid">
        <fgColor rgb="FFBFBFBF"/>
        <bgColor indexed="64"/>
      </patternFill>
    </fill>
    <fill>
      <patternFill patternType="solid">
        <fgColor rgb="FFFFFFFF"/>
        <bgColor indexed="64"/>
      </patternFill>
    </fill>
    <fill>
      <patternFill patternType="solid">
        <fgColor rgb="FFD9D9D9"/>
        <bgColor indexed="64"/>
      </patternFill>
    </fill>
    <fill>
      <patternFill patternType="solid">
        <fgColor rgb="FF0C0C0C"/>
        <bgColor indexed="64"/>
      </patternFill>
    </fill>
    <fill>
      <patternFill patternType="solid">
        <fgColor rgb="FFE0E0E0"/>
        <bgColor indexed="64"/>
      </patternFill>
    </fill>
    <fill>
      <patternFill patternType="solid">
        <fgColor theme="0" tint="-0.1499984740745262"/>
        <bgColor indexed="64"/>
      </patternFill>
    </fill>
    <fill>
      <patternFill patternType="solid">
        <fgColor theme="7" tint="0.5999938962981048"/>
        <bgColor indexed="64"/>
      </patternFill>
    </fill>
    <fill>
      <patternFill patternType="solid">
        <fgColor theme="6" tint="0.3999755851924192"/>
        <bgColor indexed="64"/>
      </patternFill>
    </fill>
    <fill>
      <patternFill patternType="solid">
        <fgColor theme="8" tint="0.7999816888943144"/>
        <bgColor indexed="64"/>
      </patternFill>
    </fill>
    <fill>
      <patternFill patternType="solid">
        <fgColor theme="2"/>
        <bgColor indexed="64"/>
      </patternFill>
    </fill>
    <fill>
      <patternFill patternType="solid">
        <fgColor rgb="004F81BD"/>
        <bgColor rgb="004F81BD"/>
      </patternFill>
    </fill>
    <fill>
      <patternFill patternType="solid">
        <fgColor rgb="00FFF2CC"/>
        <bgColor rgb="00FFF2CC"/>
      </patternFill>
    </fill>
  </fills>
  <borders count="310">
    <border>
      <left/>
      <right/>
      <top/>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style="mediumDashed">
        <color indexed="64"/>
      </right>
      <top/>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top/>
      <bottom style="thin">
        <color indexed="64"/>
      </bottom>
      <diagonal/>
    </border>
    <border>
      <left/>
      <right style="thin">
        <color indexed="64"/>
      </right>
      <top/>
      <bottom/>
      <diagonal/>
    </border>
    <border>
      <left style="double">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right/>
      <top style="double">
        <color indexed="64"/>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top/>
      <bottom/>
      <diagonal/>
    </border>
    <border>
      <left style="thin">
        <color indexed="64"/>
      </left>
      <right style="thin">
        <color indexed="64"/>
      </right>
      <top/>
      <bottom/>
      <diagonal/>
    </border>
    <border>
      <left/>
      <right style="thick">
        <color indexed="64"/>
      </right>
      <top/>
      <bottom style="thick">
        <color indexed="64"/>
      </bottom>
      <diagonal/>
    </border>
    <border>
      <left/>
      <right style="medium">
        <color indexed="64"/>
      </right>
      <top/>
      <bottom style="thick">
        <color indexed="64"/>
      </bottom>
      <diagonal/>
    </border>
    <border>
      <left style="thick">
        <color indexed="64"/>
      </left>
      <right style="medium">
        <color indexed="64"/>
      </right>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medium">
        <color indexed="64"/>
      </right>
      <top style="thick">
        <color indexed="64"/>
      </top>
      <bottom style="thick">
        <color indexed="64"/>
      </bottom>
      <diagonal/>
    </border>
    <border>
      <left/>
      <right/>
      <top/>
      <bottom style="thick">
        <color indexed="64"/>
      </bottom>
      <diagonal/>
    </border>
    <border>
      <left/>
      <right style="thick">
        <color auto="1"/>
      </right>
      <top/>
      <bottom/>
      <diagonal/>
    </border>
    <border>
      <left style="thick">
        <color auto="1"/>
      </left>
      <right/>
      <top/>
      <bottom/>
      <diagonal/>
    </border>
    <border>
      <left style="thick">
        <color auto="1"/>
      </left>
      <right/>
      <top/>
      <bottom style="thick">
        <color auto="1"/>
      </bottom>
      <diagonal/>
    </border>
    <border>
      <left/>
      <right style="thick">
        <color auto="1"/>
      </right>
      <top/>
      <bottom style="thin">
        <color auto="1"/>
      </bottom>
      <diagonal/>
    </border>
    <border>
      <left style="thick">
        <color auto="1"/>
      </left>
      <right/>
      <top style="thin">
        <color auto="1"/>
      </top>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right/>
      <top style="medium">
        <color auto="1"/>
      </top>
      <bottom style="thin">
        <color indexed="64"/>
      </bottom>
      <diagonal/>
    </border>
    <border>
      <left/>
      <right/>
      <top/>
      <bottom style="medium">
        <color auto="1"/>
      </bottom>
      <diagonal/>
    </border>
    <border>
      <left/>
      <right style="medium">
        <color auto="1"/>
      </right>
      <top/>
      <bottom style="medium">
        <color auto="1"/>
      </bottom>
      <diagonal/>
    </border>
    <border>
      <left/>
      <right style="thick">
        <color auto="1"/>
      </right>
      <top/>
      <bottom style="medium">
        <color auto="1"/>
      </bottom>
      <diagonal/>
    </border>
    <border>
      <left style="medium">
        <color auto="1"/>
      </left>
      <right/>
      <top style="medium">
        <color auto="1"/>
      </top>
      <bottom style="thin">
        <color auto="1"/>
      </bottom>
      <diagonal/>
    </border>
    <border>
      <left/>
      <right style="medium">
        <color auto="1"/>
      </right>
      <top/>
      <bottom/>
      <diagonal/>
    </border>
    <border>
      <left/>
      <right style="medium">
        <color auto="1"/>
      </right>
      <top style="medium">
        <color auto="1"/>
      </top>
      <bottom style="thin">
        <color auto="1"/>
      </bottom>
      <diagonal/>
    </border>
    <border>
      <left style="thick">
        <color auto="1"/>
      </left>
      <right/>
      <top style="medium">
        <color auto="1"/>
      </top>
      <bottom style="thin">
        <color auto="1"/>
      </bottom>
      <diagonal/>
    </border>
    <border>
      <left style="thick">
        <color auto="1"/>
      </left>
      <right/>
      <top/>
      <bottom style="medium">
        <color auto="1"/>
      </bottom>
      <diagonal/>
    </border>
    <border>
      <left/>
      <right style="thick">
        <color auto="1"/>
      </right>
      <top style="medium">
        <color auto="1"/>
      </top>
      <bottom style="thin">
        <color auto="1"/>
      </bottom>
      <diagonal/>
    </border>
    <border>
      <left style="thick">
        <color auto="1"/>
      </left>
      <right/>
      <top style="medium">
        <color auto="1"/>
      </top>
      <bottom/>
      <diagonal/>
    </border>
    <border>
      <left/>
      <right style="thin">
        <color auto="1"/>
      </right>
      <top style="medium">
        <color auto="1"/>
      </top>
      <bottom/>
      <diagonal/>
    </border>
    <border>
      <left style="thick">
        <color auto="1"/>
      </left>
      <right/>
      <top/>
      <bottom style="thin">
        <color indexed="64"/>
      </bottom>
      <diagonal/>
    </border>
    <border>
      <left/>
      <right/>
      <top style="medium">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thick">
        <color indexed="64"/>
      </left>
      <right style="medium">
        <color indexed="64"/>
      </right>
      <top/>
      <bottom/>
      <diagonal/>
    </border>
    <border>
      <left/>
      <right style="thick">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thick">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ck">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top style="medium">
        <color indexed="64"/>
      </top>
      <bottom/>
      <diagonal/>
    </border>
    <border>
      <left style="thick">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thin">
        <color indexed="64"/>
      </top>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bottom style="dashed">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n">
        <color rgb="FF000000"/>
      </left>
      <right/>
      <top/>
      <bottom/>
      <diagonal/>
    </border>
    <border>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style="thin">
        <color rgb="FF000000"/>
      </right>
      <top/>
      <bottom/>
      <diagonal/>
    </border>
    <border>
      <left/>
      <right style="thin">
        <color rgb="FF000000"/>
      </right>
      <top style="thin">
        <color rgb="FF000000"/>
      </top>
      <bottom/>
      <diagonal/>
    </border>
    <border>
      <left/>
      <right style="thick">
        <color indexed="64"/>
      </right>
      <top style="thin">
        <color indexed="64"/>
      </top>
      <bottom style="thick">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style="thin">
        <color indexed="64"/>
      </left>
      <right/>
      <top style="thin">
        <color indexed="64"/>
      </top>
      <bottom style="thick">
        <color indexed="64"/>
      </bottom>
      <diagonal/>
    </border>
    <border>
      <left/>
      <right style="thick">
        <color indexed="64"/>
      </right>
      <top style="medium">
        <color indexed="64"/>
      </top>
      <bottom style="medium">
        <color indexed="64"/>
      </bottom>
      <diagonal/>
    </border>
    <border>
      <left style="thick">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thick">
        <color indexed="64"/>
      </top>
      <bottom style="medium">
        <color indexed="64"/>
      </bottom>
      <diagonal/>
    </border>
    <border>
      <left/>
      <right style="double">
        <color indexed="64"/>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double">
        <color indexed="64"/>
      </right>
      <top style="medium">
        <color indexed="64"/>
      </top>
      <bottom style="medium">
        <color indexed="64"/>
      </bottom>
      <diagonal/>
    </border>
    <border>
      <left style="double">
        <color indexed="64"/>
      </left>
      <right style="medium">
        <color indexed="64"/>
      </right>
      <top/>
      <bottom style="medium">
        <color indexed="64"/>
      </bottom>
      <diagonal/>
    </border>
    <border>
      <left/>
      <right style="double">
        <color indexed="64"/>
      </right>
      <top style="thick">
        <color indexed="64"/>
      </top>
      <bottom style="medium">
        <color indexed="64"/>
      </bottom>
      <diagonal/>
    </border>
    <border>
      <left/>
      <right style="double">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double">
        <color indexed="64"/>
      </right>
      <top/>
      <bottom style="medium">
        <color indexed="64"/>
      </bottom>
      <diagonal/>
    </border>
    <border>
      <left/>
      <right style="thick">
        <color indexed="64"/>
      </right>
      <top style="medium">
        <color rgb="FF000000"/>
      </top>
      <bottom style="medium">
        <color indexed="64"/>
      </bottom>
      <diagonal/>
    </border>
    <border>
      <left/>
      <right/>
      <top style="medium">
        <color rgb="FF000000"/>
      </top>
      <bottom style="medium">
        <color indexed="64"/>
      </bottom>
      <diagonal/>
    </border>
    <border>
      <left/>
      <right style="thick">
        <color indexed="64"/>
      </right>
      <top style="medium">
        <color indexed="64"/>
      </top>
      <bottom style="medium">
        <color rgb="FF000000"/>
      </bottom>
      <diagonal/>
    </border>
    <border>
      <left/>
      <right/>
      <top style="medium">
        <color indexed="64"/>
      </top>
      <bottom style="medium">
        <color rgb="FF000000"/>
      </bottom>
      <diagonal/>
    </border>
    <border>
      <left style="thick">
        <color indexed="64"/>
      </left>
      <right style="medium">
        <color indexed="64"/>
      </right>
      <top/>
      <bottom style="medium">
        <color rgb="FF000000"/>
      </bottom>
      <diagonal/>
    </border>
    <border>
      <left style="medium">
        <color auto="1"/>
      </left>
      <right style="medium">
        <color auto="1"/>
      </right>
      <top style="medium">
        <color auto="1"/>
      </top>
      <bottom style="medium">
        <color auto="1"/>
      </bottom>
      <diagonal/>
    </border>
    <border>
      <left style="thin">
        <color indexed="64"/>
      </left>
      <right/>
      <top/>
      <bottom style="thin">
        <color theme="0" tint="-0.1499374370555742"/>
      </bottom>
      <diagonal/>
    </border>
    <border>
      <left/>
      <right/>
      <top/>
      <bottom style="thin">
        <color theme="0" tint="-0.1499374370555742"/>
      </bottom>
      <diagonal/>
    </border>
    <border>
      <left style="thin">
        <color indexed="64"/>
      </left>
      <right/>
      <top style="thin">
        <color theme="0" tint="-0.1499374370555742"/>
      </top>
      <bottom style="thin">
        <color theme="0" tint="-0.1499374370555742"/>
      </bottom>
      <diagonal/>
    </border>
    <border>
      <left/>
      <right/>
      <top style="thin">
        <color theme="0" tint="-0.1499374370555742"/>
      </top>
      <bottom style="thin">
        <color theme="0" tint="-0.1499374370555742"/>
      </bottom>
      <diagonal/>
    </border>
    <border>
      <left style="thin">
        <color indexed="64"/>
      </left>
      <right/>
      <top style="thin">
        <color theme="0" tint="-0.1499374370555742"/>
      </top>
      <bottom/>
      <diagonal/>
    </border>
    <border>
      <left/>
      <right/>
      <top style="thin">
        <color theme="0" tint="-0.1499374370555742"/>
      </top>
      <bottom/>
      <diagonal/>
    </border>
    <border>
      <left/>
      <right/>
      <top/>
      <bottom style="thin">
        <color theme="0" tint="-0.1499069185460982"/>
      </bottom>
      <diagonal/>
    </border>
    <border>
      <left/>
      <right style="thin">
        <color indexed="64"/>
      </right>
      <top/>
      <bottom style="thin">
        <color theme="0" tint="-0.249946592608417"/>
      </bottom>
      <diagonal/>
    </border>
    <border>
      <left/>
      <right/>
      <top/>
      <bottom style="thin">
        <color theme="0" tint="-0.249946592608417"/>
      </bottom>
      <diagonal/>
    </border>
    <border>
      <left/>
      <right style="thin">
        <color theme="0" tint="-0.1499069185460982"/>
      </right>
      <top/>
      <bottom style="thin">
        <color theme="0" tint="-0.1499069185460982"/>
      </bottom>
      <diagonal/>
    </border>
    <border>
      <left style="thin">
        <color theme="0" tint="-0.1499069185460982"/>
      </left>
      <right/>
      <top/>
      <bottom style="thin">
        <color theme="0" tint="-0.1499374370555742"/>
      </bottom>
      <diagonal/>
    </border>
    <border>
      <left style="thin">
        <color theme="0" tint="-0.1499069185460982"/>
      </left>
      <right/>
      <top/>
      <bottom style="thin">
        <color theme="0" tint="-0.1499069185460982"/>
      </bottom>
      <diagonal/>
    </border>
    <border>
      <left/>
      <right style="thin">
        <color theme="0" tint="-0.1499069185460982"/>
      </right>
      <top style="thin">
        <color theme="0" tint="-0.1499069185460982"/>
      </top>
      <bottom/>
      <diagonal/>
    </border>
    <border>
      <left/>
      <right/>
      <top style="thin">
        <color theme="0" tint="-0.1499069185460982"/>
      </top>
      <bottom/>
      <diagonal/>
    </border>
    <border>
      <left style="thin">
        <color theme="0" tint="-0.1499069185460982"/>
      </left>
      <right/>
      <top style="thin">
        <color theme="0" tint="-0.1499069185460982"/>
      </top>
      <bottom/>
      <diagonal/>
    </border>
    <border>
      <left/>
      <right/>
      <top/>
      <bottom style="thin">
        <color theme="0" tint="-0.1498764000366222"/>
      </bottom>
      <diagonal/>
    </border>
    <border>
      <left style="thin">
        <color theme="0" tint="-0.1499069185460982"/>
      </left>
      <right/>
      <top/>
      <bottom style="thin">
        <color theme="0" tint="-0.1498764000366222"/>
      </bottom>
      <diagonal/>
    </border>
    <border>
      <left/>
      <right/>
      <top style="thin">
        <color theme="0" tint="-0.249946592608417"/>
      </top>
      <bottom/>
      <diagonal/>
    </border>
    <border>
      <left style="thin">
        <color theme="0" tint="-0.249946592608417"/>
      </left>
      <right/>
      <top/>
      <bottom style="thin">
        <color theme="0" tint="-0.249946592608417"/>
      </bottom>
      <diagonal/>
    </border>
    <border>
      <left style="thin">
        <color theme="0" tint="-0.149906918546098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top/>
      <bottom style="thin">
        <color theme="0" tint="-0.1498458815271462"/>
      </bottom>
      <diagonal/>
    </border>
    <border>
      <left/>
      <right style="thin">
        <color indexed="64"/>
      </right>
      <top/>
      <bottom style="thin">
        <color theme="0" tint="-0.1498458815271462"/>
      </bottom>
      <diagonal/>
    </border>
    <border>
      <left/>
      <right style="thin">
        <color theme="0" tint="-0.1499069185460982"/>
      </right>
      <top style="thin">
        <color theme="0" tint="-0.1498764000366222"/>
      </top>
      <bottom style="thin">
        <color theme="0" tint="-0.1498764000366222"/>
      </bottom>
      <diagonal/>
    </border>
    <border>
      <left/>
      <right/>
      <top style="thin">
        <color theme="0" tint="-0.249946592608417"/>
      </top>
      <bottom style="thin">
        <color theme="0" tint="-0.249946592608417"/>
      </bottom>
      <diagonal/>
    </border>
    <border>
      <left/>
      <right style="thin">
        <color indexed="64"/>
      </right>
      <top style="thin">
        <color theme="0" tint="-0.249946592608417"/>
      </top>
      <bottom style="thin">
        <color theme="0" tint="-0.249946592608417"/>
      </bottom>
      <diagonal/>
    </border>
    <border>
      <left style="thin">
        <color theme="0" tint="-0.1499069185460982"/>
      </left>
      <right/>
      <top/>
      <bottom/>
      <diagonal/>
    </border>
    <border>
      <left/>
      <right style="thin">
        <color theme="0" tint="-0.1499069185460982"/>
      </right>
      <top/>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style="thin">
        <color theme="0" tint="-0.1498764000366222"/>
      </top>
      <bottom/>
      <diagonal/>
    </border>
    <border>
      <left/>
      <right/>
      <top style="thin">
        <color theme="0" tint="-0.1498764000366222"/>
      </top>
      <bottom/>
      <diagonal/>
    </border>
    <border>
      <left style="thick">
        <color indexed="64"/>
      </left>
      <right style="thin">
        <color indexed="64"/>
      </right>
      <top style="double">
        <color indexed="64"/>
      </top>
      <bottom style="thin">
        <color indexed="64"/>
      </bottom>
      <diagonal/>
    </border>
    <border>
      <left/>
      <right style="hair">
        <color auto="1"/>
      </right>
      <top/>
      <bottom/>
      <diagonal/>
    </border>
    <border>
      <left style="hair">
        <color auto="1"/>
      </left>
      <right/>
      <top/>
      <bottom/>
      <diagonal/>
    </border>
    <border>
      <left style="thin">
        <color indexed="64"/>
      </left>
      <right/>
      <top/>
      <bottom style="double">
        <color auto="1"/>
      </bottom>
      <diagonal/>
    </border>
    <border>
      <left/>
      <right style="thin">
        <color indexed="64"/>
      </right>
      <top/>
      <bottom style="double">
        <color auto="1"/>
      </bottom>
      <diagonal/>
    </border>
    <border>
      <left style="dotted">
        <color auto="1"/>
      </left>
      <right style="dotted">
        <color auto="1"/>
      </right>
      <top style="double">
        <color auto="1"/>
      </top>
      <bottom style="dotted">
        <color auto="1"/>
      </bottom>
      <diagonal/>
    </border>
    <border>
      <left style="dotted">
        <color auto="1"/>
      </left>
      <right style="dotted">
        <color auto="1"/>
      </right>
      <top style="dotted">
        <color auto="1"/>
      </top>
      <bottom style="dotted">
        <color auto="1"/>
      </bottom>
      <diagonal/>
    </border>
    <border>
      <left/>
      <right/>
      <top/>
      <bottom style="double">
        <color auto="1"/>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ck">
        <color auto="1"/>
      </left>
      <right style="thin">
        <color indexed="64"/>
      </right>
      <top/>
      <bottom/>
      <diagonal/>
    </border>
    <border>
      <left/>
      <right/>
      <top style="medium">
        <color auto="1"/>
      </top>
      <bottom/>
      <diagonal/>
    </border>
    <border>
      <left/>
      <right/>
      <top style="thin">
        <color indexed="64"/>
      </top>
      <bottom style="medium">
        <color auto="1"/>
      </bottom>
      <diagonal/>
    </border>
    <border>
      <left style="thin">
        <color indexed="64"/>
      </left>
      <right style="thin">
        <color indexed="64"/>
      </right>
      <top style="thin">
        <color indexed="64"/>
      </top>
      <bottom style="double">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right style="dotted">
        <color auto="1"/>
      </right>
      <top style="double">
        <color auto="1"/>
      </top>
      <bottom style="dotted">
        <color auto="1"/>
      </bottom>
      <diagonal/>
    </border>
    <border>
      <left/>
      <right/>
      <top style="double">
        <color auto="1"/>
      </top>
      <bottom style="dotted">
        <color auto="1"/>
      </bottom>
      <diagonal/>
    </border>
    <border>
      <left style="medium">
        <color indexed="64"/>
      </left>
      <right style="medium">
        <color auto="1"/>
      </right>
      <top/>
      <bottom/>
      <diagonal/>
    </border>
    <border>
      <left style="medium">
        <color indexed="64"/>
      </left>
      <right style="medium">
        <color indexed="64"/>
      </right>
      <top/>
      <bottom style="thin">
        <color indexed="64"/>
      </bottom>
      <diagonal/>
    </border>
    <border>
      <left/>
      <right style="medium">
        <color indexed="64"/>
      </right>
      <top/>
      <bottom/>
      <diagonal/>
    </border>
    <border>
      <left style="medium">
        <color auto="1"/>
      </left>
      <right style="medium">
        <color auto="1"/>
      </right>
      <top style="medium">
        <color auto="1"/>
      </top>
      <bottom style="thin">
        <color auto="1"/>
      </bottom>
      <diagonal/>
    </border>
    <border>
      <left/>
      <right style="medium">
        <color auto="1"/>
      </right>
      <top style="medium">
        <color auto="1"/>
      </top>
      <bottom/>
      <diagonal/>
    </border>
    <border>
      <left/>
      <right/>
      <top style="medium">
        <color auto="1"/>
      </top>
      <bottom style="thin">
        <color auto="1"/>
      </bottom>
      <diagonal/>
    </border>
    <border>
      <left style="medium">
        <color indexed="64"/>
      </left>
      <right style="medium">
        <color auto="1"/>
      </right>
      <top style="thin">
        <color indexed="64"/>
      </top>
      <bottom/>
      <diagonal/>
    </border>
    <border>
      <left/>
      <right style="medium">
        <color auto="1"/>
      </right>
      <top style="thin">
        <color indexed="64"/>
      </top>
      <bottom/>
      <diagonal/>
    </border>
    <border>
      <left style="medium">
        <color indexed="64"/>
      </left>
      <right style="medium">
        <color auto="1"/>
      </right>
      <top/>
      <bottom style="medium">
        <color indexed="64"/>
      </bottom>
      <diagonal/>
    </border>
    <border>
      <left/>
      <right/>
      <top/>
      <bottom style="medium">
        <color indexed="64"/>
      </bottom>
      <diagonal/>
    </border>
    <border>
      <left/>
      <right style="medium">
        <color auto="1"/>
      </right>
      <top/>
      <bottom style="medium">
        <color indexed="64"/>
      </bottom>
      <diagonal/>
    </border>
    <border>
      <left style="thin">
        <color indexed="64"/>
      </left>
      <right style="medium">
        <color auto="1"/>
      </right>
      <top/>
      <bottom style="medium">
        <color auto="1"/>
      </bottom>
      <diagonal/>
    </border>
    <border>
      <left style="thin">
        <color indexed="64"/>
      </left>
      <right/>
      <top/>
      <bottom style="medium">
        <color auto="1"/>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ck">
        <color auto="1"/>
      </left>
      <right style="medium">
        <color auto="1"/>
      </right>
      <top/>
      <bottom style="medium">
        <color auto="1"/>
      </bottom>
      <diagonal/>
    </border>
    <border>
      <left style="medium">
        <color indexed="64"/>
      </left>
      <right style="medium">
        <color auto="1"/>
      </right>
      <top style="medium">
        <color indexed="64"/>
      </top>
      <bottom style="medium">
        <color auto="1"/>
      </bottom>
      <diagonal/>
    </border>
    <border>
      <left/>
      <right style="medium">
        <color auto="1"/>
      </right>
      <top style="medium">
        <color indexed="64"/>
      </top>
      <bottom/>
      <diagonal/>
    </border>
    <border>
      <left style="medium">
        <color indexed="64"/>
      </left>
      <right/>
      <top/>
      <bottom style="medium">
        <color auto="1"/>
      </bottom>
      <diagonal/>
    </border>
    <border>
      <left style="medium">
        <color indexed="64"/>
      </left>
      <right style="thick">
        <color indexed="64"/>
      </right>
      <top style="medium">
        <color indexed="64"/>
      </top>
      <bottom style="medium">
        <color indexed="64"/>
      </bottom>
      <diagonal/>
    </border>
    <border>
      <left style="thick">
        <color auto="1"/>
      </left>
      <right style="thick">
        <color auto="1"/>
      </right>
      <top/>
      <bottom style="medium">
        <color auto="1"/>
      </bottom>
      <diagonal/>
    </border>
    <border>
      <left style="thick">
        <color indexed="64"/>
      </left>
      <right style="medium">
        <color indexed="64"/>
      </right>
      <top style="medium">
        <color indexed="64"/>
      </top>
      <bottom style="medium">
        <color indexed="64"/>
      </bottom>
      <diagonal/>
    </border>
    <border>
      <left style="thick">
        <color auto="1"/>
      </left>
      <right style="medium">
        <color indexed="64"/>
      </right>
      <top style="medium">
        <color auto="1"/>
      </top>
      <bottom/>
      <diagonal/>
    </border>
    <border>
      <left/>
      <right style="medium">
        <color indexed="64"/>
      </right>
      <top style="medium">
        <color auto="1"/>
      </top>
      <bottom/>
      <diagonal/>
    </border>
    <border>
      <left style="thick">
        <color auto="1"/>
      </left>
      <right style="medium">
        <color auto="1"/>
      </right>
      <top style="medium">
        <color auto="1"/>
      </top>
      <bottom style="medium">
        <color auto="1"/>
      </bottom>
      <diagonal/>
    </border>
    <border>
      <left style="medium">
        <color indexed="64"/>
      </left>
      <right style="thick">
        <color auto="1"/>
      </right>
      <top style="medium">
        <color indexed="64"/>
      </top>
      <bottom style="medium">
        <color auto="1"/>
      </bottom>
      <diagonal/>
    </border>
    <border>
      <left/>
      <right style="thick">
        <color auto="1"/>
      </right>
      <top style="medium">
        <color indexed="64"/>
      </top>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thick">
        <color indexed="64"/>
      </right>
      <top/>
      <bottom/>
      <diagonal/>
    </border>
    <border>
      <left style="medium">
        <color indexed="64"/>
      </left>
      <right style="thick">
        <color auto="1"/>
      </right>
      <top/>
      <bottom/>
      <diagonal/>
    </border>
    <border>
      <left style="medium">
        <color indexed="64"/>
      </left>
      <right style="thick">
        <color auto="1"/>
      </right>
      <top/>
      <bottom style="medium">
        <color indexed="64"/>
      </bottom>
      <diagonal/>
    </border>
    <border>
      <left/>
      <right style="thick">
        <color auto="1"/>
      </right>
      <top/>
      <bottom style="medium">
        <color indexed="64"/>
      </bottom>
      <diagonal/>
    </border>
    <border>
      <left style="thick">
        <color indexed="64"/>
      </left>
      <right/>
      <top/>
      <bottom/>
      <diagonal/>
    </border>
    <border>
      <left style="thick">
        <color auto="1"/>
      </left>
      <right style="thick">
        <color auto="1"/>
      </right>
      <top/>
      <bottom/>
      <diagonal/>
    </border>
    <border>
      <left style="thick">
        <color auto="1"/>
      </left>
      <right style="thick">
        <color indexed="64"/>
      </right>
      <top/>
      <bottom style="thick">
        <color auto="1"/>
      </bottom>
      <diagonal/>
    </border>
    <border>
      <left/>
      <right/>
      <top/>
      <bottom style="thick">
        <color auto="1"/>
      </bottom>
      <diagonal/>
    </border>
    <border>
      <left/>
      <right style="thick">
        <color indexed="64"/>
      </right>
      <top/>
      <bottom style="thick">
        <color auto="1"/>
      </bottom>
      <diagonal/>
    </border>
    <border>
      <left style="thick">
        <color indexed="64"/>
      </left>
      <right style="thick">
        <color indexed="64"/>
      </right>
      <top style="thick">
        <color indexed="64"/>
      </top>
      <bottom style="thick">
        <color indexed="64"/>
      </bottom>
      <diagonal/>
    </border>
    <border>
      <left style="thin">
        <color theme="0" tint="-0.1498764000366222"/>
      </left>
      <right style="thin">
        <color indexed="64"/>
      </right>
      <top/>
      <bottom style="thin">
        <color theme="0" tint="-0.14984588152714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069185460982"/>
      </left>
      <right style="thin">
        <color theme="0" tint="-0.1499069185460982"/>
      </right>
      <top/>
      <bottom/>
      <diagonal/>
    </border>
    <border>
      <left style="thin">
        <color theme="0" tint="-0.249946592608417"/>
      </left>
      <right style="thin">
        <color indexed="64"/>
      </right>
      <top style="thin">
        <color theme="0" tint="-0.249946592608417"/>
      </top>
      <bottom style="thin">
        <color theme="0" tint="-0.249946592608417"/>
      </bottom>
      <diagonal/>
    </border>
    <border>
      <left style="thin">
        <color theme="0" tint="-0.249946592608417"/>
      </left>
      <right style="thin">
        <color indexed="64"/>
      </right>
      <top/>
      <bottom style="thin">
        <color indexed="64"/>
      </bottom>
      <diagonal/>
    </border>
    <border>
      <left style="thin">
        <color theme="0" tint="-0.1499069185460982"/>
      </left>
      <right style="thin">
        <color theme="0" tint="-0.1499069185460982"/>
      </right>
      <top style="thin">
        <color theme="0" tint="-0.1498764000366222"/>
      </top>
      <bottom style="thin">
        <color theme="0" tint="-0.1498764000366222"/>
      </bottom>
      <diagonal/>
    </border>
    <border>
      <left style="thick">
        <color indexed="64"/>
      </left>
      <right/>
      <top/>
      <bottom style="thick">
        <color indexed="64"/>
      </bottom>
      <diagonal/>
    </border>
    <border>
      <left style="thick">
        <color indexed="64"/>
      </left>
      <right/>
      <top/>
      <bottom style="thin">
        <color indexed="64"/>
      </bottom>
      <diagonal/>
    </border>
    <border>
      <left style="medium">
        <color indexed="64"/>
      </left>
      <right style="thick">
        <color indexed="64"/>
      </right>
      <top style="medium">
        <color indexed="64"/>
      </top>
      <bottom style="medium">
        <color rgb="FF000000"/>
      </bottom>
      <diagonal/>
    </border>
    <border>
      <left style="medium">
        <color indexed="64"/>
      </left>
      <right style="thick">
        <color indexed="64"/>
      </right>
      <top style="medium">
        <color rgb="FF000000"/>
      </top>
      <bottom style="medium">
        <color indexed="64"/>
      </bottom>
      <diagonal/>
    </border>
    <border>
      <left/>
      <right/>
      <top style="medium">
        <color indexed="64"/>
      </top>
      <bottom style="medium">
        <color auto="1"/>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style="thick">
        <color indexed="64"/>
      </bottom>
      <diagonal/>
    </border>
    <border>
      <left style="double">
        <color indexed="64"/>
      </left>
      <right style="medium">
        <color indexed="64"/>
      </right>
      <top style="medium">
        <color indexed="64"/>
      </top>
      <bottom style="double">
        <color indexed="64"/>
      </bottom>
      <diagonal/>
    </border>
    <border>
      <left style="medium">
        <color indexed="64"/>
      </left>
      <right style="double">
        <color indexed="64"/>
      </right>
      <top style="medium">
        <color indexed="64"/>
      </top>
      <bottom style="double">
        <color indexed="64"/>
      </bottom>
      <diagonal/>
    </border>
    <border>
      <left style="medium">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medium">
        <color indexed="64"/>
      </top>
      <bottom style="thick">
        <color indexed="64"/>
      </bottom>
      <diagonal/>
    </border>
    <border>
      <left style="medium">
        <color indexed="64"/>
      </left>
      <right style="double">
        <color indexed="64"/>
      </right>
      <top style="medium">
        <color indexed="64"/>
      </top>
      <bottom style="thick">
        <color indexed="64"/>
      </bottom>
      <diagonal/>
    </border>
    <border>
      <left style="medium">
        <color indexed="64"/>
      </left>
      <right style="double">
        <color indexed="64"/>
      </right>
      <top style="thick">
        <color indexed="64"/>
      </top>
      <bottom style="medium">
        <color indexed="64"/>
      </bottom>
      <diagonal/>
    </border>
    <border>
      <left/>
      <right/>
      <top style="thick">
        <color indexed="64"/>
      </top>
      <bottom style="medium">
        <color indexed="64"/>
      </bottom>
      <diagonal/>
    </border>
    <border>
      <left style="double">
        <color indexed="64"/>
      </left>
      <right style="medium">
        <color auto="1"/>
      </right>
      <top/>
      <bottom style="medium">
        <color indexed="64"/>
      </bottom>
      <diagonal/>
    </border>
    <border>
      <left style="medium">
        <color indexed="64"/>
      </left>
      <right style="double">
        <color indexed="64"/>
      </right>
      <top/>
      <bottom style="medium">
        <color indexed="64"/>
      </bottom>
      <diagonal/>
    </border>
    <border>
      <left/>
      <right style="thick">
        <color auto="1"/>
      </right>
      <top style="thick">
        <color indexed="64"/>
      </top>
      <bottom style="medium">
        <color auto="1"/>
      </bottom>
      <diagonal/>
    </border>
    <border>
      <left/>
      <right style="thick">
        <color auto="1"/>
      </right>
      <top style="thick">
        <color indexed="64"/>
      </top>
      <bottom/>
      <diagonal/>
    </border>
    <border>
      <left style="thick">
        <color auto="1"/>
      </left>
      <right style="thick">
        <color indexed="64"/>
      </right>
      <top style="medium">
        <color auto="1"/>
      </top>
      <bottom/>
      <diagonal/>
    </border>
    <border>
      <left/>
      <right style="thick">
        <color indexed="64"/>
      </right>
      <top style="medium">
        <color auto="1"/>
      </top>
      <bottom/>
      <diagonal/>
    </border>
    <border>
      <left style="thick">
        <color indexed="64"/>
      </left>
      <right style="thick">
        <color indexed="64"/>
      </right>
      <top style="medium">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auto="1"/>
      </right>
      <top style="thick">
        <color indexed="64"/>
      </top>
      <bottom style="medium">
        <color indexed="64"/>
      </bottom>
      <diagonal/>
    </border>
    <border>
      <left/>
      <right style="thick">
        <color auto="1"/>
      </right>
      <top style="thick">
        <color indexed="64"/>
      </top>
      <bottom style="medium">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indexed="64"/>
      </left>
      <right style="medium">
        <color auto="1"/>
      </right>
      <top style="thin">
        <color indexed="64"/>
      </top>
      <bottom/>
      <diagonal/>
    </border>
    <border>
      <left/>
      <right style="thin">
        <color indexed="64"/>
      </right>
      <top/>
      <bottom style="medium">
        <color auto="1"/>
      </bottom>
      <diagonal/>
    </border>
    <border>
      <left style="thin">
        <color indexed="64"/>
      </left>
      <right style="medium">
        <color auto="1"/>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auto="1"/>
      </right>
      <top style="medium">
        <color auto="1"/>
      </top>
      <bottom style="thin">
        <color indexed="64"/>
      </bottom>
      <diagonal/>
    </border>
    <border>
      <left style="thick">
        <color indexed="64"/>
      </left>
      <right style="thick">
        <color indexed="64"/>
      </right>
      <top style="thin">
        <color indexed="64"/>
      </top>
      <bottom style="thin">
        <color indexed="64"/>
      </bottom>
      <diagonal/>
    </border>
    <border>
      <left/>
      <right/>
      <top style="thin">
        <color auto="1"/>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thick">
        <color indexed="64"/>
      </bottom>
      <diagonal/>
    </border>
    <border>
      <left/>
      <right/>
      <top style="thick">
        <color auto="1"/>
      </top>
      <bottom/>
      <diagonal/>
    </border>
    <border>
      <left/>
      <right/>
      <top style="dotted">
        <color auto="1"/>
      </top>
      <bottom/>
      <diagonal/>
    </border>
    <border>
      <left/>
      <right style="dotted">
        <color auto="1"/>
      </right>
      <top style="dotted">
        <color auto="1"/>
      </top>
      <bottom/>
      <diagonal/>
    </border>
    <border>
      <left/>
      <right/>
      <top style="double">
        <color auto="1"/>
      </top>
      <bottom/>
      <diagonal/>
    </border>
    <border>
      <left/>
      <right style="dotted">
        <color auto="1"/>
      </right>
      <top style="double">
        <color auto="1"/>
      </top>
      <bottom/>
      <diagonal/>
    </border>
    <border>
      <left style="medium">
        <color indexed="64"/>
      </left>
      <right style="thick">
        <color indexed="64"/>
      </right>
      <top/>
      <bottom/>
      <diagonal/>
    </border>
    <border>
      <left/>
      <right style="thin">
        <color indexed="64"/>
      </right>
      <top style="thin">
        <color theme="0" tint="-0.249946592608417"/>
      </top>
      <bottom/>
      <diagonal/>
    </border>
    <border>
      <left/>
      <right style="thin">
        <color theme="0" tint="-0.1498764000366222"/>
      </right>
      <top style="thin">
        <color theme="0" tint="-0.1498764000366222"/>
      </top>
      <bottom/>
      <diagonal/>
    </border>
    <border>
      <left/>
      <right style="thin">
        <color theme="0" tint="-0.1499069185460982"/>
      </right>
      <top style="thin">
        <color theme="0" tint="-0.1498764000366222"/>
      </top>
      <bottom/>
      <diagonal/>
    </border>
    <border>
      <left/>
      <right/>
      <top style="medium">
        <color rgb="FF000000"/>
      </top>
      <bottom/>
      <diagonal/>
    </border>
    <border>
      <left/>
      <right style="thick">
        <color indexed="64"/>
      </right>
      <top style="medium">
        <color rgb="FF000000"/>
      </top>
      <bottom/>
      <diagonal/>
    </border>
    <border>
      <left/>
      <right style="double">
        <color indexed="64"/>
      </right>
      <top style="medium">
        <color indexed="64"/>
      </top>
      <bottom/>
      <diagonal/>
    </border>
    <border>
      <left/>
      <right style="double">
        <color indexed="64"/>
      </right>
      <top style="thick">
        <color indexed="64"/>
      </top>
      <bottom/>
      <diagonal/>
    </border>
    <border>
      <left/>
      <right style="double">
        <color indexed="64"/>
      </right>
      <top/>
      <bottom/>
      <diagonal/>
    </border>
    <border>
      <left/>
      <right style="medium">
        <color indexed="64"/>
      </right>
      <top style="thick">
        <color indexed="64"/>
      </top>
      <bottom/>
      <diagonal/>
    </border>
    <border>
      <left/>
      <right style="thin">
        <color indexed="64"/>
      </right>
      <top style="thick">
        <color indexed="64"/>
      </top>
      <bottom/>
      <diagonal/>
    </border>
    <border>
      <left style="thick">
        <color indexed="64"/>
      </left>
      <right style="thin">
        <color indexed="64"/>
      </right>
      <top/>
      <bottom/>
      <diagonal/>
    </border>
    <border>
      <left/>
      <right style="double">
        <color indexed="64"/>
      </right>
      <top style="thin">
        <color indexed="64"/>
      </top>
      <bottom/>
      <diagonal/>
    </border>
  </borders>
  <cellStyleXfs count="4">
    <xf numFmtId="0" fontId="0" fillId="0" borderId="0" applyAlignment="1">
      <alignment vertical="center"/>
    </xf>
    <xf numFmtId="0" fontId="20" fillId="0" borderId="0" applyAlignment="1">
      <alignment vertical="center"/>
    </xf>
    <xf numFmtId="0" fontId="71" fillId="0" borderId="0" applyAlignment="1">
      <alignment vertical="center"/>
    </xf>
    <xf numFmtId="0" fontId="73" fillId="0" borderId="0"/>
  </cellStyleXfs>
  <cellXfs count="1340">
    <xf numFmtId="0" fontId="0" fillId="0" borderId="0" applyAlignment="1" pivotButton="0" quotePrefix="0" xfId="0">
      <alignment vertical="center"/>
    </xf>
    <xf numFmtId="0" fontId="0" fillId="0" borderId="3" applyAlignment="1" pivotButton="0" quotePrefix="0" xfId="0">
      <alignment vertical="center"/>
    </xf>
    <xf numFmtId="0" fontId="2" fillId="0" borderId="7" applyAlignment="1" pivotButton="0" quotePrefix="0" xfId="0">
      <alignment horizontal="justify" vertical="top" wrapText="1"/>
    </xf>
    <xf numFmtId="0" fontId="2" fillId="0" borderId="8" applyAlignment="1" pivotButton="0" quotePrefix="0" xfId="0">
      <alignment horizontal="justify" vertical="top" wrapText="1"/>
    </xf>
    <xf numFmtId="0" fontId="2" fillId="0" borderId="9" applyAlignment="1" pivotButton="0" quotePrefix="0" xfId="0">
      <alignment horizontal="justify" vertical="top" wrapText="1"/>
    </xf>
    <xf numFmtId="0" fontId="3" fillId="0" borderId="0" applyAlignment="1" pivotButton="0" quotePrefix="0" xfId="0">
      <alignment vertical="center"/>
    </xf>
    <xf numFmtId="0" fontId="0" fillId="0" borderId="0" applyAlignment="1" applyProtection="1" pivotButton="0" quotePrefix="0" xfId="0">
      <alignment vertical="center"/>
      <protection locked="1" hidden="1"/>
    </xf>
    <xf numFmtId="0" fontId="5" fillId="0" borderId="0" applyAlignment="1" applyProtection="1" pivotButton="0" quotePrefix="0" xfId="0">
      <alignment vertical="center"/>
      <protection locked="1" hidden="1"/>
    </xf>
    <xf numFmtId="0" fontId="6" fillId="0" borderId="0" applyAlignment="1" applyProtection="1" pivotButton="0" quotePrefix="0" xfId="0">
      <alignment vertical="center"/>
      <protection locked="1" hidden="1"/>
    </xf>
    <xf numFmtId="0" fontId="8" fillId="0" borderId="0" applyAlignment="1" applyProtection="1" pivotButton="0" quotePrefix="0" xfId="0">
      <alignment vertical="center"/>
      <protection locked="1" hidden="1"/>
    </xf>
    <xf numFmtId="0" fontId="8" fillId="0" borderId="0" applyAlignment="1" applyProtection="1" pivotButton="0" quotePrefix="0" xfId="0">
      <alignment horizontal="left" vertical="center" indent="5"/>
      <protection locked="1" hidden="1"/>
    </xf>
    <xf numFmtId="0" fontId="7" fillId="0" borderId="0" applyAlignment="1" applyProtection="1" pivotButton="0" quotePrefix="0" xfId="0">
      <alignment vertical="center"/>
      <protection locked="1" hidden="1"/>
    </xf>
    <xf numFmtId="0" fontId="7" fillId="0" borderId="0" applyAlignment="1" applyProtection="1" pivotButton="0" quotePrefix="0" xfId="0">
      <alignment vertical="top"/>
      <protection locked="1" hidden="1"/>
    </xf>
    <xf numFmtId="0" fontId="7" fillId="0" borderId="0" applyAlignment="1" pivotButton="0" quotePrefix="0" xfId="0">
      <alignment vertical="center" wrapText="1"/>
    </xf>
    <xf numFmtId="0" fontId="9" fillId="0" borderId="0" applyAlignment="1" pivotButton="0" quotePrefix="0" xfId="0">
      <alignment vertical="center"/>
    </xf>
    <xf numFmtId="0" fontId="10" fillId="0" borderId="0" applyAlignment="1" pivotButton="0" quotePrefix="0" xfId="0">
      <alignment vertical="center"/>
    </xf>
    <xf numFmtId="0" fontId="12" fillId="0" borderId="0" applyAlignment="1" applyProtection="1" pivotButton="0" quotePrefix="0" xfId="0">
      <alignment vertical="center"/>
      <protection locked="1" hidden="1"/>
    </xf>
    <xf numFmtId="0" fontId="9" fillId="0" borderId="0" applyAlignment="1" applyProtection="1" pivotButton="0" quotePrefix="0" xfId="0">
      <alignment vertical="center"/>
      <protection locked="1" hidden="1"/>
    </xf>
    <xf numFmtId="0" fontId="14" fillId="0" borderId="0" applyAlignment="1" applyProtection="1" pivotButton="0" quotePrefix="0" xfId="0">
      <alignment vertical="center"/>
      <protection locked="1" hidden="1"/>
    </xf>
    <xf numFmtId="0" fontId="15" fillId="0" borderId="0" applyAlignment="1" applyProtection="1" pivotButton="0" quotePrefix="0" xfId="0">
      <alignment horizontal="left" vertical="center"/>
      <protection locked="1" hidden="1"/>
    </xf>
    <xf numFmtId="0" fontId="16" fillId="0" borderId="0" applyAlignment="1" applyProtection="1" pivotButton="0" quotePrefix="0" xfId="0">
      <alignment vertical="center"/>
      <protection locked="1" hidden="1"/>
    </xf>
    <xf numFmtId="0" fontId="17" fillId="0" borderId="0" applyAlignment="1" applyProtection="1" pivotButton="0" quotePrefix="0" xfId="0">
      <alignment horizontal="left" vertical="center" wrapText="1"/>
      <protection locked="1" hidden="1"/>
    </xf>
    <xf numFmtId="0" fontId="17" fillId="0" borderId="0" applyAlignment="1" applyProtection="1" pivotButton="0" quotePrefix="0" xfId="0">
      <alignment vertical="center"/>
      <protection locked="1" hidden="1"/>
    </xf>
    <xf numFmtId="0" fontId="17" fillId="0" borderId="0" applyAlignment="1" applyProtection="1" pivotButton="0" quotePrefix="0" xfId="0">
      <alignment horizontal="left" vertical="center" indent="1"/>
      <protection locked="1" hidden="1"/>
    </xf>
    <xf numFmtId="0" fontId="18" fillId="0" borderId="0" applyAlignment="1" applyProtection="1" pivotButton="0" quotePrefix="0" xfId="0">
      <alignment horizontal="center" vertical="center"/>
      <protection locked="1" hidden="1"/>
    </xf>
    <xf numFmtId="0" fontId="20" fillId="0" borderId="0" applyAlignment="1" pivotButton="0" quotePrefix="0" xfId="1">
      <alignment vertical="center"/>
    </xf>
    <xf numFmtId="0" fontId="20" fillId="0" borderId="0" applyAlignment="1" applyProtection="1" pivotButton="0" quotePrefix="0" xfId="1">
      <alignment vertical="center"/>
      <protection locked="1" hidden="1"/>
    </xf>
    <xf numFmtId="0" fontId="20" fillId="0" borderId="9" applyAlignment="1" applyProtection="1" pivotButton="0" quotePrefix="0" xfId="1">
      <alignment vertical="center"/>
      <protection locked="1" hidden="1"/>
    </xf>
    <xf numFmtId="0" fontId="20" fillId="0" borderId="13" applyAlignment="1" applyProtection="1" pivotButton="0" quotePrefix="0" xfId="1">
      <alignment vertical="center"/>
      <protection locked="1" hidden="1"/>
    </xf>
    <xf numFmtId="0" fontId="21" fillId="0" borderId="13" applyAlignment="1" applyProtection="1" pivotButton="0" quotePrefix="0" xfId="1">
      <alignment vertical="center"/>
      <protection locked="1" hidden="1"/>
    </xf>
    <xf numFmtId="0" fontId="21" fillId="0" borderId="0" applyAlignment="1" applyProtection="1" pivotButton="0" quotePrefix="0" xfId="1">
      <alignment vertical="center"/>
      <protection locked="1" hidden="1"/>
    </xf>
    <xf numFmtId="0" fontId="21" fillId="0" borderId="0" applyAlignment="1" pivotButton="0" quotePrefix="0" xfId="1">
      <alignment vertical="center"/>
    </xf>
    <xf numFmtId="0" fontId="21" fillId="0" borderId="0" applyAlignment="1" applyProtection="1" pivotButton="0" quotePrefix="0" xfId="1">
      <alignment horizontal="center" vertical="center"/>
      <protection locked="1" hidden="1"/>
    </xf>
    <xf numFmtId="0" fontId="0" fillId="0" borderId="0" applyAlignment="1" pivotButton="0" quotePrefix="0" xfId="0">
      <alignment vertical="center" wrapText="1"/>
    </xf>
    <xf numFmtId="0" fontId="6" fillId="3" borderId="5" applyAlignment="1" pivotButton="0" quotePrefix="0" xfId="0">
      <alignment horizontal="center" vertical="center"/>
    </xf>
    <xf numFmtId="0" fontId="5" fillId="2" borderId="5" applyAlignment="1" pivotButton="0" quotePrefix="0" xfId="0">
      <alignment vertical="center"/>
    </xf>
    <xf numFmtId="0" fontId="5" fillId="5" borderId="0" applyAlignment="1" pivotButton="0" quotePrefix="0" xfId="0">
      <alignment vertical="center"/>
    </xf>
    <xf numFmtId="0" fontId="6" fillId="7" borderId="5" applyAlignment="1" pivotButton="0" quotePrefix="0" xfId="0">
      <alignment horizontal="center" vertical="center"/>
    </xf>
    <xf numFmtId="0" fontId="5" fillId="6" borderId="5" applyAlignment="1" pivotButton="0" quotePrefix="0" xfId="0">
      <alignment horizontal="center" vertical="center"/>
    </xf>
    <xf numFmtId="0" fontId="5" fillId="3" borderId="5" applyAlignment="1" pivotButton="0" quotePrefix="0" xfId="0">
      <alignment horizontal="center" vertical="center"/>
    </xf>
    <xf numFmtId="0" fontId="2" fillId="0" borderId="13" applyAlignment="1" applyProtection="1" pivotButton="0" quotePrefix="0" xfId="1">
      <alignment vertical="center"/>
      <protection locked="1" hidden="1"/>
    </xf>
    <xf numFmtId="0" fontId="2" fillId="0" borderId="13" applyAlignment="1" applyProtection="1" pivotButton="0" quotePrefix="0" xfId="1">
      <alignment horizontal="center" vertical="center"/>
      <protection locked="1" hidden="1"/>
    </xf>
    <xf numFmtId="0" fontId="5" fillId="0" borderId="5" applyAlignment="1" pivotButton="0" quotePrefix="0" xfId="0">
      <alignment vertical="center"/>
    </xf>
    <xf numFmtId="0" fontId="0" fillId="0" borderId="0" applyAlignment="1" pivotButton="0" quotePrefix="0" xfId="0">
      <alignment horizontal="left" vertical="center"/>
    </xf>
    <xf numFmtId="0" fontId="24" fillId="0" borderId="5" applyAlignment="1" pivotButton="0" quotePrefix="0" xfId="0">
      <alignment horizontal="center" vertical="center" wrapText="1"/>
    </xf>
    <xf numFmtId="0" fontId="5" fillId="0" borderId="5" applyAlignment="1" pivotButton="0" quotePrefix="0" xfId="0">
      <alignment vertical="center" wrapText="1"/>
    </xf>
    <xf numFmtId="0" fontId="5" fillId="5" borderId="0" applyAlignment="1" pivotButton="0" quotePrefix="0" xfId="0">
      <alignment horizontal="left" vertical="center"/>
    </xf>
    <xf numFmtId="0" fontId="5" fillId="4" borderId="5" applyAlignment="1" pivotButton="0" quotePrefix="0" xfId="0">
      <alignment horizontal="center" vertical="center"/>
    </xf>
    <xf numFmtId="0" fontId="5" fillId="5" borderId="0" applyAlignment="1" pivotButton="0" quotePrefix="0" xfId="0">
      <alignment vertical="center" wrapText="1"/>
    </xf>
    <xf numFmtId="0" fontId="5" fillId="0" borderId="13" applyAlignment="1" pivotButton="0" quotePrefix="0" xfId="0">
      <alignment vertical="center"/>
    </xf>
    <xf numFmtId="0" fontId="5" fillId="0" borderId="19" applyAlignment="1" pivotButton="0" quotePrefix="0" xfId="0">
      <alignment vertical="center"/>
    </xf>
    <xf numFmtId="0" fontId="5" fillId="0" borderId="0" applyAlignment="1" pivotButton="0" quotePrefix="0" xfId="0">
      <alignment vertical="top" wrapText="1"/>
    </xf>
    <xf numFmtId="0" fontId="24" fillId="0" borderId="0" applyAlignment="1" pivotButton="0" quotePrefix="0" xfId="0">
      <alignment vertical="center"/>
    </xf>
    <xf numFmtId="0" fontId="27" fillId="0" borderId="0" applyAlignment="1" pivotButton="0" quotePrefix="0" xfId="0">
      <alignment vertical="center"/>
    </xf>
    <xf numFmtId="0" fontId="28" fillId="0" borderId="0" applyAlignment="1" pivotButton="0" quotePrefix="0" xfId="0">
      <alignment vertical="center"/>
    </xf>
    <xf numFmtId="0" fontId="29" fillId="0" borderId="0" applyAlignment="1" pivotButton="0" quotePrefix="0" xfId="0">
      <alignment vertical="center"/>
    </xf>
    <xf numFmtId="0" fontId="12" fillId="0" borderId="0" applyAlignment="1" pivotButton="0" quotePrefix="0" xfId="0">
      <alignment horizontal="justify" vertical="center" wrapText="1"/>
    </xf>
    <xf numFmtId="0" fontId="12" fillId="0" borderId="30" applyAlignment="1" pivotButton="0" quotePrefix="0" xfId="0">
      <alignment horizontal="justify" vertical="center" wrapText="1"/>
    </xf>
    <xf numFmtId="0" fontId="12" fillId="0" borderId="31" applyAlignment="1" pivotButton="0" quotePrefix="0" xfId="0">
      <alignment horizontal="justify" vertical="center" wrapText="1"/>
    </xf>
    <xf numFmtId="0" fontId="12" fillId="0" borderId="32" applyAlignment="1" pivotButton="0" quotePrefix="0" xfId="0">
      <alignment horizontal="justify" vertical="center" wrapText="1"/>
    </xf>
    <xf numFmtId="0" fontId="30" fillId="0" borderId="31" applyAlignment="1" pivotButton="0" quotePrefix="0" xfId="0">
      <alignment horizontal="justify" vertical="center" wrapText="1"/>
    </xf>
    <xf numFmtId="0" fontId="30" fillId="0" borderId="31" applyAlignment="1" pivotButton="0" quotePrefix="0" xfId="0">
      <alignment horizontal="center" vertical="center" wrapText="1"/>
    </xf>
    <xf numFmtId="0" fontId="6" fillId="0" borderId="32" applyAlignment="1" pivotButton="0" quotePrefix="0" xfId="0">
      <alignment horizontal="justify" vertical="center" wrapText="1"/>
    </xf>
    <xf numFmtId="0" fontId="31" fillId="0" borderId="33" applyAlignment="1" pivotButton="0" quotePrefix="0" xfId="0">
      <alignment horizontal="justify" vertical="center" wrapText="1"/>
    </xf>
    <xf numFmtId="0" fontId="31" fillId="0" borderId="34" applyAlignment="1" pivotButton="0" quotePrefix="0" xfId="0">
      <alignment horizontal="justify" vertical="center" wrapText="1"/>
    </xf>
    <xf numFmtId="0" fontId="31" fillId="0" borderId="35" applyAlignment="1" pivotButton="0" quotePrefix="0" xfId="0">
      <alignment horizontal="justify" vertical="center" wrapText="1"/>
    </xf>
    <xf numFmtId="0" fontId="35" fillId="0" borderId="0" applyAlignment="1" pivotButton="0" quotePrefix="0" xfId="0">
      <alignment vertical="center"/>
    </xf>
    <xf numFmtId="0" fontId="36" fillId="0" borderId="0" applyAlignment="1" pivotButton="0" quotePrefix="0" xfId="0">
      <alignment vertical="center"/>
    </xf>
    <xf numFmtId="0" fontId="5" fillId="0" borderId="40" applyAlignment="1" pivotButton="0" quotePrefix="0" xfId="0">
      <alignment vertical="center"/>
    </xf>
    <xf numFmtId="0" fontId="5" fillId="0" borderId="41" applyAlignment="1" pivotButton="0" quotePrefix="0" xfId="0">
      <alignment vertical="center"/>
    </xf>
    <xf numFmtId="0" fontId="5" fillId="0" borderId="37" applyAlignment="1" pivotButton="0" quotePrefix="0" xfId="0">
      <alignment vertical="center"/>
    </xf>
    <xf numFmtId="0" fontId="5" fillId="0" borderId="38" applyAlignment="1" pivotButton="0" quotePrefix="0" xfId="0">
      <alignment vertical="center"/>
    </xf>
    <xf numFmtId="0" fontId="30" fillId="0" borderId="41" applyAlignment="1" pivotButton="0" quotePrefix="0" xfId="0">
      <alignment vertical="center"/>
    </xf>
    <xf numFmtId="0" fontId="5" fillId="0" borderId="39" applyAlignment="1" pivotButton="0" quotePrefix="0" xfId="0">
      <alignment vertical="center"/>
    </xf>
    <xf numFmtId="0" fontId="5" fillId="0" borderId="36" applyAlignment="1" pivotButton="0" quotePrefix="0" xfId="0">
      <alignment vertical="center"/>
    </xf>
    <xf numFmtId="0" fontId="5" fillId="0" borderId="30" applyAlignment="1" pivotButton="0" quotePrefix="0" xfId="0">
      <alignment vertical="center"/>
    </xf>
    <xf numFmtId="0" fontId="37" fillId="0" borderId="0" applyAlignment="1" pivotButton="0" quotePrefix="0" xfId="0">
      <alignment vertical="center"/>
    </xf>
    <xf numFmtId="0" fontId="5" fillId="0" borderId="42" applyAlignment="1" pivotButton="0" quotePrefix="0" xfId="0">
      <alignment vertical="center"/>
    </xf>
    <xf numFmtId="0" fontId="5" fillId="0" borderId="43" applyAlignment="1" pivotButton="0" quotePrefix="0" xfId="0">
      <alignment vertical="center"/>
    </xf>
    <xf numFmtId="0" fontId="5" fillId="0" borderId="44" applyAlignment="1" pivotButton="0" quotePrefix="0" xfId="0">
      <alignment vertical="center"/>
    </xf>
    <xf numFmtId="0" fontId="5" fillId="0" borderId="50" applyAlignment="1" pivotButton="0" quotePrefix="0" xfId="0">
      <alignment vertical="center"/>
    </xf>
    <xf numFmtId="0" fontId="5" fillId="0" borderId="47" applyAlignment="1" pivotButton="0" quotePrefix="0" xfId="0">
      <alignment vertical="center"/>
    </xf>
    <xf numFmtId="0" fontId="30" fillId="0" borderId="51" applyAlignment="1" pivotButton="0" quotePrefix="0" xfId="0">
      <alignment vertical="center"/>
    </xf>
    <xf numFmtId="0" fontId="5" fillId="0" borderId="52" applyAlignment="1" pivotButton="0" quotePrefix="0" xfId="0">
      <alignment vertical="center"/>
    </xf>
    <xf numFmtId="0" fontId="30" fillId="0" borderId="53" applyAlignment="1" pivotButton="0" quotePrefix="0" xfId="0">
      <alignment vertical="center"/>
    </xf>
    <xf numFmtId="0" fontId="30" fillId="0" borderId="49" applyAlignment="1" pivotButton="0" quotePrefix="0" xfId="0">
      <alignment vertical="center"/>
    </xf>
    <xf numFmtId="0" fontId="5" fillId="0" borderId="54" applyAlignment="1" pivotButton="0" quotePrefix="0" xfId="0">
      <alignment vertical="center"/>
    </xf>
    <xf numFmtId="0" fontId="6" fillId="0" borderId="0" applyAlignment="1" pivotButton="0" quotePrefix="0" xfId="0">
      <alignment vertical="center"/>
    </xf>
    <xf numFmtId="0" fontId="30" fillId="0" borderId="0" applyAlignment="1" pivotButton="0" quotePrefix="0" xfId="0">
      <alignment vertical="center"/>
    </xf>
    <xf numFmtId="0" fontId="5" fillId="0" borderId="55" applyAlignment="1" pivotButton="0" quotePrefix="0" xfId="0">
      <alignment vertical="center"/>
    </xf>
    <xf numFmtId="0" fontId="5" fillId="0" borderId="56" applyAlignment="1" pivotButton="0" quotePrefix="0" xfId="0">
      <alignment vertical="center"/>
    </xf>
    <xf numFmtId="0" fontId="5" fillId="0" borderId="16" applyAlignment="1" pivotButton="0" quotePrefix="0" xfId="0">
      <alignment vertical="center"/>
    </xf>
    <xf numFmtId="0" fontId="5" fillId="0" borderId="57" applyAlignment="1" pivotButton="0" quotePrefix="0" xfId="0">
      <alignment vertical="center"/>
    </xf>
    <xf numFmtId="0" fontId="5" fillId="0" borderId="14" applyAlignment="1" pivotButton="0" quotePrefix="0" xfId="0">
      <alignment vertical="center"/>
    </xf>
    <xf numFmtId="0" fontId="38" fillId="0" borderId="0" applyAlignment="1" pivotButton="0" quotePrefix="0" xfId="1">
      <alignment vertical="center"/>
    </xf>
    <xf numFmtId="0" fontId="24" fillId="0" borderId="0" applyAlignment="1" pivotButton="0" quotePrefix="0" xfId="0">
      <alignment horizontal="left" vertical="center" wrapText="1"/>
    </xf>
    <xf numFmtId="0" fontId="6" fillId="0" borderId="59" applyAlignment="1" applyProtection="1" pivotButton="0" quotePrefix="0" xfId="0">
      <alignment horizontal="distributed" vertical="center" wrapText="1"/>
      <protection locked="1" hidden="1"/>
    </xf>
    <xf numFmtId="0" fontId="6" fillId="0" borderId="5" applyAlignment="1" applyProtection="1" pivotButton="0" quotePrefix="0" xfId="0">
      <alignment horizontal="distributed" vertical="center" wrapText="1"/>
      <protection locked="1" hidden="1"/>
    </xf>
    <xf numFmtId="0" fontId="6" fillId="0" borderId="5" applyAlignment="1" applyProtection="1" pivotButton="0" quotePrefix="0" xfId="0">
      <alignment vertical="center" wrapText="1"/>
      <protection locked="1" hidden="1"/>
    </xf>
    <xf numFmtId="0" fontId="6" fillId="0" borderId="61" applyAlignment="1" applyProtection="1" pivotButton="0" quotePrefix="0" xfId="0">
      <alignment horizontal="distributed" vertical="center" wrapText="1"/>
      <protection locked="1" hidden="1"/>
    </xf>
    <xf numFmtId="0" fontId="6" fillId="0" borderId="62" applyAlignment="1" applyProtection="1" pivotButton="0" quotePrefix="0" xfId="0">
      <alignment horizontal="justify" vertical="center" wrapText="1"/>
      <protection locked="1" hidden="1"/>
    </xf>
    <xf numFmtId="0" fontId="6" fillId="0" borderId="9" applyAlignment="1" applyProtection="1" pivotButton="0" quotePrefix="0" xfId="0">
      <alignment horizontal="center" vertical="center" wrapText="1"/>
      <protection locked="1" hidden="1"/>
    </xf>
    <xf numFmtId="0" fontId="5" fillId="0" borderId="63" applyAlignment="1" applyProtection="1" pivotButton="0" quotePrefix="0" xfId="0">
      <alignment horizontal="justify" vertical="center" wrapText="1"/>
      <protection locked="1" hidden="1"/>
    </xf>
    <xf numFmtId="0" fontId="6" fillId="0" borderId="5" applyAlignment="1" applyProtection="1" pivotButton="0" quotePrefix="0" xfId="0">
      <alignment horizontal="justify" vertical="center" wrapText="1"/>
      <protection locked="1" hidden="1"/>
    </xf>
    <xf numFmtId="0" fontId="5" fillId="0" borderId="5" applyAlignment="1" applyProtection="1" pivotButton="0" quotePrefix="0" xfId="0">
      <alignment vertical="center" wrapText="1"/>
      <protection locked="1" hidden="1"/>
    </xf>
    <xf numFmtId="0" fontId="6" fillId="0" borderId="64" applyAlignment="1" applyProtection="1" pivotButton="0" quotePrefix="0" xfId="0">
      <alignment horizontal="justify" vertical="center" wrapText="1"/>
      <protection locked="1" hidden="1"/>
    </xf>
    <xf numFmtId="0" fontId="27" fillId="0" borderId="0" applyAlignment="1" pivotButton="0" quotePrefix="0" xfId="0">
      <alignment vertical="center" wrapText="1"/>
    </xf>
    <xf numFmtId="0" fontId="6" fillId="0" borderId="68" applyAlignment="1" applyProtection="1" pivotButton="0" quotePrefix="0" xfId="0">
      <alignment horizontal="distributed" vertical="center" wrapText="1"/>
      <protection locked="1" hidden="1"/>
    </xf>
    <xf numFmtId="0" fontId="39" fillId="0" borderId="0" applyAlignment="1" pivotButton="0" quotePrefix="0" xfId="0">
      <alignment vertical="center"/>
    </xf>
    <xf numFmtId="0" fontId="8" fillId="0" borderId="0" applyAlignment="1" pivotButton="0" quotePrefix="0" xfId="0">
      <alignment vertical="center"/>
    </xf>
    <xf numFmtId="0" fontId="40" fillId="0" borderId="0" applyAlignment="1" pivotButton="0" quotePrefix="0" xfId="0">
      <alignment vertical="center"/>
    </xf>
    <xf numFmtId="0" fontId="10" fillId="0" borderId="0" applyAlignment="1" pivotButton="0" quotePrefix="0" xfId="0">
      <alignment horizontal="left" vertical="center" wrapText="1"/>
    </xf>
    <xf numFmtId="0" fontId="40" fillId="0" borderId="0" applyAlignment="1" pivotButton="0" quotePrefix="0" xfId="0">
      <alignment vertical="distributed"/>
    </xf>
    <xf numFmtId="0" fontId="32" fillId="0" borderId="0" applyAlignment="1" pivotButton="0" quotePrefix="0" xfId="0">
      <alignment vertical="center"/>
    </xf>
    <xf numFmtId="0" fontId="41" fillId="0" borderId="0" applyAlignment="1" pivotButton="0" quotePrefix="0" xfId="0">
      <alignment vertical="center"/>
    </xf>
    <xf numFmtId="0" fontId="42" fillId="0" borderId="0" applyAlignment="1" pivotButton="0" quotePrefix="0" xfId="0">
      <alignment vertical="center" wrapText="1"/>
    </xf>
    <xf numFmtId="0" fontId="5" fillId="0" borderId="31"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72" applyAlignment="1" pivotButton="0" quotePrefix="0" xfId="0">
      <alignment horizontal="center" vertical="center" wrapText="1"/>
    </xf>
    <xf numFmtId="0" fontId="5" fillId="0" borderId="48" applyAlignment="1" pivotButton="0" quotePrefix="0" xfId="0">
      <alignment horizontal="center" vertical="center" wrapText="1"/>
    </xf>
    <xf numFmtId="0" fontId="5" fillId="0" borderId="88" applyAlignment="1" pivotButton="0" quotePrefix="0" xfId="0">
      <alignment horizontal="center" vertical="center" wrapText="1"/>
    </xf>
    <xf numFmtId="0" fontId="5" fillId="0" borderId="69" applyAlignment="1" pivotButton="0" quotePrefix="0" xfId="0">
      <alignment horizontal="center" vertical="center" wrapText="1"/>
    </xf>
    <xf numFmtId="0" fontId="24" fillId="0" borderId="37" applyAlignment="1" pivotButton="0" quotePrefix="0" xfId="0">
      <alignment vertical="top" wrapText="1"/>
    </xf>
    <xf numFmtId="0" fontId="24" fillId="0" borderId="0" applyAlignment="1" pivotButton="0" quotePrefix="0" xfId="0">
      <alignment vertical="top" wrapText="1"/>
    </xf>
    <xf numFmtId="0" fontId="24" fillId="0" borderId="92" applyAlignment="1" pivotButton="0" quotePrefix="0" xfId="0">
      <alignment vertical="top" wrapText="1"/>
    </xf>
    <xf numFmtId="0" fontId="24" fillId="0" borderId="19" applyAlignment="1" pivotButton="0" quotePrefix="0" xfId="0">
      <alignment vertical="top" wrapText="1"/>
    </xf>
    <xf numFmtId="0" fontId="24" fillId="0" borderId="37" applyAlignment="1" pivotButton="0" quotePrefix="0" xfId="0">
      <alignment horizontal="left" vertical="center" wrapText="1"/>
    </xf>
    <xf numFmtId="0" fontId="24" fillId="0" borderId="0" applyAlignment="1" pivotButton="0" quotePrefix="0" xfId="0">
      <alignment horizontal="center" vertical="center" wrapText="1"/>
    </xf>
    <xf numFmtId="0" fontId="0" fillId="0" borderId="19" applyAlignment="1" pivotButton="0" quotePrefix="0" xfId="0">
      <alignment vertical="center"/>
    </xf>
    <xf numFmtId="0" fontId="24" fillId="0" borderId="19" applyAlignment="1" pivotButton="0" quotePrefix="0" xfId="0">
      <alignment vertical="center" wrapText="1"/>
    </xf>
    <xf numFmtId="0" fontId="24" fillId="0" borderId="19" applyAlignment="1" pivotButton="0" quotePrefix="0" xfId="0">
      <alignment horizontal="center" vertical="center" wrapText="1"/>
    </xf>
    <xf numFmtId="49" fontId="24" fillId="0" borderId="19" applyAlignment="1" pivotButton="0" quotePrefix="0" xfId="0">
      <alignment horizontal="center" vertical="center" wrapText="1"/>
    </xf>
    <xf numFmtId="0" fontId="24" fillId="0" borderId="38" applyAlignment="1" pivotButton="0" quotePrefix="0" xfId="0">
      <alignment horizontal="center" vertical="center" wrapText="1"/>
    </xf>
    <xf numFmtId="0" fontId="24" fillId="0" borderId="94" applyAlignment="1" pivotButton="0" quotePrefix="0" xfId="0">
      <alignment horizontal="center" vertical="center" wrapText="1"/>
    </xf>
    <xf numFmtId="0" fontId="24" fillId="0" borderId="5" applyAlignment="1" pivotButton="0" quotePrefix="0" xfId="0">
      <alignment horizontal="distributed" vertical="center" wrapText="1"/>
    </xf>
    <xf numFmtId="0" fontId="24" fillId="0" borderId="0" applyAlignment="1" pivotButton="0" quotePrefix="0" xfId="0">
      <alignment vertical="center" wrapText="1"/>
    </xf>
    <xf numFmtId="0" fontId="24" fillId="0" borderId="36" applyAlignment="1" pivotButton="0" quotePrefix="0" xfId="0">
      <alignment horizontal="center" vertical="center" wrapText="1"/>
    </xf>
    <xf numFmtId="49" fontId="0" fillId="0" borderId="0" applyAlignment="1" pivotButton="0" quotePrefix="0" xfId="0">
      <alignment horizontal="right" vertical="center"/>
    </xf>
    <xf numFmtId="0" fontId="39" fillId="0" borderId="0" applyAlignment="1" pivotButton="0" quotePrefix="0" xfId="0">
      <alignment horizontal="left" vertical="center" indent="5"/>
    </xf>
    <xf numFmtId="0" fontId="5" fillId="0" borderId="0" applyAlignment="1" pivotButton="0" quotePrefix="0" xfId="0">
      <alignment horizontal="left" vertical="center" indent="5"/>
    </xf>
    <xf numFmtId="0" fontId="6" fillId="0" borderId="63" applyAlignment="1" pivotButton="0" quotePrefix="0" xfId="0">
      <alignment vertical="center" wrapText="1"/>
    </xf>
    <xf numFmtId="0" fontId="6" fillId="0" borderId="61" applyAlignment="1" pivotButton="0" quotePrefix="0" xfId="0">
      <alignment horizontal="center" vertical="center" wrapText="1"/>
    </xf>
    <xf numFmtId="49" fontId="6" fillId="0" borderId="5" applyAlignment="1" pivotButton="0" quotePrefix="0" xfId="0">
      <alignment vertical="center" wrapText="1"/>
    </xf>
    <xf numFmtId="49" fontId="6" fillId="0" borderId="5" applyAlignment="1" pivotButton="0" quotePrefix="0" xfId="0">
      <alignment horizontal="center" vertical="center" wrapText="1"/>
    </xf>
    <xf numFmtId="0" fontId="5" fillId="0" borderId="5" applyAlignment="1" pivotButton="0" quotePrefix="0" xfId="0">
      <alignment horizontal="justify" vertical="center" wrapText="1"/>
    </xf>
    <xf numFmtId="0" fontId="5" fillId="0" borderId="98" applyAlignment="1" pivotButton="0" quotePrefix="0" xfId="0">
      <alignment horizontal="center" vertical="center" wrapText="1"/>
    </xf>
    <xf numFmtId="0" fontId="5" fillId="0" borderId="99" applyAlignment="1" pivotButton="0" quotePrefix="0" xfId="0">
      <alignment horizontal="distributed" vertical="center" wrapText="1"/>
    </xf>
    <xf numFmtId="0" fontId="7" fillId="0" borderId="75" applyAlignment="1" pivotButton="0" quotePrefix="0" xfId="0">
      <alignment vertical="center" wrapText="1"/>
    </xf>
    <xf numFmtId="0" fontId="48" fillId="0" borderId="0" applyAlignment="1" pivotButton="0" quotePrefix="0" xfId="0">
      <alignment vertical="center"/>
    </xf>
    <xf numFmtId="0" fontId="0" fillId="0" borderId="100" applyAlignment="1" pivotButton="0" quotePrefix="0" xfId="0">
      <alignment vertical="center"/>
    </xf>
    <xf numFmtId="0" fontId="0" fillId="5" borderId="0" applyAlignment="1" pivotButton="0" quotePrefix="0" xfId="0">
      <alignment vertical="center"/>
    </xf>
    <xf numFmtId="49" fontId="5" fillId="0" borderId="0" applyAlignment="1" pivotButton="0" quotePrefix="0" xfId="0">
      <alignment vertical="center"/>
    </xf>
    <xf numFmtId="0" fontId="25" fillId="9" borderId="5" applyAlignment="1" pivotButton="0" quotePrefix="0" xfId="0">
      <alignment horizontal="center" vertical="center"/>
    </xf>
    <xf numFmtId="0" fontId="27" fillId="0" borderId="10" applyAlignment="1" pivotButton="0" quotePrefix="0" xfId="0">
      <alignment vertical="center" wrapText="1"/>
    </xf>
    <xf numFmtId="0" fontId="37" fillId="0" borderId="0" applyAlignment="1" pivotButton="0" quotePrefix="0" xfId="0">
      <alignment vertical="center" wrapText="1"/>
    </xf>
    <xf numFmtId="0" fontId="37" fillId="0" borderId="27" applyAlignment="1" pivotButton="0" quotePrefix="0" xfId="0">
      <alignment horizontal="justify" wrapText="1"/>
    </xf>
    <xf numFmtId="0" fontId="37" fillId="0" borderId="19" applyAlignment="1" pivotButton="0" quotePrefix="0" xfId="0">
      <alignment vertical="center" wrapText="1"/>
    </xf>
    <xf numFmtId="0" fontId="37" fillId="0" borderId="13" applyAlignment="1" pivotButton="0" quotePrefix="0" xfId="0">
      <alignment vertical="center" wrapText="1"/>
    </xf>
    <xf numFmtId="0" fontId="51" fillId="0" borderId="0" applyAlignment="1" pivotButton="0" quotePrefix="0" xfId="0">
      <alignment vertical="center"/>
    </xf>
    <xf numFmtId="0" fontId="13" fillId="0" borderId="0" applyAlignment="1" pivotButton="0" quotePrefix="0" xfId="0">
      <alignment vertical="center"/>
    </xf>
    <xf numFmtId="0" fontId="11" fillId="0" borderId="0" applyAlignment="1" pivotButton="0" quotePrefix="0" xfId="0">
      <alignment vertical="center"/>
    </xf>
    <xf numFmtId="0" fontId="53" fillId="0" borderId="0" applyAlignment="1" pivotButton="0" quotePrefix="0" xfId="0">
      <alignment vertical="center"/>
    </xf>
    <xf numFmtId="0" fontId="7" fillId="0" borderId="0" applyAlignment="1" pivotButton="0" quotePrefix="0" xfId="0">
      <alignment vertical="center"/>
    </xf>
    <xf numFmtId="0" fontId="6" fillId="6" borderId="5" applyAlignment="1" pivotButton="0" quotePrefix="0" xfId="0">
      <alignment horizontal="center" vertical="center"/>
    </xf>
    <xf numFmtId="0" fontId="5" fillId="0" borderId="101" applyAlignment="1" pivotButton="0" quotePrefix="0" xfId="0">
      <alignment horizontal="left" vertical="center" wrapText="1"/>
    </xf>
    <xf numFmtId="0" fontId="5" fillId="0" borderId="103" applyAlignment="1" pivotButton="0" quotePrefix="0" xfId="0">
      <alignment horizontal="left" vertical="center" wrapText="1"/>
    </xf>
    <xf numFmtId="0" fontId="5" fillId="0" borderId="105" applyAlignment="1" pivotButton="0" quotePrefix="0" xfId="0">
      <alignment horizontal="center" vertical="center" wrapText="1"/>
    </xf>
    <xf numFmtId="0" fontId="5" fillId="0" borderId="106" applyAlignment="1" pivotButton="0" quotePrefix="0" xfId="0">
      <alignment horizontal="left" vertical="center" wrapText="1"/>
    </xf>
    <xf numFmtId="0" fontId="6" fillId="0" borderId="5" applyAlignment="1" pivotButton="0" quotePrefix="0" xfId="0">
      <alignment horizontal="center" vertical="center"/>
    </xf>
    <xf numFmtId="0" fontId="5" fillId="0" borderId="9" applyAlignment="1" pivotButton="0" quotePrefix="0" xfId="0">
      <alignment vertical="center"/>
    </xf>
    <xf numFmtId="0" fontId="34" fillId="8" borderId="29" applyAlignment="1" pivotButton="0" quotePrefix="0" xfId="0">
      <alignment horizontal="center" vertical="center" wrapText="1"/>
    </xf>
    <xf numFmtId="0" fontId="34" fillId="8" borderId="25" applyAlignment="1" pivotButton="0" quotePrefix="0" xfId="0">
      <alignment horizontal="center" vertical="center" wrapText="1"/>
    </xf>
    <xf numFmtId="0" fontId="26" fillId="0" borderId="0" applyAlignment="1" pivotButton="0" quotePrefix="0" xfId="0">
      <alignment vertical="center"/>
    </xf>
    <xf numFmtId="0" fontId="45" fillId="0" borderId="5" applyAlignment="1" pivotButton="0" quotePrefix="0" xfId="0">
      <alignment horizontal="center" vertical="center"/>
    </xf>
    <xf numFmtId="0" fontId="5" fillId="0" borderId="0" applyAlignment="1" pivotButton="0" quotePrefix="0" xfId="0">
      <alignment horizontal="left"/>
    </xf>
    <xf numFmtId="0" fontId="37" fillId="0" borderId="5" applyAlignment="1" pivotButton="0" quotePrefix="0" xfId="0">
      <alignment horizontal="center" vertical="center"/>
    </xf>
    <xf numFmtId="0" fontId="5" fillId="0" borderId="0" applyAlignment="1" pivotButton="0" quotePrefix="0" xfId="0">
      <alignment horizontal="left" vertical="center" indent="2"/>
    </xf>
    <xf numFmtId="0" fontId="70" fillId="0" borderId="0" applyAlignment="1" pivotButton="0" quotePrefix="0" xfId="0">
      <alignment vertical="center"/>
    </xf>
    <xf numFmtId="0" fontId="24" fillId="0" borderId="0" applyAlignment="1" pivotButton="0" quotePrefix="0" xfId="0">
      <alignment horizontal="left" vertical="center" indent="1"/>
    </xf>
    <xf numFmtId="0" fontId="24" fillId="0" borderId="0" applyAlignment="1" pivotButton="0" quotePrefix="0" xfId="0">
      <alignment horizontal="left" vertical="center" indent="3"/>
    </xf>
    <xf numFmtId="0" fontId="5" fillId="5" borderId="5" applyAlignment="1" pivotButton="0" quotePrefix="0" xfId="0">
      <alignment horizontal="center" vertical="center"/>
    </xf>
    <xf numFmtId="0" fontId="6" fillId="0" borderId="9" applyAlignment="1" pivotButton="0" quotePrefix="0" xfId="0">
      <alignment horizontal="center" vertical="center" wrapText="1"/>
    </xf>
    <xf numFmtId="0" fontId="6" fillId="0" borderId="10" applyAlignment="1" pivotButton="0" quotePrefix="0" xfId="0">
      <alignment horizontal="center" vertical="center" wrapText="1"/>
    </xf>
    <xf numFmtId="0" fontId="37" fillId="0" borderId="5" applyAlignment="1" pivotButton="0" quotePrefix="0" xfId="0">
      <alignment horizontal="center" vertical="center" wrapText="1"/>
    </xf>
    <xf numFmtId="0" fontId="0" fillId="0" borderId="111" applyAlignment="1" applyProtection="1" pivotButton="0" quotePrefix="0" xfId="0">
      <alignment vertical="top" wrapText="1"/>
      <protection locked="1" hidden="1"/>
    </xf>
    <xf numFmtId="0" fontId="0" fillId="0" borderId="112" applyAlignment="1" applyProtection="1" pivotButton="0" quotePrefix="0" xfId="0">
      <alignment vertical="top" wrapText="1"/>
      <protection locked="1" hidden="1"/>
    </xf>
    <xf numFmtId="0" fontId="11" fillId="0" borderId="112" applyAlignment="1" applyProtection="1" pivotButton="0" quotePrefix="0" xfId="0">
      <alignment vertical="center" wrapText="1"/>
      <protection locked="1" hidden="1"/>
    </xf>
    <xf numFmtId="0" fontId="11" fillId="0" borderId="112" applyAlignment="1" applyProtection="1" pivotButton="0" quotePrefix="0" xfId="0">
      <alignment horizontal="justify" vertical="center" wrapText="1"/>
      <protection locked="1" hidden="1"/>
    </xf>
    <xf numFmtId="0" fontId="0" fillId="0" borderId="111" applyAlignment="1" applyProtection="1" pivotButton="0" quotePrefix="0" xfId="0">
      <alignment vertical="center" wrapText="1"/>
      <protection locked="1" hidden="1"/>
    </xf>
    <xf numFmtId="0" fontId="73" fillId="0" borderId="0" applyAlignment="1" pivotButton="0" quotePrefix="0" xfId="3">
      <alignment horizontal="left" vertical="top"/>
    </xf>
    <xf numFmtId="0" fontId="2" fillId="0" borderId="5" applyAlignment="1" pivotButton="0" quotePrefix="0" xfId="3">
      <alignment vertical="top" wrapText="1"/>
    </xf>
    <xf numFmtId="0" fontId="53" fillId="0" borderId="115" applyAlignment="1" pivotButton="0" quotePrefix="0" xfId="3">
      <alignment wrapText="1"/>
    </xf>
    <xf numFmtId="0" fontId="44" fillId="0" borderId="25" applyAlignment="1" pivotButton="0" quotePrefix="0" xfId="3">
      <alignment vertical="top" wrapText="1"/>
    </xf>
    <xf numFmtId="0" fontId="53" fillId="0" borderId="5" applyAlignment="1" pivotButton="0" quotePrefix="0" xfId="3">
      <alignment vertical="top" wrapText="1"/>
    </xf>
    <xf numFmtId="0" fontId="55" fillId="0" borderId="5" applyAlignment="1" pivotButton="0" quotePrefix="0" xfId="3">
      <alignment vertical="top" wrapText="1"/>
    </xf>
    <xf numFmtId="0" fontId="53" fillId="0" borderId="0" applyAlignment="1" pivotButton="0" quotePrefix="0" xfId="3">
      <alignment wrapText="1"/>
    </xf>
    <xf numFmtId="0" fontId="55" fillId="0" borderId="122" applyAlignment="1" pivotButton="0" quotePrefix="0" xfId="3">
      <alignment horizontal="left" vertical="top" wrapText="1"/>
    </xf>
    <xf numFmtId="0" fontId="55" fillId="0" borderId="122" applyAlignment="1" pivotButton="0" quotePrefix="0" xfId="3">
      <alignment horizontal="left" vertical="top" wrapText="1" indent="6"/>
    </xf>
    <xf numFmtId="0" fontId="2" fillId="0" borderId="122" applyAlignment="1" pivotButton="0" quotePrefix="0" xfId="3">
      <alignment horizontal="left" vertical="top" wrapText="1"/>
    </xf>
    <xf numFmtId="0" fontId="31" fillId="0" borderId="0" applyAlignment="1" pivotButton="0" quotePrefix="0" xfId="0">
      <alignment vertical="center" wrapText="1"/>
    </xf>
    <xf numFmtId="0" fontId="37" fillId="0" borderId="10" applyAlignment="1" pivotButton="0" quotePrefix="0" xfId="0">
      <alignment horizontal="center" vertical="center" wrapText="1"/>
    </xf>
    <xf numFmtId="0" fontId="5" fillId="0" borderId="9" applyAlignment="1" pivotButton="0" quotePrefix="0" xfId="0">
      <alignment horizontal="justify" vertical="center" wrapText="1"/>
    </xf>
    <xf numFmtId="0" fontId="5" fillId="0" borderId="10" applyAlignment="1" pivotButton="0" quotePrefix="0" xfId="0">
      <alignment horizontal="justify" vertical="center" wrapText="1"/>
    </xf>
    <xf numFmtId="0" fontId="24" fillId="0" borderId="9" applyAlignment="1" pivotButton="0" quotePrefix="0" xfId="0">
      <alignment horizontal="justify" vertical="center" wrapText="1"/>
    </xf>
    <xf numFmtId="0" fontId="37" fillId="0" borderId="5" applyAlignment="1" pivotButton="0" quotePrefix="0" xfId="0">
      <alignment horizontal="center" vertical="top" wrapText="1"/>
    </xf>
    <xf numFmtId="0" fontId="6" fillId="0" borderId="25" applyAlignment="1" pivotButton="0" quotePrefix="0" xfId="0">
      <alignment horizontal="center" vertical="center"/>
    </xf>
    <xf numFmtId="0" fontId="6" fillId="0" borderId="26" applyAlignment="1" pivotButton="0" quotePrefix="0" xfId="0">
      <alignment vertical="center"/>
    </xf>
    <xf numFmtId="0" fontId="74" fillId="0" borderId="0" applyAlignment="1" pivotButton="0" quotePrefix="0" xfId="0">
      <alignment vertical="center" wrapText="1"/>
    </xf>
    <xf numFmtId="0" fontId="5" fillId="0" borderId="127" applyAlignment="1" pivotButton="0" quotePrefix="0" xfId="0">
      <alignment vertical="center" wrapText="1"/>
    </xf>
    <xf numFmtId="0" fontId="74" fillId="0" borderId="130" applyAlignment="1" pivotButton="0" quotePrefix="0" xfId="0">
      <alignment vertical="center" wrapText="1"/>
    </xf>
    <xf numFmtId="0" fontId="5" fillId="0" borderId="84" applyAlignment="1" pivotButton="0" quotePrefix="0" xfId="0">
      <alignment vertical="center"/>
    </xf>
    <xf numFmtId="0" fontId="5" fillId="0" borderId="86" applyAlignment="1" pivotButton="0" quotePrefix="0" xfId="0">
      <alignment vertical="center"/>
    </xf>
    <xf numFmtId="0" fontId="6" fillId="0" borderId="113" applyAlignment="1" pivotButton="0" quotePrefix="0" xfId="0">
      <alignment horizontal="center" vertical="center" wrapText="1"/>
    </xf>
    <xf numFmtId="0" fontId="33" fillId="0" borderId="0" applyAlignment="1" pivotButton="0" quotePrefix="0" xfId="0">
      <alignment vertical="center"/>
    </xf>
    <xf numFmtId="0" fontId="55" fillId="0" borderId="9" applyAlignment="1" pivotButton="0" quotePrefix="0" xfId="0">
      <alignment vertical="center"/>
    </xf>
    <xf numFmtId="0" fontId="55" fillId="0" borderId="18" applyAlignment="1" pivotButton="0" quotePrefix="0" xfId="0">
      <alignment vertical="center"/>
    </xf>
    <xf numFmtId="0" fontId="55" fillId="0" borderId="19" applyAlignment="1" pivotButton="0" quotePrefix="0" xfId="0">
      <alignment vertical="center"/>
    </xf>
    <xf numFmtId="0" fontId="21" fillId="0" borderId="0" applyAlignment="1" pivotButton="0" quotePrefix="0" xfId="0">
      <alignment vertical="center"/>
    </xf>
    <xf numFmtId="0" fontId="61" fillId="0" borderId="0" applyAlignment="1" pivotButton="0" quotePrefix="0" xfId="0">
      <alignment vertical="center"/>
    </xf>
    <xf numFmtId="0" fontId="83" fillId="0" borderId="48" applyAlignment="1" applyProtection="1" pivotButton="0" quotePrefix="0" xfId="0">
      <alignment vertical="center" wrapText="1"/>
      <protection locked="1" hidden="1"/>
    </xf>
    <xf numFmtId="0" fontId="77" fillId="14" borderId="48" applyAlignment="1" applyProtection="1" pivotButton="0" quotePrefix="0" xfId="0">
      <alignment horizontal="center" vertical="center" wrapText="1"/>
      <protection locked="1" hidden="1"/>
    </xf>
    <xf numFmtId="0" fontId="0" fillId="14" borderId="47" applyAlignment="1" applyProtection="1" pivotButton="0" quotePrefix="0" xfId="0">
      <alignment vertical="center" wrapText="1"/>
      <protection locked="1" hidden="1"/>
    </xf>
    <xf numFmtId="0" fontId="0" fillId="14" borderId="50" applyAlignment="1" applyProtection="1" pivotButton="0" quotePrefix="0" xfId="0">
      <alignment vertical="center" wrapText="1"/>
      <protection locked="1" hidden="1"/>
    </xf>
    <xf numFmtId="0" fontId="84" fillId="0" borderId="47" applyAlignment="1" applyProtection="1" pivotButton="0" quotePrefix="0" xfId="0">
      <alignment horizontal="center" vertical="center" wrapText="1"/>
      <protection locked="1" hidden="1"/>
    </xf>
    <xf numFmtId="0" fontId="60" fillId="14" borderId="50" applyAlignment="1" applyProtection="1" pivotButton="0" quotePrefix="0" xfId="0">
      <alignment horizontal="center" vertical="center" wrapText="1"/>
      <protection locked="1" hidden="1"/>
    </xf>
    <xf numFmtId="0" fontId="60" fillId="14" borderId="47" applyAlignment="1" applyProtection="1" pivotButton="0" quotePrefix="0" xfId="0">
      <alignment horizontal="center" vertical="center" wrapText="1"/>
      <protection locked="1" hidden="1"/>
    </xf>
    <xf numFmtId="0" fontId="6" fillId="0" borderId="139" applyAlignment="1" pivotButton="0" quotePrefix="0" xfId="0">
      <alignment horizontal="center" vertical="center" wrapText="1"/>
    </xf>
    <xf numFmtId="49" fontId="6" fillId="0" borderId="144" applyAlignment="1" pivotButton="0" quotePrefix="0" xfId="0">
      <alignment horizontal="justify" vertical="center" wrapText="1"/>
    </xf>
    <xf numFmtId="0" fontId="6" fillId="0" borderId="144" applyAlignment="1" pivotButton="0" quotePrefix="0" xfId="0">
      <alignment horizontal="justify" vertical="center" wrapText="1"/>
    </xf>
    <xf numFmtId="0" fontId="39" fillId="0" borderId="0" applyAlignment="1" pivotButton="0" quotePrefix="0" xfId="0">
      <alignment horizontal="justify" vertical="center"/>
    </xf>
    <xf numFmtId="0" fontId="87" fillId="0" borderId="0" applyAlignment="1" pivotButton="0" quotePrefix="0" xfId="2">
      <alignment vertical="center"/>
    </xf>
    <xf numFmtId="0" fontId="88" fillId="0" borderId="0" applyAlignment="1" pivotButton="0" quotePrefix="0" xfId="0">
      <alignment horizontal="right" vertical="center"/>
    </xf>
    <xf numFmtId="0" fontId="30" fillId="0" borderId="149" applyAlignment="1" pivotButton="0" quotePrefix="0" xfId="0">
      <alignment horizontal="center" vertical="center" wrapText="1"/>
    </xf>
    <xf numFmtId="0" fontId="30" fillId="0" borderId="132" applyAlignment="1" pivotButton="0" quotePrefix="0" xfId="0">
      <alignment horizontal="center" vertical="center" wrapText="1"/>
    </xf>
    <xf numFmtId="0" fontId="90" fillId="0" borderId="132" applyAlignment="1" pivotButton="0" quotePrefix="0" xfId="0">
      <alignment horizontal="center" vertical="center" wrapText="1"/>
    </xf>
    <xf numFmtId="0" fontId="30" fillId="0" borderId="131" applyAlignment="1" pivotButton="0" quotePrefix="0" xfId="0">
      <alignment horizontal="right" vertical="center" wrapText="1"/>
    </xf>
    <xf numFmtId="0" fontId="26" fillId="0" borderId="132" applyAlignment="1" pivotButton="0" quotePrefix="0" xfId="0">
      <alignment horizontal="center" vertical="center" wrapText="1"/>
    </xf>
    <xf numFmtId="0" fontId="5" fillId="2" borderId="0" applyAlignment="1" pivotButton="0" quotePrefix="0" xfId="0">
      <alignment vertical="center"/>
    </xf>
    <xf numFmtId="0" fontId="30" fillId="2" borderId="5" applyAlignment="1" pivotButton="0" quotePrefix="0" xfId="0">
      <alignment horizontal="center" vertical="center"/>
    </xf>
    <xf numFmtId="0" fontId="5" fillId="5" borderId="27" applyAlignment="1" pivotButton="0" quotePrefix="0" xfId="0">
      <alignment horizontal="center" vertical="center" wrapText="1"/>
    </xf>
    <xf numFmtId="0" fontId="30" fillId="0" borderId="0" applyAlignment="1" pivotButton="0" quotePrefix="0" xfId="0">
      <alignment horizontal="distributed" vertical="center"/>
    </xf>
    <xf numFmtId="0" fontId="5" fillId="0" borderId="150" applyAlignment="1" pivotButton="0" quotePrefix="0" xfId="0">
      <alignment horizontal="center" vertical="center"/>
    </xf>
    <xf numFmtId="0" fontId="5" fillId="0" borderId="0" applyAlignment="1" pivotButton="0" quotePrefix="0" xfId="0">
      <alignment vertical="top"/>
    </xf>
    <xf numFmtId="0" fontId="26" fillId="0" borderId="0" applyAlignment="1" pivotButton="0" quotePrefix="0" xfId="0">
      <alignment horizontal="left" vertical="center"/>
    </xf>
    <xf numFmtId="0" fontId="5" fillId="17" borderId="0" applyAlignment="1" pivotButton="0" quotePrefix="0" xfId="0">
      <alignment vertical="center"/>
    </xf>
    <xf numFmtId="0" fontId="26" fillId="17" borderId="0" applyAlignment="1" pivotButton="0" quotePrefix="0" xfId="0">
      <alignment vertical="center"/>
    </xf>
    <xf numFmtId="0" fontId="50" fillId="0" borderId="0" applyAlignment="1" pivotButton="0" quotePrefix="0" xfId="0">
      <alignment vertical="center"/>
    </xf>
    <xf numFmtId="0" fontId="5" fillId="3" borderId="0" applyAlignment="1" pivotButton="0" quotePrefix="0" xfId="0">
      <alignment vertical="center"/>
    </xf>
    <xf numFmtId="0" fontId="5" fillId="3" borderId="0" applyAlignment="1" pivotButton="0" quotePrefix="0" xfId="0">
      <alignment vertical="top" wrapText="1"/>
    </xf>
    <xf numFmtId="0" fontId="5" fillId="9" borderId="0" applyAlignment="1" pivotButton="0" quotePrefix="0" xfId="0">
      <alignment vertical="center" wrapText="1"/>
    </xf>
    <xf numFmtId="0" fontId="5" fillId="3" borderId="0" applyAlignment="1" pivotButton="0" quotePrefix="0" xfId="0">
      <alignment vertical="center" wrapText="1"/>
    </xf>
    <xf numFmtId="0" fontId="43" fillId="0" borderId="0" applyAlignment="1" pivotButton="0" quotePrefix="0" xfId="0">
      <alignment vertical="center" wrapText="1"/>
    </xf>
    <xf numFmtId="0" fontId="5" fillId="9" borderId="0" applyAlignment="1" pivotButton="0" quotePrefix="0" xfId="0">
      <alignment vertical="top" wrapText="1"/>
    </xf>
    <xf numFmtId="0" fontId="5" fillId="0" borderId="102" applyAlignment="1" pivotButton="0" quotePrefix="0" xfId="0">
      <alignment horizontal="center" vertical="center" wrapText="1"/>
    </xf>
    <xf numFmtId="0" fontId="5" fillId="0" borderId="104" applyAlignment="1" pivotButton="0" quotePrefix="0" xfId="0">
      <alignment horizontal="center" vertical="center" wrapText="1"/>
    </xf>
    <xf numFmtId="0" fontId="5" fillId="5" borderId="0" applyAlignment="1" pivotButton="0" quotePrefix="0" xfId="0">
      <alignment vertical="top" wrapText="1"/>
    </xf>
    <xf numFmtId="0" fontId="5" fillId="18" borderId="0" applyAlignment="1" pivotButton="0" quotePrefix="0" xfId="0">
      <alignment vertical="center"/>
    </xf>
    <xf numFmtId="0" fontId="5" fillId="18" borderId="0" applyAlignment="1" pivotButton="0" quotePrefix="0" xfId="0">
      <alignment horizontal="left" vertical="center"/>
    </xf>
    <xf numFmtId="0" fontId="5" fillId="18" borderId="0" applyAlignment="1" pivotButton="0" quotePrefix="0" xfId="0">
      <alignment vertical="center" wrapText="1"/>
    </xf>
    <xf numFmtId="0" fontId="6" fillId="19" borderId="0" applyAlignment="1" pivotButton="0" quotePrefix="0" xfId="0">
      <alignment vertical="center"/>
    </xf>
    <xf numFmtId="0" fontId="5" fillId="19" borderId="0" applyAlignment="1" pivotButton="0" quotePrefix="0" xfId="0">
      <alignment vertical="center"/>
    </xf>
    <xf numFmtId="0" fontId="5" fillId="19" borderId="0" applyAlignment="1" pivotButton="0" quotePrefix="0" xfId="0">
      <alignment vertical="center" wrapText="1"/>
    </xf>
    <xf numFmtId="0" fontId="43" fillId="19" borderId="0" applyAlignment="1" pivotButton="0" quotePrefix="0" xfId="0">
      <alignment vertical="center"/>
    </xf>
    <xf numFmtId="0" fontId="6" fillId="7" borderId="0" applyAlignment="1" pivotButton="0" quotePrefix="0" xfId="0">
      <alignment vertical="center"/>
    </xf>
    <xf numFmtId="0" fontId="5" fillId="7" borderId="0" applyAlignment="1" pivotButton="0" quotePrefix="0" xfId="0">
      <alignment horizontal="left" vertical="center" wrapText="1"/>
    </xf>
    <xf numFmtId="0" fontId="5" fillId="7" borderId="0" applyAlignment="1" pivotButton="0" quotePrefix="0" xfId="0">
      <alignment vertical="center"/>
    </xf>
    <xf numFmtId="0" fontId="5" fillId="7" borderId="0" applyAlignment="1" pivotButton="0" quotePrefix="0" xfId="0">
      <alignment vertical="center" wrapText="1"/>
    </xf>
    <xf numFmtId="0" fontId="53" fillId="0" borderId="20" applyAlignment="1" pivotButton="0" quotePrefix="0" xfId="0">
      <alignment vertical="center"/>
    </xf>
    <xf numFmtId="0" fontId="69" fillId="0" borderId="0" applyAlignment="1" pivotButton="0" quotePrefix="0" xfId="0">
      <alignment vertical="center"/>
    </xf>
    <xf numFmtId="0" fontId="5" fillId="0" borderId="26" applyAlignment="1" pivotButton="0" quotePrefix="0" xfId="0">
      <alignment vertical="center"/>
    </xf>
    <xf numFmtId="0" fontId="5" fillId="0" borderId="18" applyAlignment="1" pivotButton="0" quotePrefix="0" xfId="0">
      <alignment vertical="center"/>
    </xf>
    <xf numFmtId="0" fontId="6" fillId="0" borderId="27" applyAlignment="1" pivotButton="0" quotePrefix="0" xfId="0">
      <alignment vertical="center"/>
    </xf>
    <xf numFmtId="0" fontId="69" fillId="0" borderId="16" applyAlignment="1" pivotButton="0" quotePrefix="0" xfId="0">
      <alignment vertical="center"/>
    </xf>
    <xf numFmtId="0" fontId="43" fillId="0" borderId="20" applyAlignment="1" pivotButton="0" quotePrefix="0" xfId="0">
      <alignment vertical="center"/>
    </xf>
    <xf numFmtId="0" fontId="43" fillId="0" borderId="13" applyAlignment="1" pivotButton="0" quotePrefix="0" xfId="0">
      <alignment vertical="center"/>
    </xf>
    <xf numFmtId="0" fontId="5" fillId="0" borderId="151" applyAlignment="1" pivotButton="0" quotePrefix="0" xfId="0">
      <alignment vertical="center"/>
    </xf>
    <xf numFmtId="0" fontId="5" fillId="0" borderId="152" applyAlignment="1" pivotButton="0" quotePrefix="0" xfId="0">
      <alignment vertical="center"/>
    </xf>
    <xf numFmtId="0" fontId="53" fillId="0" borderId="153" applyAlignment="1" pivotButton="0" quotePrefix="0" xfId="0">
      <alignment vertical="center"/>
    </xf>
    <xf numFmtId="0" fontId="5" fillId="0" borderId="154" applyAlignment="1" pivotButton="0" quotePrefix="0" xfId="0">
      <alignment vertical="center"/>
    </xf>
    <xf numFmtId="0" fontId="53" fillId="0" borderId="155" applyAlignment="1" pivotButton="0" quotePrefix="0" xfId="0">
      <alignment vertical="center"/>
    </xf>
    <xf numFmtId="0" fontId="5" fillId="0" borderId="156" applyAlignment="1" pivotButton="0" quotePrefix="0" xfId="0">
      <alignment vertical="center"/>
    </xf>
    <xf numFmtId="0" fontId="5" fillId="0" borderId="157" applyAlignment="1" pivotButton="0" quotePrefix="0" xfId="0">
      <alignment vertical="center"/>
    </xf>
    <xf numFmtId="0" fontId="5" fillId="0" borderId="159" applyAlignment="1" pivotButton="0" quotePrefix="0" xfId="0">
      <alignment vertical="center"/>
    </xf>
    <xf numFmtId="0" fontId="5" fillId="0" borderId="160" applyAlignment="1" pivotButton="0" quotePrefix="0" xfId="0">
      <alignment vertical="center"/>
    </xf>
    <xf numFmtId="0" fontId="5" fillId="0" borderId="161" applyAlignment="1" pivotButton="0" quotePrefix="0" xfId="0">
      <alignment vertical="center"/>
    </xf>
    <xf numFmtId="0" fontId="5" fillId="0" borderId="162" applyAlignment="1" pivotButton="0" quotePrefix="0" xfId="0">
      <alignment vertical="center"/>
    </xf>
    <xf numFmtId="0" fontId="53" fillId="0" borderId="89" applyAlignment="1" pivotButton="0" quotePrefix="0" xfId="0">
      <alignment vertical="center"/>
    </xf>
    <xf numFmtId="0" fontId="5" fillId="0" borderId="58" applyAlignment="1" pivotButton="0" quotePrefix="0" xfId="0">
      <alignment vertical="center"/>
    </xf>
    <xf numFmtId="0" fontId="6" fillId="0" borderId="89" applyAlignment="1" pivotButton="0" quotePrefix="0" xfId="0">
      <alignment vertical="center"/>
    </xf>
    <xf numFmtId="0" fontId="5" fillId="0" borderId="163" applyAlignment="1" pivotButton="0" quotePrefix="0" xfId="0">
      <alignment vertical="center"/>
    </xf>
    <xf numFmtId="0" fontId="6" fillId="0" borderId="164" applyAlignment="1" pivotButton="0" quotePrefix="0" xfId="0">
      <alignment vertical="center"/>
    </xf>
    <xf numFmtId="0" fontId="5" fillId="0" borderId="164" applyAlignment="1" pivotButton="0" quotePrefix="0" xfId="0">
      <alignment vertical="center"/>
    </xf>
    <xf numFmtId="0" fontId="5" fillId="0" borderId="165" applyAlignment="1" pivotButton="0" quotePrefix="0" xfId="0">
      <alignment vertical="center"/>
    </xf>
    <xf numFmtId="0" fontId="5" fillId="0" borderId="166" applyAlignment="1" pivotButton="0" quotePrefix="0" xfId="0">
      <alignment vertical="center"/>
    </xf>
    <xf numFmtId="0" fontId="5" fillId="0" borderId="167" applyAlignment="1" pivotButton="0" quotePrefix="0" xfId="0">
      <alignment vertical="center"/>
    </xf>
    <xf numFmtId="0" fontId="5" fillId="0" borderId="46" applyAlignment="1" pivotButton="0" quotePrefix="0" xfId="0">
      <alignment vertical="center"/>
    </xf>
    <xf numFmtId="0" fontId="5" fillId="0" borderId="168" applyAlignment="1" pivotButton="0" quotePrefix="0" xfId="0">
      <alignment vertical="center"/>
    </xf>
    <xf numFmtId="0" fontId="5" fillId="0" borderId="158" applyAlignment="1" pivotButton="0" quotePrefix="0" xfId="0">
      <alignment vertical="center"/>
    </xf>
    <xf numFmtId="0" fontId="6" fillId="0" borderId="16" applyAlignment="1" pivotButton="0" quotePrefix="0" xfId="0">
      <alignment vertical="center"/>
    </xf>
    <xf numFmtId="0" fontId="5" fillId="0" borderId="169" applyAlignment="1" pivotButton="0" quotePrefix="0" xfId="0">
      <alignment vertical="center"/>
    </xf>
    <xf numFmtId="0" fontId="6" fillId="0" borderId="170" applyAlignment="1" pivotButton="0" quotePrefix="0" xfId="0">
      <alignment vertical="center"/>
    </xf>
    <xf numFmtId="0" fontId="5" fillId="0" borderId="171" applyAlignment="1" pivotButton="0" quotePrefix="0" xfId="0">
      <alignment vertical="center"/>
    </xf>
    <xf numFmtId="0" fontId="6" fillId="0" borderId="171" applyAlignment="1" pivotButton="0" quotePrefix="0" xfId="0">
      <alignment vertical="center" wrapText="1"/>
    </xf>
    <xf numFmtId="0" fontId="95" fillId="0" borderId="27" applyAlignment="1" pivotButton="0" quotePrefix="0" xfId="0">
      <alignment vertical="center"/>
    </xf>
    <xf numFmtId="0" fontId="95" fillId="0" borderId="0" applyAlignment="1" pivotButton="0" quotePrefix="0" xfId="0">
      <alignment vertical="center"/>
    </xf>
    <xf numFmtId="0" fontId="94" fillId="0" borderId="27" applyAlignment="1" pivotButton="0" quotePrefix="0" xfId="0">
      <alignment vertical="center"/>
    </xf>
    <xf numFmtId="0" fontId="94" fillId="0" borderId="0" applyAlignment="1" pivotButton="0" quotePrefix="0" xfId="0">
      <alignment vertical="center"/>
    </xf>
    <xf numFmtId="0" fontId="6" fillId="0" borderId="26" applyAlignment="1" pivotButton="0" quotePrefix="0" xfId="0">
      <alignment vertical="top"/>
    </xf>
    <xf numFmtId="0" fontId="5" fillId="0" borderId="19" applyAlignment="1" pivotButton="0" quotePrefix="0" xfId="0">
      <alignment vertical="top"/>
    </xf>
    <xf numFmtId="0" fontId="5" fillId="0" borderId="18" applyAlignment="1" pivotButton="0" quotePrefix="0" xfId="0">
      <alignment vertical="top"/>
    </xf>
    <xf numFmtId="0" fontId="5" fillId="0" borderId="16" applyAlignment="1" pivotButton="0" quotePrefix="0" xfId="0">
      <alignment vertical="top"/>
    </xf>
    <xf numFmtId="0" fontId="6" fillId="0" borderId="27" applyAlignment="1" pivotButton="0" quotePrefix="0" xfId="0">
      <alignment vertical="top"/>
    </xf>
    <xf numFmtId="0" fontId="6" fillId="0" borderId="0" applyAlignment="1" pivotButton="0" quotePrefix="0" xfId="0">
      <alignment vertical="top"/>
    </xf>
    <xf numFmtId="0" fontId="94" fillId="0" borderId="20" applyAlignment="1" pivotButton="0" quotePrefix="0" xfId="0">
      <alignment vertical="center"/>
    </xf>
    <xf numFmtId="0" fontId="5" fillId="0" borderId="177" applyAlignment="1" pivotButton="0" quotePrefix="0" xfId="0">
      <alignment vertical="center"/>
    </xf>
    <xf numFmtId="0" fontId="6" fillId="0" borderId="180" applyAlignment="1" pivotButton="0" quotePrefix="0" xfId="0">
      <alignment vertical="center"/>
    </xf>
    <xf numFmtId="0" fontId="5" fillId="0" borderId="181" applyAlignment="1" pivotButton="0" quotePrefix="0" xfId="0">
      <alignment vertical="center"/>
    </xf>
    <xf numFmtId="0" fontId="6" fillId="3" borderId="5" applyAlignment="1" pivotButton="0" quotePrefix="0" xfId="0">
      <alignment vertical="center"/>
    </xf>
    <xf numFmtId="0" fontId="84" fillId="0" borderId="14" applyAlignment="1" pivotButton="0" quotePrefix="0" xfId="0">
      <alignment vertical="center" wrapText="1"/>
    </xf>
    <xf numFmtId="0" fontId="96" fillId="0" borderId="5" applyAlignment="1" pivotButton="0" quotePrefix="0" xfId="0">
      <alignment vertical="center"/>
    </xf>
    <xf numFmtId="0" fontId="98" fillId="0" borderId="5" applyAlignment="1" pivotButton="0" quotePrefix="0" xfId="0">
      <alignment vertical="center" wrapText="1"/>
    </xf>
    <xf numFmtId="0" fontId="5" fillId="10" borderId="5" applyAlignment="1" pivotButton="0" quotePrefix="0" xfId="0">
      <alignment horizontal="left" vertical="center" wrapText="1"/>
    </xf>
    <xf numFmtId="0" fontId="5" fillId="10" borderId="5" applyAlignment="1" pivotButton="0" quotePrefix="0" xfId="0">
      <alignment vertical="center"/>
    </xf>
    <xf numFmtId="0" fontId="5" fillId="10" borderId="5" applyAlignment="1" pivotButton="0" quotePrefix="0" xfId="0">
      <alignment vertical="center" wrapText="1"/>
    </xf>
    <xf numFmtId="0" fontId="5" fillId="0" borderId="183" applyAlignment="1" pivotButton="0" quotePrefix="0" xfId="0">
      <alignment vertical="center"/>
    </xf>
    <xf numFmtId="0" fontId="5" fillId="0" borderId="184" applyAlignment="1" pivotButton="0" quotePrefix="0" xfId="0">
      <alignment vertical="center"/>
    </xf>
    <xf numFmtId="0" fontId="4" fillId="0" borderId="0" applyAlignment="1" pivotButton="0" quotePrefix="0" xfId="0">
      <alignment vertical="center"/>
    </xf>
    <xf numFmtId="0" fontId="34" fillId="0" borderId="0" applyAlignment="1" pivotButton="0" quotePrefix="0" xfId="0">
      <alignment vertical="center"/>
    </xf>
    <xf numFmtId="0" fontId="75" fillId="0" borderId="0" applyAlignment="1" pivotButton="0" quotePrefix="0" xfId="0">
      <alignment vertical="center"/>
    </xf>
    <xf numFmtId="0" fontId="30" fillId="0" borderId="0" applyAlignment="1" pivotButton="0" quotePrefix="0" xfId="0">
      <alignment vertical="center" wrapText="1"/>
    </xf>
    <xf numFmtId="0" fontId="30" fillId="0" borderId="0" applyAlignment="1" pivotButton="0" quotePrefix="0" xfId="0">
      <alignment horizontal="justify" vertical="center"/>
    </xf>
    <xf numFmtId="0" fontId="17" fillId="0" borderId="0" applyAlignment="1" applyProtection="1" pivotButton="0" quotePrefix="0" xfId="0">
      <alignment horizontal="center" vertical="center"/>
      <protection locked="1" hidden="1"/>
    </xf>
    <xf numFmtId="0" fontId="17" fillId="0" borderId="0" applyAlignment="1" applyProtection="1" pivotButton="0" quotePrefix="0" xfId="0">
      <alignment vertical="distributed"/>
      <protection locked="1" hidden="1"/>
    </xf>
    <xf numFmtId="0" fontId="34" fillId="8" borderId="0" applyAlignment="1" pivotButton="0" quotePrefix="0" xfId="0">
      <alignment horizontal="center" vertical="center" wrapText="1"/>
    </xf>
    <xf numFmtId="0" fontId="34" fillId="0" borderId="0" applyAlignment="1" pivotButton="0" quotePrefix="0" xfId="0">
      <alignment horizontal="center" vertical="center" wrapText="1"/>
    </xf>
    <xf numFmtId="0" fontId="6" fillId="3" borderId="0" applyAlignment="1" pivotButton="0" quotePrefix="0" xfId="0">
      <alignment vertical="center"/>
    </xf>
    <xf numFmtId="0" fontId="6" fillId="18" borderId="0" applyAlignment="1" pivotButton="0" quotePrefix="0" xfId="0">
      <alignment vertical="center"/>
    </xf>
    <xf numFmtId="0" fontId="6" fillId="0" borderId="11" applyAlignment="1" pivotButton="0" quotePrefix="0" xfId="0">
      <alignment horizontal="center" vertical="center"/>
    </xf>
    <xf numFmtId="49" fontId="6" fillId="0" borderId="11" applyAlignment="1" pivotButton="0" quotePrefix="0" xfId="0">
      <alignment horizontal="center" vertical="center" wrapText="1"/>
    </xf>
    <xf numFmtId="0" fontId="26" fillId="0" borderId="0" applyAlignment="1" pivotButton="0" quotePrefix="0" xfId="0">
      <alignment vertical="center" wrapText="1"/>
    </xf>
    <xf numFmtId="0" fontId="72" fillId="0" borderId="0" applyAlignment="1" pivotButton="0" quotePrefix="0" xfId="0">
      <alignment vertical="center" wrapText="1"/>
    </xf>
    <xf numFmtId="0" fontId="0" fillId="0" borderId="5" applyAlignment="1" pivotButton="0" quotePrefix="0" xfId="0">
      <alignment vertical="center" wrapText="1"/>
    </xf>
    <xf numFmtId="0" fontId="6" fillId="0" borderId="13" applyAlignment="1" pivotButton="0" quotePrefix="0" xfId="0">
      <alignment horizontal="center" vertical="center"/>
    </xf>
    <xf numFmtId="0" fontId="6" fillId="0" borderId="8" applyAlignment="1" pivotButton="0" quotePrefix="0" xfId="0">
      <alignment horizontal="center" vertical="center"/>
    </xf>
    <xf numFmtId="0" fontId="6" fillId="3" borderId="13" applyAlignment="1" pivotButton="0" quotePrefix="0" xfId="0">
      <alignment horizontal="center" vertical="center"/>
    </xf>
    <xf numFmtId="0" fontId="6" fillId="0" borderId="19" applyAlignment="1" pivotButton="0" quotePrefix="0" xfId="0">
      <alignment horizontal="center" vertical="center"/>
    </xf>
    <xf numFmtId="0" fontId="53" fillId="20" borderId="5" applyAlignment="1" pivotButton="0" quotePrefix="0" xfId="0">
      <alignment horizontal="center" vertical="center"/>
    </xf>
    <xf numFmtId="0" fontId="6" fillId="20" borderId="5" applyAlignment="1" pivotButton="0" quotePrefix="0" xfId="0">
      <alignment horizontal="center" vertical="center"/>
    </xf>
    <xf numFmtId="0" fontId="6" fillId="20" borderId="5" applyAlignment="1" pivotButton="0" quotePrefix="0" xfId="0">
      <alignment horizontal="center" vertical="center" wrapText="1"/>
    </xf>
    <xf numFmtId="0" fontId="53" fillId="20" borderId="8" applyAlignment="1" pivotButton="0" quotePrefix="0" xfId="0">
      <alignment horizontal="center" vertical="center"/>
    </xf>
    <xf numFmtId="0" fontId="6" fillId="20" borderId="8" applyAlignment="1" pivotButton="0" quotePrefix="0" xfId="0">
      <alignment horizontal="center" vertical="center"/>
    </xf>
    <xf numFmtId="0" fontId="5" fillId="0" borderId="62" applyAlignment="1" pivotButton="0" quotePrefix="0" xfId="0">
      <alignment vertical="center"/>
    </xf>
    <xf numFmtId="0" fontId="30" fillId="0" borderId="0" applyAlignment="1" pivotButton="0" quotePrefix="0" xfId="0">
      <alignment vertical="top"/>
    </xf>
    <xf numFmtId="0" fontId="6" fillId="0" borderId="11" applyAlignment="1" pivotButton="0" quotePrefix="0" xfId="0">
      <alignment horizontal="center" vertical="center" wrapText="1"/>
    </xf>
    <xf numFmtId="0" fontId="102" fillId="13" borderId="16" applyAlignment="1" pivotButton="0" quotePrefix="0" xfId="0">
      <alignment vertical="center" wrapText="1"/>
    </xf>
    <xf numFmtId="0" fontId="66" fillId="13" borderId="0" applyAlignment="1" pivotButton="0" quotePrefix="0" xfId="0">
      <alignment horizontal="right" vertical="center" wrapText="1"/>
    </xf>
    <xf numFmtId="0" fontId="58" fillId="13" borderId="0" applyAlignment="1" pivotButton="0" quotePrefix="0" xfId="0">
      <alignment vertical="center" wrapText="1"/>
    </xf>
    <xf numFmtId="0" fontId="5" fillId="0" borderId="58" applyAlignment="1" pivotButton="0" quotePrefix="0" xfId="0">
      <alignment horizontal="center" vertical="center"/>
    </xf>
    <xf numFmtId="0" fontId="5" fillId="0" borderId="82" applyAlignment="1" pivotButton="0" quotePrefix="0" xfId="0">
      <alignment vertical="center"/>
    </xf>
    <xf numFmtId="0" fontId="5" fillId="0" borderId="82" applyAlignment="1" pivotButton="0" quotePrefix="0" xfId="0">
      <alignment vertical="center" wrapText="1"/>
    </xf>
    <xf numFmtId="0" fontId="6" fillId="0" borderId="82" applyAlignment="1" pivotButton="0" quotePrefix="0" xfId="0">
      <alignment vertical="center" wrapText="1"/>
    </xf>
    <xf numFmtId="0" fontId="6" fillId="0" borderId="81" applyAlignment="1" pivotButton="0" quotePrefix="0" xfId="0">
      <alignment vertical="center" wrapText="1"/>
    </xf>
    <xf numFmtId="0" fontId="6" fillId="0" borderId="74" applyAlignment="1" pivotButton="0" quotePrefix="0" xfId="0">
      <alignment horizontal="left" vertical="center"/>
    </xf>
    <xf numFmtId="0" fontId="92" fillId="0" borderId="0" applyAlignment="1" pivotButton="0" quotePrefix="0" xfId="0">
      <alignment vertical="center"/>
    </xf>
    <xf numFmtId="0" fontId="34" fillId="3" borderId="29" applyAlignment="1" pivotButton="0" quotePrefix="0" xfId="0">
      <alignment horizontal="center" vertical="center" wrapText="1"/>
    </xf>
    <xf numFmtId="49" fontId="0" fillId="0" borderId="8" applyAlignment="1" pivotButton="0" quotePrefix="0" xfId="0">
      <alignment vertical="center" wrapText="1"/>
    </xf>
    <xf numFmtId="49" fontId="0" fillId="0" borderId="10" applyAlignment="1" pivotButton="0" quotePrefix="0" xfId="0">
      <alignment vertical="center" wrapText="1"/>
    </xf>
    <xf numFmtId="0" fontId="2" fillId="0" borderId="9" applyAlignment="1" pivotButton="0" quotePrefix="0" xfId="0">
      <alignment vertical="center"/>
    </xf>
    <xf numFmtId="0" fontId="2" fillId="0" borderId="8" applyAlignment="1" pivotButton="0" quotePrefix="0" xfId="0">
      <alignment vertical="center"/>
    </xf>
    <xf numFmtId="0" fontId="5" fillId="0" borderId="8" applyAlignment="1" pivotButton="0" quotePrefix="0" xfId="0">
      <alignment vertical="center"/>
    </xf>
    <xf numFmtId="0" fontId="5" fillId="0" borderId="20" applyAlignment="1" pivotButton="0" quotePrefix="0" xfId="0">
      <alignment vertical="center"/>
    </xf>
    <xf numFmtId="0" fontId="6" fillId="0" borderId="89" applyAlignment="1" pivotButton="0" quotePrefix="0" xfId="0">
      <alignment horizontal="left" vertical="center"/>
    </xf>
    <xf numFmtId="0" fontId="30" fillId="0" borderId="61" applyAlignment="1" pivotButton="0" quotePrefix="0" xfId="0">
      <alignment horizontal="center" vertical="center"/>
    </xf>
    <xf numFmtId="0" fontId="30" fillId="0" borderId="61" applyAlignment="1" pivotButton="0" quotePrefix="0" xfId="0">
      <alignment horizontal="center" vertical="distributed" textRotation="255" wrapText="1"/>
    </xf>
    <xf numFmtId="0" fontId="30" fillId="0" borderId="190" applyAlignment="1" pivotButton="0" quotePrefix="0" xfId="0">
      <alignment horizontal="distributed" vertical="center" wrapText="1"/>
    </xf>
    <xf numFmtId="0" fontId="5" fillId="0" borderId="60" applyAlignment="1" pivotButton="0" quotePrefix="0" xfId="0">
      <alignment vertical="center"/>
    </xf>
    <xf numFmtId="0" fontId="30" fillId="0" borderId="61" applyAlignment="1" pivotButton="0" quotePrefix="0" xfId="0">
      <alignment horizontal="distributed" vertical="center"/>
    </xf>
    <xf numFmtId="0" fontId="30" fillId="0" borderId="191" applyAlignment="1" pivotButton="0" quotePrefix="0" xfId="0">
      <alignment horizontal="distributed" vertical="center" wrapText="1"/>
    </xf>
    <xf numFmtId="0" fontId="37" fillId="0" borderId="191" applyAlignment="1" pivotButton="0" quotePrefix="0" xfId="0">
      <alignment vertical="center" wrapText="1"/>
    </xf>
    <xf numFmtId="0" fontId="5" fillId="0" borderId="65" applyAlignment="1" pivotButton="0" quotePrefix="0" xfId="0">
      <alignment vertical="center"/>
    </xf>
    <xf numFmtId="0" fontId="30" fillId="0" borderId="68" applyAlignment="1" pivotButton="0" quotePrefix="0" xfId="0">
      <alignment horizontal="distributed" vertical="center" wrapText="1"/>
    </xf>
    <xf numFmtId="0" fontId="5" fillId="0" borderId="110" applyAlignment="1" pivotButton="0" quotePrefix="0" xfId="0">
      <alignment vertical="center"/>
    </xf>
    <xf numFmtId="0" fontId="5" fillId="0" borderId="108" applyAlignment="1" pivotButton="0" quotePrefix="0" xfId="0">
      <alignment vertical="center"/>
    </xf>
    <xf numFmtId="0" fontId="5" fillId="0" borderId="192" applyAlignment="1" pivotButton="0" quotePrefix="0" xfId="0">
      <alignment vertical="center"/>
    </xf>
    <xf numFmtId="0" fontId="31" fillId="0" borderId="26" applyAlignment="1" pivotButton="0" quotePrefix="0" xfId="0">
      <alignment vertical="top"/>
    </xf>
    <xf numFmtId="0" fontId="31" fillId="0" borderId="19" applyAlignment="1" pivotButton="0" quotePrefix="0" xfId="0">
      <alignment vertical="top" wrapText="1"/>
    </xf>
    <xf numFmtId="0" fontId="31" fillId="0" borderId="0" applyAlignment="1" pivotButton="0" quotePrefix="0" xfId="0">
      <alignment vertical="top"/>
    </xf>
    <xf numFmtId="0" fontId="31" fillId="0" borderId="0" applyAlignment="1" pivotButton="0" quotePrefix="0" xfId="0">
      <alignment vertical="center"/>
    </xf>
    <xf numFmtId="0" fontId="68" fillId="0" borderId="0" applyAlignment="1" pivotButton="0" quotePrefix="0" xfId="0">
      <alignment vertical="center"/>
    </xf>
    <xf numFmtId="0" fontId="31" fillId="0" borderId="50" applyAlignment="1" pivotButton="0" quotePrefix="0" xfId="0">
      <alignment vertical="center"/>
    </xf>
    <xf numFmtId="0" fontId="31" fillId="0" borderId="27" applyAlignment="1" pivotButton="0" quotePrefix="0" xfId="0">
      <alignment vertical="top"/>
    </xf>
    <xf numFmtId="0" fontId="31" fillId="0" borderId="0" applyAlignment="1" pivotButton="0" quotePrefix="0" xfId="0">
      <alignment horizontal="left" vertical="top"/>
    </xf>
    <xf numFmtId="0" fontId="31" fillId="0" borderId="13" applyAlignment="1" pivotButton="0" quotePrefix="0" xfId="0">
      <alignment vertical="center"/>
    </xf>
    <xf numFmtId="0" fontId="27" fillId="0" borderId="67" applyAlignment="1" pivotButton="0" quotePrefix="0" xfId="0">
      <alignment vertical="center"/>
    </xf>
    <xf numFmtId="0" fontId="27" fillId="0" borderId="19" applyAlignment="1" pivotButton="0" quotePrefix="0" xfId="0">
      <alignment vertical="center"/>
    </xf>
    <xf numFmtId="0" fontId="27" fillId="0" borderId="28" applyAlignment="1" pivotButton="0" quotePrefix="0" xfId="0">
      <alignment vertical="center"/>
    </xf>
    <xf numFmtId="0" fontId="5" fillId="0" borderId="76" applyAlignment="1" pivotButton="0" quotePrefix="0" xfId="0">
      <alignment vertical="center"/>
    </xf>
    <xf numFmtId="0" fontId="6" fillId="20" borderId="5" applyAlignment="1" pivotButton="0" quotePrefix="0" xfId="0">
      <alignment vertical="center" wrapText="1"/>
    </xf>
    <xf numFmtId="0" fontId="6" fillId="0" borderId="11" applyAlignment="1" pivotButton="0" quotePrefix="0" xfId="0">
      <alignment vertical="center" wrapText="1"/>
    </xf>
    <xf numFmtId="0" fontId="5" fillId="21" borderId="19" applyAlignment="1" pivotButton="0" quotePrefix="0" xfId="0">
      <alignment horizontal="center" vertical="center"/>
    </xf>
    <xf numFmtId="0" fontId="30" fillId="10" borderId="5" applyAlignment="1" pivotButton="0" quotePrefix="0" xfId="0">
      <alignment horizontal="center" vertical="center"/>
    </xf>
    <xf numFmtId="0" fontId="58" fillId="0" borderId="0" applyAlignment="1" pivotButton="0" quotePrefix="0" xfId="0">
      <alignment vertical="center"/>
    </xf>
    <xf numFmtId="0" fontId="65" fillId="0" borderId="26" applyAlignment="1" pivotButton="0" quotePrefix="0" xfId="0">
      <alignment vertical="center" wrapText="1"/>
    </xf>
    <xf numFmtId="0" fontId="65" fillId="0" borderId="62" applyAlignment="1" pivotButton="0" quotePrefix="0" xfId="0">
      <alignment vertical="center" wrapText="1"/>
    </xf>
    <xf numFmtId="0" fontId="65" fillId="0" borderId="27" applyAlignment="1" pivotButton="0" quotePrefix="0" xfId="0">
      <alignment vertical="center" wrapText="1"/>
    </xf>
    <xf numFmtId="0" fontId="65" fillId="0" borderId="50" applyAlignment="1" pivotButton="0" quotePrefix="0" xfId="0">
      <alignment vertical="center" wrapText="1"/>
    </xf>
    <xf numFmtId="0" fontId="106" fillId="5" borderId="13" applyAlignment="1" pivotButton="0" quotePrefix="0" xfId="0">
      <alignment vertical="center"/>
    </xf>
    <xf numFmtId="0" fontId="6" fillId="3" borderId="0" applyAlignment="1" pivotButton="0" quotePrefix="0" xfId="0">
      <alignment vertical="center" wrapText="1"/>
    </xf>
    <xf numFmtId="0" fontId="6" fillId="18" borderId="0" applyAlignment="1" pivotButton="0" quotePrefix="0" xfId="0">
      <alignment vertical="center" wrapText="1"/>
    </xf>
    <xf numFmtId="0" fontId="5" fillId="18" borderId="0" applyAlignment="1" pivotButton="0" quotePrefix="0" xfId="0">
      <alignment horizontal="left" vertical="center" wrapText="1"/>
    </xf>
    <xf numFmtId="0" fontId="103" fillId="0" borderId="0" applyAlignment="1" pivotButton="0" quotePrefix="0" xfId="0">
      <alignment vertical="center" wrapText="1"/>
    </xf>
    <xf numFmtId="0" fontId="45" fillId="0" borderId="0" applyAlignment="1" pivotButton="0" quotePrefix="0" xfId="0">
      <alignment vertical="center"/>
    </xf>
    <xf numFmtId="0" fontId="43" fillId="2" borderId="0" applyAlignment="1" pivotButton="0" quotePrefix="0" xfId="0">
      <alignment vertical="center"/>
    </xf>
    <xf numFmtId="0" fontId="5" fillId="6" borderId="0" applyAlignment="1" pivotButton="0" quotePrefix="0" xfId="0">
      <alignment vertical="center"/>
    </xf>
    <xf numFmtId="0" fontId="53" fillId="5" borderId="0" applyAlignment="1" pivotButton="0" quotePrefix="0" xfId="0">
      <alignment horizontal="center" vertical="center"/>
    </xf>
    <xf numFmtId="0" fontId="104" fillId="5" borderId="0" applyAlignment="1" pivotButton="0" quotePrefix="0" xfId="0">
      <alignment horizontal="center" vertical="center"/>
    </xf>
    <xf numFmtId="0" fontId="43" fillId="0" borderId="0" applyAlignment="1" pivotButton="0" quotePrefix="0" xfId="0">
      <alignment vertical="top" wrapText="1"/>
    </xf>
    <xf numFmtId="0" fontId="6" fillId="0" borderId="60" applyAlignment="1" applyProtection="1" pivotButton="0" quotePrefix="0" xfId="0">
      <alignment horizontal="center" vertical="center" wrapText="1"/>
      <protection locked="1" hidden="1"/>
    </xf>
    <xf numFmtId="0" fontId="60" fillId="0" borderId="48" applyAlignment="1" applyProtection="1" pivotButton="0" quotePrefix="0" xfId="0">
      <alignment horizontal="center" vertical="center" wrapText="1"/>
      <protection locked="1" hidden="1"/>
    </xf>
    <xf numFmtId="0" fontId="58" fillId="5" borderId="27" applyAlignment="1" pivotButton="0" quotePrefix="0" xfId="0">
      <alignment vertical="center" wrapText="1"/>
    </xf>
    <xf numFmtId="0" fontId="58" fillId="5" borderId="0" applyAlignment="1" pivotButton="0" quotePrefix="0" xfId="0">
      <alignment vertical="center" wrapText="1"/>
    </xf>
    <xf numFmtId="0" fontId="58" fillId="5" borderId="9" applyAlignment="1" pivotButton="0" quotePrefix="0" xfId="0">
      <alignment horizontal="distributed" vertical="center"/>
    </xf>
    <xf numFmtId="0" fontId="5" fillId="5" borderId="19" applyAlignment="1" pivotButton="0" quotePrefix="0" xfId="0">
      <alignment horizontal="left" vertical="center" wrapText="1"/>
    </xf>
    <xf numFmtId="0" fontId="58" fillId="5" borderId="13" applyAlignment="1" pivotButton="0" quotePrefix="0" xfId="0">
      <alignment vertical="center"/>
    </xf>
    <xf numFmtId="0" fontId="31" fillId="5" borderId="13" applyAlignment="1" pivotButton="0" quotePrefix="0" xfId="0">
      <alignment vertical="center"/>
    </xf>
    <xf numFmtId="0" fontId="6" fillId="0" borderId="45" applyAlignment="1" pivotButton="0" quotePrefix="0" xfId="0">
      <alignment vertical="center"/>
    </xf>
    <xf numFmtId="0" fontId="30" fillId="0" borderId="43" applyAlignment="1" pivotButton="0" quotePrefix="0" xfId="0">
      <alignment vertical="center"/>
    </xf>
    <xf numFmtId="0" fontId="5" fillId="0" borderId="37" applyAlignment="1" pivotButton="0" quotePrefix="0" xfId="0">
      <alignment vertical="top" wrapText="1"/>
    </xf>
    <xf numFmtId="0" fontId="5" fillId="0" borderId="27" applyAlignment="1" pivotButton="0" quotePrefix="0" xfId="0">
      <alignment vertical="top" wrapText="1"/>
    </xf>
    <xf numFmtId="0" fontId="5" fillId="0" borderId="27" applyAlignment="1" pivotButton="0" quotePrefix="0" xfId="0">
      <alignment vertical="center" wrapText="1"/>
    </xf>
    <xf numFmtId="0" fontId="5" fillId="5" borderId="0" applyAlignment="1" pivotButton="0" quotePrefix="0" xfId="0">
      <alignment horizontal="center" vertical="center" wrapText="1"/>
    </xf>
    <xf numFmtId="0" fontId="6" fillId="3" borderId="9" applyAlignment="1" pivotButton="0" quotePrefix="0" xfId="0">
      <alignment horizontal="center" vertical="center"/>
    </xf>
    <xf numFmtId="0" fontId="5" fillId="4" borderId="10" applyAlignment="1" pivotButton="0" quotePrefix="0" xfId="0">
      <alignment horizontal="center" vertical="center"/>
    </xf>
    <xf numFmtId="0" fontId="5" fillId="2" borderId="10" applyAlignment="1" pivotButton="0" quotePrefix="0" xfId="0">
      <alignment horizontal="center" vertical="center"/>
    </xf>
    <xf numFmtId="0" fontId="6" fillId="0" borderId="16" applyAlignment="1" pivotButton="0" quotePrefix="0" xfId="0">
      <alignment horizontal="center" vertical="center"/>
    </xf>
    <xf numFmtId="0" fontId="25" fillId="0" borderId="0" applyAlignment="1" pivotButton="0" quotePrefix="0" xfId="0">
      <alignment vertical="center"/>
    </xf>
    <xf numFmtId="0" fontId="110" fillId="0" borderId="122" applyAlignment="1" pivotButton="0" quotePrefix="0" xfId="0">
      <alignment vertical="center" wrapText="1"/>
    </xf>
    <xf numFmtId="0" fontId="110" fillId="0" borderId="0" applyAlignment="1" pivotButton="0" quotePrefix="0" xfId="0">
      <alignment vertical="center" wrapText="1"/>
    </xf>
    <xf numFmtId="0" fontId="111" fillId="0" borderId="122" applyAlignment="1" pivotButton="0" quotePrefix="0" xfId="0">
      <alignment vertical="center" wrapText="1"/>
    </xf>
    <xf numFmtId="0" fontId="55" fillId="0" borderId="0" applyAlignment="1" pivotButton="0" quotePrefix="0" xfId="0">
      <alignment vertical="center"/>
    </xf>
    <xf numFmtId="0" fontId="55" fillId="0" borderId="16" applyAlignment="1" pivotButton="0" quotePrefix="0" xfId="0">
      <alignment vertical="center"/>
    </xf>
    <xf numFmtId="0" fontId="55" fillId="0" borderId="13" applyAlignment="1" pivotButton="0" quotePrefix="0" xfId="0">
      <alignment vertical="center"/>
    </xf>
    <xf numFmtId="0" fontId="55" fillId="0" borderId="14" applyAlignment="1" pivotButton="0" quotePrefix="0" xfId="0">
      <alignment vertical="center"/>
    </xf>
    <xf numFmtId="0" fontId="6" fillId="20" borderId="5" applyAlignment="1" pivotButton="0" quotePrefix="0" xfId="0">
      <alignment horizontal="left" vertical="center" wrapText="1"/>
    </xf>
    <xf numFmtId="0" fontId="112" fillId="0" borderId="122" applyAlignment="1" pivotButton="0" quotePrefix="0" xfId="3">
      <alignment horizontal="left" vertical="center" wrapText="1"/>
    </xf>
    <xf numFmtId="0" fontId="5" fillId="2" borderId="5" applyAlignment="1" pivotButton="0" quotePrefix="0" xfId="0">
      <alignment horizontal="center" vertical="center"/>
    </xf>
    <xf numFmtId="0" fontId="5" fillId="5" borderId="19" applyAlignment="1" pivotButton="0" quotePrefix="0" xfId="0">
      <alignment horizontal="center" vertical="center" wrapText="1"/>
    </xf>
    <xf numFmtId="0" fontId="5" fillId="5" borderId="20" applyAlignment="1" pivotButton="0" quotePrefix="0" xfId="0">
      <alignment horizontal="center" vertical="center" wrapText="1"/>
    </xf>
    <xf numFmtId="0" fontId="5" fillId="0" borderId="10" applyAlignment="1" pivotButton="0" quotePrefix="0" xfId="0">
      <alignment horizontal="center" vertical="center"/>
    </xf>
    <xf numFmtId="0" fontId="5" fillId="0" borderId="9" applyAlignment="1" pivotButton="0" quotePrefix="0" xfId="0">
      <alignment horizontal="center" vertical="center"/>
    </xf>
    <xf numFmtId="0" fontId="5" fillId="5" borderId="0" applyAlignment="1" pivotButton="0" quotePrefix="0" xfId="0">
      <alignment horizontal="center" vertical="center"/>
    </xf>
    <xf numFmtId="0" fontId="5" fillId="2" borderId="5" applyAlignment="1" pivotButton="0" quotePrefix="0" xfId="0">
      <alignment horizontal="center" vertical="center" wrapText="1"/>
    </xf>
    <xf numFmtId="0" fontId="5" fillId="0" borderId="5" applyAlignment="1" pivotButton="0" quotePrefix="0" xfId="0">
      <alignment horizontal="center" vertical="center"/>
    </xf>
    <xf numFmtId="49" fontId="5" fillId="5" borderId="5" applyAlignment="1" pivotButton="0" quotePrefix="0" xfId="0">
      <alignment horizontal="center" vertical="center"/>
    </xf>
    <xf numFmtId="0" fontId="5" fillId="0" borderId="5" applyAlignment="1" pivotButton="0" quotePrefix="0" xfId="0">
      <alignment horizontal="center" vertical="center" wrapText="1"/>
    </xf>
    <xf numFmtId="0" fontId="5" fillId="0" borderId="10" applyAlignment="1" pivotButton="0" quotePrefix="0" xfId="0">
      <alignment horizontal="center" vertical="center" wrapText="1"/>
    </xf>
    <xf numFmtId="49" fontId="21" fillId="0" borderId="5" applyAlignment="1" pivotButton="0" quotePrefix="0" xfId="0">
      <alignment horizontal="center" vertical="center"/>
    </xf>
    <xf numFmtId="0" fontId="21" fillId="0" borderId="5" applyAlignment="1" pivotButton="0" quotePrefix="0" xfId="0">
      <alignment horizontal="center" vertical="center"/>
    </xf>
    <xf numFmtId="0" fontId="96" fillId="0" borderId="5" applyAlignment="1" pivotButton="0" quotePrefix="0" xfId="0">
      <alignment horizontal="center" vertical="center"/>
    </xf>
    <xf numFmtId="0" fontId="96" fillId="0" borderId="5" applyAlignment="1" pivotButton="0" quotePrefix="0" xfId="0">
      <alignment horizontal="center" vertical="center" wrapText="1"/>
    </xf>
    <xf numFmtId="0" fontId="21" fillId="0" borderId="5" applyAlignment="1" pivotButton="0" quotePrefix="0" xfId="0">
      <alignment horizontal="center" vertical="center" shrinkToFit="1"/>
    </xf>
    <xf numFmtId="0" fontId="21" fillId="0" borderId="5" applyAlignment="1" pivotButton="0" quotePrefix="0" xfId="0">
      <alignment horizontal="center" vertical="center" wrapText="1"/>
    </xf>
    <xf numFmtId="0" fontId="2" fillId="0" borderId="0" applyAlignment="1" applyProtection="1" pivotButton="0" quotePrefix="0" xfId="1">
      <alignment vertical="center"/>
      <protection locked="1" hidden="1"/>
    </xf>
    <xf numFmtId="0" fontId="2" fillId="0" borderId="9" applyAlignment="1" applyProtection="1" pivotButton="0" quotePrefix="0" xfId="1">
      <alignment horizontal="distributed" vertical="center"/>
      <protection locked="1" hidden="1"/>
    </xf>
    <xf numFmtId="0" fontId="21" fillId="0" borderId="13" applyAlignment="1" applyProtection="1" pivotButton="0" quotePrefix="0" xfId="1">
      <alignment horizontal="center" vertical="center"/>
      <protection locked="1" hidden="1"/>
    </xf>
    <xf numFmtId="0" fontId="6" fillId="0" borderId="5" applyAlignment="1" pivotButton="0" quotePrefix="0" xfId="0">
      <alignment horizontal="center" vertical="center" wrapText="1"/>
    </xf>
    <xf numFmtId="0" fontId="5" fillId="0" borderId="25" applyAlignment="1" pivotButton="0" quotePrefix="0" xfId="0">
      <alignment horizontal="left" vertical="center" wrapText="1"/>
    </xf>
    <xf numFmtId="0" fontId="5" fillId="0" borderId="11" applyAlignment="1" pivotButton="0" quotePrefix="0" xfId="0">
      <alignment horizontal="left" vertical="center" wrapText="1"/>
    </xf>
    <xf numFmtId="0" fontId="5" fillId="0" borderId="0" applyAlignment="1" pivotButton="0" quotePrefix="0" xfId="0">
      <alignment horizontal="center" vertical="center"/>
    </xf>
    <xf numFmtId="0" fontId="30" fillId="0" borderId="19" applyAlignment="1" pivotButton="0" quotePrefix="0" xfId="0">
      <alignment horizontal="left" vertical="top" wrapText="1"/>
    </xf>
    <xf numFmtId="0" fontId="30" fillId="0" borderId="0" applyAlignment="1" pivotButton="0" quotePrefix="0" xfId="0">
      <alignment horizontal="left" vertical="top"/>
    </xf>
    <xf numFmtId="0" fontId="30" fillId="0" borderId="0" applyAlignment="1" pivotButton="0" quotePrefix="0" xfId="0">
      <alignment horizontal="left" vertical="center" wrapText="1"/>
    </xf>
    <xf numFmtId="0" fontId="7" fillId="0" borderId="0" applyAlignment="1" applyProtection="1" pivotButton="0" quotePrefix="0" xfId="0">
      <alignment horizontal="left" vertical="center"/>
      <protection locked="1" hidden="1"/>
    </xf>
    <xf numFmtId="0" fontId="7" fillId="0" borderId="0" applyAlignment="1" applyProtection="1" pivotButton="0" quotePrefix="0" xfId="0">
      <alignment horizontal="left" vertical="distributed" wrapText="1"/>
      <protection locked="1" hidden="1"/>
    </xf>
    <xf numFmtId="0" fontId="31" fillId="0" borderId="0" applyAlignment="1" pivotButton="0" quotePrefix="0" xfId="0">
      <alignment horizontal="left" vertical="top" wrapText="1"/>
    </xf>
    <xf numFmtId="0" fontId="31" fillId="0" borderId="50" applyAlignment="1" pivotButton="0" quotePrefix="0" xfId="0">
      <alignment horizontal="left" vertical="top" wrapText="1"/>
    </xf>
    <xf numFmtId="0" fontId="10" fillId="0" borderId="0" applyAlignment="1" pivotButton="0" quotePrefix="0" xfId="0">
      <alignment horizontal="left" vertical="distributed" wrapText="1"/>
    </xf>
    <xf numFmtId="0" fontId="6" fillId="0" borderId="0" applyAlignment="1" pivotButton="0" quotePrefix="0" xfId="0">
      <alignment horizontal="left" vertical="center"/>
    </xf>
    <xf numFmtId="0" fontId="6" fillId="0" borderId="0" applyAlignment="1" pivotButton="0" quotePrefix="0" xfId="0">
      <alignment horizontal="justify" vertical="center" wrapText="1"/>
    </xf>
    <xf numFmtId="0" fontId="5" fillId="0" borderId="58" applyAlignment="1" pivotButton="0" quotePrefix="0" xfId="0">
      <alignment horizontal="left" vertical="center"/>
    </xf>
    <xf numFmtId="0" fontId="5" fillId="0" borderId="0" applyAlignment="1" pivotButton="0" quotePrefix="0" xfId="0">
      <alignment horizontal="left" vertical="center"/>
    </xf>
    <xf numFmtId="0" fontId="6" fillId="0" borderId="47" applyAlignment="1" pivotButton="0" quotePrefix="0" xfId="0">
      <alignment horizontal="justify" vertical="center" wrapText="1"/>
    </xf>
    <xf numFmtId="0" fontId="6" fillId="0" borderId="28" applyAlignment="1" pivotButton="0" quotePrefix="0" xfId="0">
      <alignment vertical="center" wrapText="1"/>
    </xf>
    <xf numFmtId="0" fontId="6" fillId="0" borderId="0" applyAlignment="1" pivotButton="0" quotePrefix="0" xfId="0">
      <alignment vertical="center" wrapText="1"/>
    </xf>
    <xf numFmtId="0" fontId="6" fillId="0" borderId="50" applyAlignment="1" pivotButton="0" quotePrefix="0" xfId="0">
      <alignment vertical="center" wrapText="1"/>
    </xf>
    <xf numFmtId="0" fontId="5" fillId="11" borderId="5" applyAlignment="1" pivotButton="0" quotePrefix="0" xfId="0">
      <alignment horizontal="center" vertical="center" wrapText="1"/>
    </xf>
    <xf numFmtId="0" fontId="5" fillId="11" borderId="9" applyAlignment="1" pivotButton="0" quotePrefix="0" xfId="0">
      <alignment horizontal="center" vertical="center" wrapText="1"/>
    </xf>
    <xf numFmtId="0" fontId="5" fillId="0" borderId="0" applyAlignment="1" pivotButton="0" quotePrefix="0" xfId="0">
      <alignment horizontal="left" vertical="center" wrapText="1"/>
    </xf>
    <xf numFmtId="0" fontId="5" fillId="0" borderId="0" applyAlignment="1" pivotButton="0" quotePrefix="0" xfId="0">
      <alignment horizontal="left" vertical="top" wrapText="1"/>
    </xf>
    <xf numFmtId="0" fontId="5" fillId="0" borderId="50" applyAlignment="1" pivotButton="0" quotePrefix="0" xfId="0">
      <alignment horizontal="center" vertical="center" wrapText="1"/>
    </xf>
    <xf numFmtId="0" fontId="5" fillId="0" borderId="47" applyAlignment="1" pivotButton="0" quotePrefix="0" xfId="0">
      <alignment horizontal="center" vertical="center" wrapText="1"/>
    </xf>
    <xf numFmtId="0" fontId="5" fillId="0" borderId="0" applyAlignment="1" pivotButton="0" quotePrefix="0" xfId="0">
      <alignment horizontal="justify" vertical="center" wrapText="1"/>
    </xf>
    <xf numFmtId="0" fontId="54" fillId="0" borderId="0" applyAlignment="1" pivotButton="0" quotePrefix="0" xfId="0">
      <alignment horizontal="center" vertical="center"/>
    </xf>
    <xf numFmtId="0" fontId="7" fillId="0" borderId="0" applyAlignment="1" pivotButton="0" quotePrefix="0" xfId="0">
      <alignment horizontal="left" vertical="distributed" wrapText="1"/>
    </xf>
    <xf numFmtId="0" fontId="24" fillId="0" borderId="0" applyAlignment="1" pivotButton="0" quotePrefix="0" xfId="0">
      <alignment horizontal="left" vertical="distributed" wrapText="1"/>
    </xf>
    <xf numFmtId="0" fontId="24" fillId="0" borderId="0" applyAlignment="1" pivotButton="0" quotePrefix="0" xfId="0">
      <alignment horizontal="left" vertical="center"/>
    </xf>
    <xf numFmtId="0" fontId="5" fillId="0" borderId="9" applyAlignment="1" pivotButton="0" quotePrefix="0" xfId="0">
      <alignment horizontal="center" vertical="center" wrapText="1"/>
    </xf>
    <xf numFmtId="0" fontId="30" fillId="0" borderId="5" applyAlignment="1" pivotButton="0" quotePrefix="0" xfId="0">
      <alignment horizontal="center" vertical="center"/>
    </xf>
    <xf numFmtId="0" fontId="30" fillId="0" borderId="113" applyAlignment="1" applyProtection="1" pivotButton="0" quotePrefix="0" xfId="0">
      <alignment vertical="center" wrapText="1"/>
      <protection locked="1" hidden="1"/>
    </xf>
    <xf numFmtId="0" fontId="30" fillId="0" borderId="112" applyAlignment="1" applyProtection="1" pivotButton="0" quotePrefix="0" xfId="0">
      <alignment vertical="center" wrapText="1"/>
      <protection locked="1" hidden="1"/>
    </xf>
    <xf numFmtId="0" fontId="30" fillId="0" borderId="111" applyAlignment="1" applyProtection="1" pivotButton="0" quotePrefix="0" xfId="0">
      <alignment vertical="center" wrapText="1"/>
      <protection locked="1" hidden="1"/>
    </xf>
    <xf numFmtId="0" fontId="0" fillId="0" borderId="30" applyAlignment="1" applyProtection="1" pivotButton="0" quotePrefix="0" xfId="0">
      <alignment vertical="center" wrapText="1"/>
      <protection locked="1" hidden="1"/>
    </xf>
    <xf numFmtId="0" fontId="43" fillId="0" borderId="27" applyAlignment="1" pivotButton="0" quotePrefix="0" xfId="0">
      <alignment vertical="center"/>
    </xf>
    <xf numFmtId="0" fontId="43" fillId="0" borderId="0" applyAlignment="1" pivotButton="0" quotePrefix="0" xfId="0">
      <alignment vertical="center"/>
    </xf>
    <xf numFmtId="0" fontId="5" fillId="0" borderId="27" applyAlignment="1" pivotButton="0" quotePrefix="0" xfId="0">
      <alignment vertical="center"/>
    </xf>
    <xf numFmtId="0" fontId="5" fillId="0" borderId="0" applyAlignment="1" pivotButton="0" quotePrefix="0" xfId="0">
      <alignment vertical="center"/>
    </xf>
    <xf numFmtId="0" fontId="5" fillId="0" borderId="13" applyAlignment="1" pivotButton="0" quotePrefix="0" xfId="0">
      <alignment horizontal="left" vertical="center"/>
    </xf>
    <xf numFmtId="0" fontId="7" fillId="0" borderId="0" applyAlignment="1" pivotButton="0" quotePrefix="0" xfId="0">
      <alignment horizontal="distributed" vertical="center"/>
    </xf>
    <xf numFmtId="0" fontId="6" fillId="0" borderId="0" applyAlignment="1" pivotButton="0" quotePrefix="0" xfId="0">
      <alignment horizontal="distributed" vertical="center"/>
    </xf>
    <xf numFmtId="0" fontId="30" fillId="0" borderId="0" applyAlignment="1" pivotButton="0" quotePrefix="0" xfId="0">
      <alignment horizontal="left" vertical="center"/>
    </xf>
    <xf numFmtId="0" fontId="2" fillId="0" borderId="10" applyAlignment="1" applyProtection="1" pivotButton="0" quotePrefix="0" xfId="1">
      <alignment horizontal="distributed" vertical="center"/>
      <protection locked="1" hidden="1"/>
    </xf>
    <xf numFmtId="0" fontId="2" fillId="0" borderId="8" applyAlignment="1" applyProtection="1" pivotButton="0" quotePrefix="0" xfId="1">
      <alignment horizontal="distributed" vertical="center"/>
      <protection locked="1" hidden="1"/>
    </xf>
    <xf numFmtId="0" fontId="96" fillId="0" borderId="0" applyAlignment="1" pivotButton="0" quotePrefix="0" xfId="0">
      <alignment vertical="center"/>
    </xf>
    <xf numFmtId="0" fontId="0" fillId="0" borderId="5" applyAlignment="1" pivotButton="0" quotePrefix="0" xfId="0">
      <alignment vertical="center"/>
    </xf>
    <xf numFmtId="0" fontId="13" fillId="0" borderId="0" applyAlignment="1" pivotButton="0" quotePrefix="0" xfId="0">
      <alignment horizontal="left" vertical="center"/>
    </xf>
    <xf numFmtId="0" fontId="13" fillId="0" borderId="0" applyAlignment="1" pivotButton="0" quotePrefix="0" xfId="0">
      <alignment horizontal="left" vertical="center" wrapText="1"/>
    </xf>
    <xf numFmtId="0" fontId="37" fillId="0" borderId="26" applyAlignment="1" pivotButton="0" quotePrefix="0" xfId="0">
      <alignment horizontal="justify" vertical="center" wrapText="1"/>
    </xf>
    <xf numFmtId="0" fontId="37" fillId="0" borderId="0" applyAlignment="1" pivotButton="0" quotePrefix="0" xfId="0">
      <alignment horizontal="center" vertical="center" wrapText="1"/>
    </xf>
    <xf numFmtId="0" fontId="5" fillId="0" borderId="5" applyAlignment="1" pivotButton="0" quotePrefix="0" xfId="0">
      <alignment horizontal="left" vertical="center" wrapText="1"/>
    </xf>
    <xf numFmtId="0" fontId="6" fillId="0" borderId="5" applyAlignment="1" pivotButton="0" quotePrefix="0" xfId="0">
      <alignment vertical="center" wrapText="1"/>
    </xf>
    <xf numFmtId="0" fontId="6" fillId="0" borderId="5" applyAlignment="1" pivotButton="0" quotePrefix="0" xfId="0">
      <alignment horizontal="justify" vertical="center" wrapText="1"/>
    </xf>
    <xf numFmtId="0" fontId="6" fillId="0" borderId="27" applyAlignment="1" pivotButton="0" quotePrefix="0" xfId="0">
      <alignment horizontal="justify" vertical="center" wrapText="1"/>
    </xf>
    <xf numFmtId="0" fontId="8" fillId="0" borderId="5" applyAlignment="1" pivotButton="0" quotePrefix="0" xfId="0">
      <alignment horizontal="justify" vertical="center" wrapText="1"/>
    </xf>
    <xf numFmtId="0" fontId="55" fillId="0" borderId="116" applyAlignment="1" pivotButton="0" quotePrefix="0" xfId="3">
      <alignment horizontal="left" vertical="top" wrapText="1"/>
    </xf>
    <xf numFmtId="0" fontId="2" fillId="0" borderId="118" applyAlignment="1" pivotButton="0" quotePrefix="0" xfId="3">
      <alignment horizontal="left" vertical="top" wrapText="1"/>
    </xf>
    <xf numFmtId="0" fontId="2" fillId="0" borderId="117" applyAlignment="1" pivotButton="0" quotePrefix="0" xfId="3">
      <alignment horizontal="center" vertical="top" wrapText="1"/>
    </xf>
    <xf numFmtId="0" fontId="55" fillId="0" borderId="5" applyAlignment="1" pivotButton="0" quotePrefix="0" xfId="3">
      <alignment horizontal="left" vertical="top" wrapText="1"/>
    </xf>
    <xf numFmtId="0" fontId="2" fillId="0" borderId="5" applyAlignment="1" pivotButton="0" quotePrefix="0" xfId="3">
      <alignment horizontal="left" vertical="top" wrapText="1"/>
    </xf>
    <xf numFmtId="0" fontId="2" fillId="0" borderId="5" applyAlignment="1" pivotButton="0" quotePrefix="0" xfId="3">
      <alignment horizontal="center" vertical="top" wrapText="1"/>
    </xf>
    <xf numFmtId="0" fontId="6" fillId="0" borderId="132" applyAlignment="1" pivotButton="0" quotePrefix="0" xfId="0">
      <alignment horizontal="center" vertical="center" wrapText="1"/>
    </xf>
    <xf numFmtId="0" fontId="5" fillId="0" borderId="0" applyAlignment="1" pivotButton="0" quotePrefix="0" xfId="0">
      <alignment horizontal="center" vertical="center" wrapText="1"/>
    </xf>
    <xf numFmtId="0" fontId="37" fillId="0" borderId="0" applyAlignment="1" pivotButton="0" quotePrefix="0" xfId="0">
      <alignment horizontal="left"/>
    </xf>
    <xf numFmtId="0" fontId="6" fillId="0" borderId="25" applyAlignment="1" pivotButton="0" quotePrefix="0" xfId="0">
      <alignment horizontal="center" vertical="center" wrapText="1"/>
    </xf>
    <xf numFmtId="0" fontId="5" fillId="0" borderId="25" applyAlignment="1" pivotButton="0" quotePrefix="0" xfId="0">
      <alignment horizontal="center" vertical="center" wrapText="1"/>
    </xf>
    <xf numFmtId="0" fontId="5" fillId="0" borderId="75" applyAlignment="1" pivotButton="0" quotePrefix="0" xfId="0">
      <alignment horizontal="left" vertical="center"/>
    </xf>
    <xf numFmtId="0" fontId="5" fillId="0" borderId="0" applyAlignment="1" pivotButton="0" quotePrefix="0" xfId="0">
      <alignment horizontal="center" vertical="top" wrapText="1"/>
    </xf>
    <xf numFmtId="0" fontId="5" fillId="0" borderId="0" applyAlignment="1" pivotButton="0" quotePrefix="0" xfId="0">
      <alignment vertical="center" wrapText="1"/>
    </xf>
    <xf numFmtId="0" fontId="5" fillId="0" borderId="16" applyAlignment="1" pivotButton="0" quotePrefix="0" xfId="0">
      <alignment vertical="center" wrapText="1"/>
    </xf>
    <xf numFmtId="0" fontId="61" fillId="0" borderId="0" applyAlignment="1" pivotButton="0" quotePrefix="0" xfId="0">
      <alignment vertical="center" wrapText="1"/>
    </xf>
    <xf numFmtId="0" fontId="66" fillId="13" borderId="0" applyAlignment="1" pivotButton="0" quotePrefix="0" xfId="0">
      <alignment horizontal="center" vertical="center" wrapText="1"/>
    </xf>
    <xf numFmtId="0" fontId="5" fillId="0" borderId="0" applyAlignment="1" pivotButton="0" quotePrefix="0" xfId="0">
      <alignment horizontal="left" vertical="center" indent="3"/>
    </xf>
    <xf numFmtId="0" fontId="0" fillId="0" borderId="0" applyAlignment="1" pivotButton="0" quotePrefix="0" xfId="0">
      <alignment vertical="center"/>
    </xf>
    <xf numFmtId="0" fontId="2" fillId="0" borderId="0" applyAlignment="1" pivotButton="0" quotePrefix="0" xfId="0">
      <alignment vertical="center"/>
    </xf>
    <xf numFmtId="0" fontId="24" fillId="0" borderId="97" applyAlignment="1" pivotButton="0" quotePrefix="0" xfId="0">
      <alignment horizontal="center" vertical="center" wrapText="1"/>
    </xf>
    <xf numFmtId="0" fontId="24" fillId="0" borderId="96" applyAlignment="1" pivotButton="0" quotePrefix="0" xfId="0">
      <alignment horizontal="center" vertical="center" wrapText="1"/>
    </xf>
    <xf numFmtId="0" fontId="0" fillId="0" borderId="0" pivotButton="0" quotePrefix="0" xfId="0"/>
    <xf numFmtId="164" fontId="5" fillId="5" borderId="5" applyAlignment="1" pivotButton="0" quotePrefix="1" xfId="0">
      <alignment horizontal="center" vertical="center" wrapText="1"/>
    </xf>
    <xf numFmtId="164" fontId="5" fillId="0" borderId="5" applyAlignment="1" pivotButton="0" quotePrefix="0" xfId="0">
      <alignment horizontal="center" vertical="center"/>
    </xf>
    <xf numFmtId="164" fontId="5" fillId="5" borderId="0" applyAlignment="1" pivotButton="0" quotePrefix="1" xfId="0">
      <alignment vertical="center"/>
    </xf>
    <xf numFmtId="165" fontId="71" fillId="0" borderId="0" applyAlignment="1" pivotButton="0" quotePrefix="0" xfId="2">
      <alignment horizontal="center" vertical="center" wrapText="1"/>
    </xf>
    <xf numFmtId="164" fontId="5" fillId="5" borderId="0" applyAlignment="1" pivotButton="0" quotePrefix="1" xfId="0">
      <alignment horizontal="center" vertical="center"/>
    </xf>
    <xf numFmtId="165" fontId="5" fillId="5" borderId="0" applyAlignment="1" pivotButton="0" quotePrefix="0" xfId="0">
      <alignment vertical="center"/>
    </xf>
    <xf numFmtId="164" fontId="5" fillId="5" borderId="0" applyAlignment="1" pivotButton="0" quotePrefix="0" xfId="0">
      <alignment horizontal="center" vertical="center"/>
    </xf>
    <xf numFmtId="166" fontId="6" fillId="20" borderId="5" applyAlignment="1" pivotButton="0" quotePrefix="0" xfId="0">
      <alignment vertical="center"/>
    </xf>
    <xf numFmtId="167" fontId="53" fillId="20" borderId="5" applyAlignment="1" pivotButton="0" quotePrefix="0" xfId="0">
      <alignment horizontal="center" vertical="center"/>
    </xf>
    <xf numFmtId="168" fontId="6" fillId="20" borderId="5" applyAlignment="1" pivotButton="0" quotePrefix="0" xfId="0">
      <alignment horizontal="center" vertical="center"/>
    </xf>
    <xf numFmtId="165" fontId="6" fillId="20" borderId="9" applyAlignment="1" pivotButton="0" quotePrefix="0" xfId="0">
      <alignment vertical="center" wrapText="1"/>
    </xf>
    <xf numFmtId="165" fontId="6" fillId="0" borderId="16" applyAlignment="1" pivotButton="0" quotePrefix="0" xfId="0">
      <alignment vertical="center" wrapText="1"/>
    </xf>
    <xf numFmtId="166" fontId="6" fillId="0" borderId="11" applyAlignment="1" pivotButton="0" quotePrefix="0" xfId="0">
      <alignment horizontal="center" vertical="center"/>
    </xf>
    <xf numFmtId="167" fontId="6" fillId="0" borderId="11" applyAlignment="1" pivotButton="0" quotePrefix="0" xfId="0">
      <alignment horizontal="center" vertical="center"/>
    </xf>
    <xf numFmtId="168" fontId="6" fillId="6" borderId="5" applyAlignment="1" pivotButton="0" quotePrefix="0" xfId="0">
      <alignment horizontal="center" vertical="center"/>
    </xf>
    <xf numFmtId="166" fontId="6" fillId="20" borderId="5" applyAlignment="1" pivotButton="0" quotePrefix="0" xfId="0">
      <alignment horizontal="center" vertical="center"/>
    </xf>
    <xf numFmtId="167" fontId="6" fillId="20" borderId="5" applyAlignment="1" pivotButton="0" quotePrefix="0" xfId="0">
      <alignment horizontal="center" vertical="center"/>
    </xf>
    <xf numFmtId="165" fontId="6" fillId="5" borderId="9" applyAlignment="1" pivotButton="0" quotePrefix="0" xfId="0">
      <alignment vertical="center" wrapText="1"/>
    </xf>
    <xf numFmtId="166" fontId="6" fillId="0" borderId="5" applyAlignment="1" pivotButton="0" quotePrefix="0" xfId="0">
      <alignment horizontal="center" vertical="center"/>
    </xf>
    <xf numFmtId="167" fontId="6" fillId="0" borderId="5" applyAlignment="1" pivotButton="0" quotePrefix="0" xfId="0">
      <alignment horizontal="center" vertical="center"/>
    </xf>
    <xf numFmtId="165" fontId="6" fillId="5" borderId="0" applyAlignment="1" pivotButton="0" quotePrefix="0" xfId="0">
      <alignment vertical="center" wrapText="1"/>
    </xf>
    <xf numFmtId="169" fontId="5" fillId="0" borderId="5" applyAlignment="1" pivotButton="0" quotePrefix="0" xfId="0">
      <alignment horizontal="center" vertical="center" wrapText="1"/>
    </xf>
    <xf numFmtId="166" fontId="5" fillId="0" borderId="0" applyAlignment="1" pivotButton="0" quotePrefix="0" xfId="0">
      <alignment vertical="center"/>
    </xf>
    <xf numFmtId="168" fontId="6" fillId="5" borderId="0" applyAlignment="1" pivotButton="0" quotePrefix="0" xfId="0">
      <alignment horizontal="center" vertical="center"/>
    </xf>
    <xf numFmtId="170" fontId="5" fillId="0" borderId="0" applyAlignment="1" pivotButton="0" quotePrefix="0" xfId="0">
      <alignment vertical="center"/>
    </xf>
    <xf numFmtId="171" fontId="31" fillId="0" borderId="0" applyAlignment="1" pivotButton="0" quotePrefix="0" xfId="0">
      <alignment vertical="top"/>
    </xf>
    <xf numFmtId="172" fontId="5" fillId="0" borderId="82" applyAlignment="1" pivotButton="0" quotePrefix="0" xfId="0">
      <alignment horizontal="center" vertical="center" wrapText="1"/>
    </xf>
    <xf numFmtId="0" fontId="0" fillId="0" borderId="5" applyAlignment="1" pivotButton="0" quotePrefix="0" xfId="0">
      <alignment horizontal="center" vertical="center"/>
    </xf>
    <xf numFmtId="0" fontId="0" fillId="0" borderId="10" pivotButton="0" quotePrefix="0" xfId="0"/>
    <xf numFmtId="0" fontId="5" fillId="0" borderId="5" applyAlignment="1" pivotButton="0" quotePrefix="0" xfId="0">
      <alignment horizontal="center" vertical="center"/>
    </xf>
    <xf numFmtId="0" fontId="5" fillId="2" borderId="5" applyAlignment="1" pivotButton="0" quotePrefix="0" xfId="0">
      <alignment horizontal="center" vertical="center"/>
    </xf>
    <xf numFmtId="0" fontId="0" fillId="0" borderId="8" pivotButton="0" quotePrefix="0" xfId="0"/>
    <xf numFmtId="0" fontId="5" fillId="0" borderId="10" applyAlignment="1" pivotButton="0" quotePrefix="0" xfId="0">
      <alignment horizontal="center" vertical="center" wrapText="1"/>
    </xf>
    <xf numFmtId="0" fontId="5" fillId="0" borderId="5" applyAlignment="1" pivotButton="0" quotePrefix="0" xfId="0">
      <alignment horizontal="center" vertical="center" wrapText="1"/>
    </xf>
    <xf numFmtId="0" fontId="0" fillId="0" borderId="19" pivotButton="0" quotePrefix="0" xfId="0"/>
    <xf numFmtId="0" fontId="0" fillId="0" borderId="18" pivotButton="0" quotePrefix="0" xfId="0"/>
    <xf numFmtId="0" fontId="0" fillId="0" borderId="20" pivotButton="0" quotePrefix="0" xfId="0"/>
    <xf numFmtId="0" fontId="0" fillId="0" borderId="13" pivotButton="0" quotePrefix="0" xfId="0"/>
    <xf numFmtId="0" fontId="0" fillId="0" borderId="14" pivotButton="0" quotePrefix="0" xfId="0"/>
    <xf numFmtId="0" fontId="5" fillId="0" borderId="9" applyAlignment="1" pivotButton="0" quotePrefix="0" xfId="0">
      <alignment horizontal="center" vertical="center"/>
    </xf>
    <xf numFmtId="0" fontId="5" fillId="0" borderId="10" applyAlignment="1" pivotButton="0" quotePrefix="0" xfId="0">
      <alignment horizontal="center" vertical="center"/>
    </xf>
    <xf numFmtId="0" fontId="5" fillId="5" borderId="5" applyAlignment="1" pivotButton="0" quotePrefix="0" xfId="0">
      <alignment horizontal="center" vertical="center" wrapText="1"/>
    </xf>
    <xf numFmtId="0" fontId="0" fillId="0" borderId="11" pivotButton="0" quotePrefix="0" xfId="0"/>
    <xf numFmtId="0" fontId="5" fillId="0" borderId="5" applyAlignment="1" pivotButton="0" quotePrefix="0" xfId="0">
      <alignment horizontal="center" vertical="top" wrapText="1"/>
    </xf>
    <xf numFmtId="164" fontId="5" fillId="0" borderId="5" applyAlignment="1" pivotButton="0" quotePrefix="0" xfId="0">
      <alignment horizontal="center" vertical="center"/>
    </xf>
    <xf numFmtId="0" fontId="5" fillId="5" borderId="0" applyAlignment="1" pivotButton="0" quotePrefix="0" xfId="0">
      <alignment horizontal="center" vertical="center"/>
    </xf>
    <xf numFmtId="0" fontId="5" fillId="0" borderId="0" applyAlignment="1" pivotButton="0" quotePrefix="0" xfId="0">
      <alignment vertical="center"/>
    </xf>
    <xf numFmtId="49" fontId="5" fillId="5" borderId="5" applyAlignment="1" pivotButton="0" quotePrefix="0" xfId="0">
      <alignment horizontal="center" vertical="center"/>
    </xf>
    <xf numFmtId="0" fontId="5" fillId="5" borderId="10" applyAlignment="1" pivotButton="0" quotePrefix="0" xfId="0">
      <alignment horizontal="center" vertical="center"/>
    </xf>
    <xf numFmtId="165" fontId="5" fillId="0" borderId="5" applyAlignment="1" pivotButton="0" quotePrefix="0" xfId="0">
      <alignment horizontal="center" vertical="center" wrapText="1"/>
    </xf>
    <xf numFmtId="0" fontId="5" fillId="2" borderId="5" applyAlignment="1" pivotButton="0" quotePrefix="0" xfId="0">
      <alignment horizontal="center" vertical="center" wrapText="1"/>
    </xf>
    <xf numFmtId="164" fontId="5" fillId="5" borderId="5" applyAlignment="1" pivotButton="0" quotePrefix="0" xfId="0">
      <alignment horizontal="center" vertical="center"/>
    </xf>
    <xf numFmtId="0" fontId="5" fillId="0" borderId="0" applyAlignment="1" pivotButton="0" quotePrefix="0" xfId="0">
      <alignment horizontal="left" vertical="top" wrapText="1"/>
    </xf>
    <xf numFmtId="0" fontId="5" fillId="0" borderId="0" applyAlignment="1" pivotButton="0" quotePrefix="0" xfId="0">
      <alignment vertical="center" wrapText="1"/>
    </xf>
    <xf numFmtId="49" fontId="21" fillId="0" borderId="5" applyAlignment="1" pivotButton="0" quotePrefix="0" xfId="0">
      <alignment horizontal="center" vertical="center"/>
    </xf>
    <xf numFmtId="0" fontId="21" fillId="0" borderId="5" applyAlignment="1" pivotButton="0" quotePrefix="0" xfId="0">
      <alignment horizontal="center" vertical="center" shrinkToFit="1"/>
    </xf>
    <xf numFmtId="0" fontId="21" fillId="0" borderId="5" applyAlignment="1" pivotButton="0" quotePrefix="0" xfId="0">
      <alignment horizontal="center" vertical="center" wrapText="1"/>
    </xf>
    <xf numFmtId="49" fontId="21" fillId="0" borderId="5" applyAlignment="1" pivotButton="0" quotePrefix="0" xfId="0">
      <alignment horizontal="center" vertical="center" wrapText="1"/>
    </xf>
    <xf numFmtId="0" fontId="21" fillId="0" borderId="5" applyAlignment="1" pivotButton="0" quotePrefix="0" xfId="0">
      <alignment horizontal="center" vertical="center"/>
    </xf>
    <xf numFmtId="0" fontId="100" fillId="0" borderId="5" applyAlignment="1" pivotButton="0" quotePrefix="0" xfId="0">
      <alignment horizontal="center" vertical="center"/>
    </xf>
    <xf numFmtId="0" fontId="0" fillId="0" borderId="5" applyAlignment="1" pivotButton="0" quotePrefix="0" xfId="0">
      <alignment horizontal="center" vertical="center" wrapText="1"/>
    </xf>
    <xf numFmtId="0" fontId="21" fillId="0" borderId="14" applyAlignment="1" pivotButton="0" quotePrefix="0" xfId="0">
      <alignment horizontal="center" vertical="center"/>
    </xf>
    <xf numFmtId="49" fontId="21" fillId="0" borderId="5" applyAlignment="1" pivotButton="0" quotePrefix="0" xfId="0">
      <alignment horizontal="left" vertical="top" wrapText="1"/>
    </xf>
    <xf numFmtId="0" fontId="0" fillId="0" borderId="27" pivotButton="0" quotePrefix="0" xfId="0"/>
    <xf numFmtId="0" fontId="21" fillId="0" borderId="0" applyAlignment="1" pivotButton="0" quotePrefix="0" xfId="0">
      <alignment vertical="center"/>
    </xf>
    <xf numFmtId="0" fontId="0" fillId="0" borderId="16" pivotButton="0" quotePrefix="0" xfId="0"/>
    <xf numFmtId="49" fontId="75" fillId="0" borderId="5" applyAlignment="1" pivotButton="0" quotePrefix="0" xfId="0">
      <alignment horizontal="left" vertical="center" wrapText="1"/>
    </xf>
    <xf numFmtId="49" fontId="96" fillId="0" borderId="5" applyAlignment="1" pivotButton="0" quotePrefix="0" xfId="0">
      <alignment horizontal="center" vertical="center" wrapText="1" shrinkToFit="1"/>
    </xf>
    <xf numFmtId="0" fontId="96" fillId="0" borderId="5" applyAlignment="1" pivotButton="0" quotePrefix="0" xfId="0">
      <alignment horizontal="center" vertical="center" wrapText="1"/>
    </xf>
    <xf numFmtId="0" fontId="96" fillId="0" borderId="5" applyAlignment="1" pivotButton="0" quotePrefix="0" xfId="0">
      <alignment horizontal="center" vertical="center"/>
    </xf>
    <xf numFmtId="0" fontId="21" fillId="0" borderId="9" applyAlignment="1" pivotButton="0" quotePrefix="0" xfId="0">
      <alignment horizontal="center" vertical="center" wrapText="1"/>
    </xf>
    <xf numFmtId="49" fontId="96" fillId="0" borderId="5" applyAlignment="1" pivotButton="0" quotePrefix="0" xfId="0">
      <alignment horizontal="center" vertical="center" wrapText="1"/>
    </xf>
    <xf numFmtId="0" fontId="2" fillId="0" borderId="5" applyAlignment="1" pivotButton="0" quotePrefix="0" xfId="0">
      <alignment horizontal="center" vertical="center"/>
    </xf>
    <xf numFmtId="49" fontId="21" fillId="0" borderId="11" applyAlignment="1" pivotButton="0" quotePrefix="0" xfId="0">
      <alignment horizontal="center" vertical="center"/>
    </xf>
    <xf numFmtId="0" fontId="21" fillId="0" borderId="5" applyAlignment="1" pivotButton="0" quotePrefix="0" xfId="0">
      <alignment horizontal="left" vertical="top" wrapText="1" shrinkToFit="1"/>
    </xf>
    <xf numFmtId="0" fontId="21" fillId="0" borderId="5" applyAlignment="1" pivotButton="0" quotePrefix="0" xfId="0">
      <alignment horizontal="left" vertical="center"/>
    </xf>
    <xf numFmtId="0" fontId="2" fillId="0" borderId="19" applyAlignment="1" applyProtection="1" pivotButton="0" quotePrefix="0" xfId="1">
      <alignment vertical="center"/>
      <protection locked="1" hidden="1"/>
    </xf>
    <xf numFmtId="0" fontId="0" fillId="0" borderId="19" applyProtection="1" pivotButton="0" quotePrefix="0" xfId="0">
      <protection locked="1" hidden="1"/>
    </xf>
    <xf numFmtId="0" fontId="2" fillId="0" borderId="5" applyAlignment="1" applyProtection="1" pivotButton="0" quotePrefix="0" xfId="1">
      <alignment horizontal="distributed" vertical="center"/>
      <protection locked="1" hidden="1"/>
    </xf>
    <xf numFmtId="0" fontId="0" fillId="0" borderId="18" applyProtection="1" pivotButton="0" quotePrefix="0" xfId="0">
      <protection locked="1" hidden="1"/>
    </xf>
    <xf numFmtId="0" fontId="0" fillId="0" borderId="20" applyProtection="1" pivotButton="0" quotePrefix="0" xfId="0">
      <protection locked="1" hidden="1"/>
    </xf>
    <xf numFmtId="0" fontId="0" fillId="0" borderId="13" applyProtection="1" pivotButton="0" quotePrefix="0" xfId="0">
      <protection locked="1" hidden="1"/>
    </xf>
    <xf numFmtId="0" fontId="0" fillId="0" borderId="14" applyProtection="1" pivotButton="0" quotePrefix="0" xfId="0">
      <protection locked="1" hidden="1"/>
    </xf>
    <xf numFmtId="0" fontId="0" fillId="0" borderId="10" applyProtection="1" pivotButton="0" quotePrefix="0" xfId="0">
      <protection locked="1" hidden="1"/>
    </xf>
    <xf numFmtId="0" fontId="3" fillId="0" borderId="5" applyAlignment="1" applyProtection="1" pivotButton="0" quotePrefix="0" xfId="1">
      <alignment horizontal="distributed" vertical="center"/>
      <protection locked="1" hidden="1"/>
    </xf>
    <xf numFmtId="0" fontId="0" fillId="0" borderId="8" applyProtection="1" pivotButton="0" quotePrefix="0" xfId="0">
      <protection locked="1" hidden="1"/>
    </xf>
    <xf numFmtId="0" fontId="2" fillId="0" borderId="5" applyAlignment="1" applyProtection="1" pivotButton="0" quotePrefix="0" xfId="1">
      <alignment vertical="center"/>
      <protection locked="1" hidden="1"/>
    </xf>
    <xf numFmtId="0" fontId="3" fillId="0" borderId="25" applyAlignment="1" applyProtection="1" pivotButton="0" quotePrefix="0" xfId="1">
      <alignment horizontal="distributed" vertical="center"/>
      <protection locked="1" hidden="1"/>
    </xf>
    <xf numFmtId="0" fontId="3" fillId="0" borderId="5" applyAlignment="1" applyProtection="1" pivotButton="0" quotePrefix="0" xfId="1">
      <alignment horizontal="distributed" vertical="center" wrapText="1"/>
      <protection locked="1" hidden="1"/>
    </xf>
    <xf numFmtId="0" fontId="21" fillId="0" borderId="5" applyAlignment="1" applyProtection="1" pivotButton="0" quotePrefix="0" xfId="1">
      <alignment vertical="center" wrapText="1"/>
      <protection locked="1" hidden="1"/>
    </xf>
    <xf numFmtId="0" fontId="2" fillId="0" borderId="10" applyAlignment="1" applyProtection="1" pivotButton="0" quotePrefix="0" xfId="1">
      <alignment vertical="center"/>
      <protection locked="1" hidden="1"/>
    </xf>
    <xf numFmtId="0" fontId="21" fillId="0" borderId="5" applyAlignment="1" applyProtection="1" pivotButton="0" quotePrefix="0" xfId="1">
      <alignment horizontal="left" vertical="top" wrapText="1"/>
      <protection locked="0" hidden="0"/>
    </xf>
    <xf numFmtId="0" fontId="0" fillId="0" borderId="8" applyProtection="1" pivotButton="0" quotePrefix="0" xfId="0">
      <protection locked="0" hidden="0"/>
    </xf>
    <xf numFmtId="0" fontId="0" fillId="0" borderId="10" applyProtection="1" pivotButton="0" quotePrefix="0" xfId="0">
      <protection locked="0" hidden="0"/>
    </xf>
    <xf numFmtId="164" fontId="2" fillId="0" borderId="8" applyAlignment="1" applyProtection="1" pivotButton="0" quotePrefix="0" xfId="1">
      <alignment horizontal="distributed" vertical="center"/>
      <protection locked="1" hidden="1"/>
    </xf>
    <xf numFmtId="0" fontId="22" fillId="0" borderId="0" applyAlignment="1" applyProtection="1" pivotButton="0" quotePrefix="0" xfId="1">
      <alignment horizontal="distributed" vertical="center"/>
      <protection locked="1" hidden="1"/>
    </xf>
    <xf numFmtId="0" fontId="0" fillId="0" borderId="0" applyProtection="1" pivotButton="0" quotePrefix="0" xfId="0">
      <protection locked="1" hidden="1"/>
    </xf>
    <xf numFmtId="0" fontId="2" fillId="0" borderId="10" applyAlignment="1" applyProtection="1" pivotButton="0" quotePrefix="0" xfId="1">
      <alignment horizontal="left" vertical="center"/>
      <protection locked="1" hidden="1"/>
    </xf>
    <xf numFmtId="0" fontId="21" fillId="0" borderId="13" applyAlignment="1" applyProtection="1" pivotButton="0" quotePrefix="0" xfId="1">
      <alignment horizontal="center" vertical="center"/>
      <protection locked="1" hidden="1"/>
    </xf>
    <xf numFmtId="0" fontId="3" fillId="0" borderId="11" applyAlignment="1" applyProtection="1" pivotButton="0" quotePrefix="0" xfId="1">
      <alignment horizontal="distributed" vertical="center"/>
      <protection locked="1" hidden="1"/>
    </xf>
    <xf numFmtId="0" fontId="3" fillId="0" borderId="5" applyAlignment="1" applyProtection="1" pivotButton="0" quotePrefix="0" xfId="1">
      <alignment horizontal="center" vertical="center" wrapText="1"/>
      <protection locked="1" hidden="1"/>
    </xf>
    <xf numFmtId="0" fontId="2" fillId="0" borderId="0" applyAlignment="1" applyProtection="1" pivotButton="0" quotePrefix="0" xfId="1">
      <alignment vertical="center"/>
      <protection locked="1" hidden="1"/>
    </xf>
    <xf numFmtId="0" fontId="3" fillId="0" borderId="25" applyAlignment="1" applyProtection="1" pivotButton="0" quotePrefix="0" xfId="1">
      <alignment horizontal="distributed" vertical="distributed" wrapText="1"/>
      <protection locked="1" hidden="1"/>
    </xf>
    <xf numFmtId="0" fontId="21" fillId="0" borderId="5" applyAlignment="1" applyProtection="1" pivotButton="0" quotePrefix="0" xfId="1">
      <alignment horizontal="distributed" vertical="center"/>
      <protection locked="1" hidden="1"/>
    </xf>
    <xf numFmtId="0" fontId="2" fillId="0" borderId="0" applyAlignment="1" applyProtection="1" pivotButton="0" quotePrefix="0" xfId="1">
      <alignment horizontal="distributed" vertical="center"/>
      <protection locked="1" hidden="1"/>
    </xf>
    <xf numFmtId="0" fontId="21" fillId="0" borderId="5" applyAlignment="1" applyProtection="1" pivotButton="0" quotePrefix="0" xfId="1">
      <alignment horizontal="left" vertical="center" wrapText="1"/>
      <protection locked="1" hidden="1"/>
    </xf>
    <xf numFmtId="0" fontId="2" fillId="0" borderId="19" applyAlignment="1" applyProtection="1" pivotButton="0" quotePrefix="0" xfId="1">
      <alignment horizontal="distributed" vertical="center"/>
      <protection locked="1" hidden="1"/>
    </xf>
    <xf numFmtId="0" fontId="3" fillId="0" borderId="5" applyAlignment="1" applyProtection="1" pivotButton="0" quotePrefix="0" xfId="1">
      <alignment horizontal="center" vertical="center"/>
      <protection locked="1" hidden="1"/>
    </xf>
    <xf numFmtId="0" fontId="2" fillId="0" borderId="0" applyAlignment="1" applyProtection="1" pivotButton="0" quotePrefix="0" xfId="1">
      <alignment horizontal="left" vertical="center"/>
      <protection locked="1" hidden="1"/>
    </xf>
    <xf numFmtId="0" fontId="5" fillId="0" borderId="5" applyAlignment="1" pivotButton="0" quotePrefix="0" xfId="0">
      <alignment horizontal="left" vertical="center" wrapText="1"/>
    </xf>
    <xf numFmtId="0" fontId="6" fillId="0" borderId="5" applyAlignment="1" pivotButton="0" quotePrefix="0" xfId="0">
      <alignment horizontal="left" vertical="center" shrinkToFit="1"/>
    </xf>
    <xf numFmtId="0" fontId="5" fillId="0" borderId="5" applyAlignment="1" pivotButton="0" quotePrefix="0" xfId="0">
      <alignment horizontal="left" vertical="center" shrinkToFit="1"/>
    </xf>
    <xf numFmtId="0" fontId="6" fillId="0" borderId="5" applyAlignment="1" pivotButton="0" quotePrefix="0" xfId="0">
      <alignment horizontal="left" vertical="justify" wrapText="1"/>
    </xf>
    <xf numFmtId="0" fontId="72" fillId="0" borderId="5" applyAlignment="1" pivotButton="0" quotePrefix="0" xfId="0">
      <alignment horizontal="left" vertical="center" shrinkToFit="1"/>
    </xf>
    <xf numFmtId="0" fontId="26" fillId="0" borderId="25"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5" applyAlignment="1" pivotButton="0" quotePrefix="0" xfId="0">
      <alignment horizontal="left" vertical="center" wrapText="1"/>
    </xf>
    <xf numFmtId="0" fontId="5" fillId="0" borderId="0" applyAlignment="1" pivotButton="0" quotePrefix="0" xfId="0">
      <alignment horizontal="center" vertical="center"/>
    </xf>
    <xf numFmtId="0" fontId="6" fillId="0" borderId="193" applyAlignment="1" pivotButton="0" quotePrefix="0" xfId="0">
      <alignment horizontal="center" vertical="distributed" textRotation="255"/>
    </xf>
    <xf numFmtId="0" fontId="0" fillId="0" borderId="38" pivotButton="0" quotePrefix="0" xfId="0"/>
    <xf numFmtId="0" fontId="6" fillId="0" borderId="43" applyAlignment="1" pivotButton="0" quotePrefix="0" xfId="0">
      <alignment horizontal="right" vertical="center"/>
    </xf>
    <xf numFmtId="0" fontId="0" fillId="0" borderId="43" pivotButton="0" quotePrefix="0" xfId="0"/>
    <xf numFmtId="173" fontId="30" fillId="0" borderId="48" applyAlignment="1" pivotButton="0" quotePrefix="0" xfId="0">
      <alignment horizontal="center" vertical="center"/>
    </xf>
    <xf numFmtId="0" fontId="0" fillId="0" borderId="37" pivotButton="0" quotePrefix="0" xfId="0"/>
    <xf numFmtId="0" fontId="0" fillId="0" borderId="46" pivotButton="0" quotePrefix="0" xfId="0"/>
    <xf numFmtId="0" fontId="0" fillId="0" borderId="48" pivotButton="0" quotePrefix="0" xfId="0"/>
    <xf numFmtId="0" fontId="6" fillId="0" borderId="45" applyAlignment="1" pivotButton="0" quotePrefix="0" xfId="0">
      <alignment horizontal="distributed" vertical="center"/>
    </xf>
    <xf numFmtId="0" fontId="0" fillId="0" borderId="45" pivotButton="0" quotePrefix="0" xfId="0"/>
    <xf numFmtId="0" fontId="6" fillId="0" borderId="195" applyAlignment="1" pivotButton="0" quotePrefix="0" xfId="0">
      <alignment horizontal="distributed" vertical="center" wrapText="1"/>
    </xf>
    <xf numFmtId="0" fontId="30" fillId="0" borderId="187" applyAlignment="1" pivotButton="0" quotePrefix="0" xfId="0">
      <alignment horizontal="left" vertical="center"/>
    </xf>
    <xf numFmtId="0" fontId="0" fillId="0" borderId="200" pivotButton="0" quotePrefix="0" xfId="0"/>
    <xf numFmtId="0" fontId="0" fillId="0" borderId="199" pivotButton="0" quotePrefix="0" xfId="0"/>
    <xf numFmtId="0" fontId="30" fillId="0" borderId="14" applyAlignment="1" pivotButton="0" quotePrefix="0" xfId="0">
      <alignment horizontal="left" vertical="center"/>
    </xf>
    <xf numFmtId="0" fontId="30" fillId="0" borderId="16" applyAlignment="1" pivotButton="0" quotePrefix="0" xfId="0">
      <alignment horizontal="left" vertical="top"/>
    </xf>
    <xf numFmtId="0" fontId="0" fillId="0" borderId="0" pivotButton="0" quotePrefix="0" xfId="0"/>
    <xf numFmtId="173" fontId="30" fillId="0" borderId="10" applyAlignment="1" pivotButton="0" quotePrefix="0" xfId="0">
      <alignment horizontal="distributed" vertical="center"/>
    </xf>
    <xf numFmtId="0" fontId="30" fillId="0" borderId="18" applyAlignment="1" pivotButton="0" quotePrefix="0" xfId="0">
      <alignment horizontal="left" vertical="top" wrapText="1"/>
    </xf>
    <xf numFmtId="0" fontId="30" fillId="0" borderId="20" applyAlignment="1" pivotButton="0" quotePrefix="0" xfId="0">
      <alignment horizontal="center" vertical="center"/>
    </xf>
    <xf numFmtId="0" fontId="30" fillId="0" borderId="5" applyAlignment="1" pivotButton="0" quotePrefix="0" xfId="0">
      <alignment horizontal="left" vertical="center"/>
    </xf>
    <xf numFmtId="0" fontId="30" fillId="0" borderId="188" applyAlignment="1" pivotButton="0" quotePrefix="0" xfId="0">
      <alignment horizontal="distributed" vertical="center"/>
    </xf>
    <xf numFmtId="0" fontId="0" fillId="0" borderId="197" pivotButton="0" quotePrefix="0" xfId="0"/>
    <xf numFmtId="0" fontId="30" fillId="0" borderId="188" applyAlignment="1" pivotButton="0" quotePrefix="0" xfId="0">
      <alignment horizontal="center" vertical="center"/>
    </xf>
    <xf numFmtId="0" fontId="0" fillId="0" borderId="198" pivotButton="0" quotePrefix="0" xfId="0"/>
    <xf numFmtId="0" fontId="30" fillId="0" borderId="11" applyAlignment="1" pivotButton="0" quotePrefix="0" xfId="0">
      <alignment horizontal="center" vertical="center"/>
    </xf>
    <xf numFmtId="0" fontId="9" fillId="0" borderId="0" applyAlignment="1" pivotButton="0" quotePrefix="0" xfId="0">
      <alignment horizontal="center" vertical="center"/>
    </xf>
    <xf numFmtId="0" fontId="30" fillId="0" borderId="9" applyAlignment="1" pivotButton="0" quotePrefix="0" xfId="0">
      <alignment horizontal="center" vertical="center"/>
    </xf>
    <xf numFmtId="0" fontId="30" fillId="0" borderId="5" applyAlignment="1" pivotButton="0" quotePrefix="0" xfId="0">
      <alignment horizontal="center" vertical="center"/>
    </xf>
    <xf numFmtId="0" fontId="30" fillId="0" borderId="188" applyAlignment="1" pivotButton="0" quotePrefix="0" xfId="0">
      <alignment horizontal="left" vertical="center"/>
    </xf>
    <xf numFmtId="0" fontId="30" fillId="0" borderId="16" applyAlignment="1" pivotButton="0" quotePrefix="0" xfId="0">
      <alignment horizontal="left" vertical="top" wrapText="1"/>
    </xf>
    <xf numFmtId="0" fontId="30" fillId="0" borderId="196" applyAlignment="1" pivotButton="0" quotePrefix="0" xfId="0">
      <alignment horizontal="distributed" vertical="center"/>
    </xf>
    <xf numFmtId="0" fontId="0" fillId="0" borderId="185" pivotButton="0" quotePrefix="0" xfId="0"/>
    <xf numFmtId="0" fontId="0" fillId="0" borderId="186" pivotButton="0" quotePrefix="0" xfId="0"/>
    <xf numFmtId="0" fontId="30" fillId="0" borderId="25" applyAlignment="1" pivotButton="0" quotePrefix="0" xfId="0">
      <alignment horizontal="distributed" vertical="center"/>
    </xf>
    <xf numFmtId="0" fontId="30" fillId="0" borderId="187" applyAlignment="1" pivotButton="0" quotePrefix="0" xfId="0">
      <alignment horizontal="distributed" vertical="center"/>
    </xf>
    <xf numFmtId="0" fontId="30" fillId="0" borderId="186" applyAlignment="1" pivotButton="0" quotePrefix="0" xfId="0">
      <alignment horizontal="left" vertical="top" wrapText="1"/>
    </xf>
    <xf numFmtId="0" fontId="0" fillId="0" borderId="189" pivotButton="0" quotePrefix="0" xfId="0"/>
    <xf numFmtId="170" fontId="5" fillId="0" borderId="0" applyAlignment="1" pivotButton="0" quotePrefix="0" xfId="0">
      <alignment horizontal="left" vertical="center"/>
    </xf>
    <xf numFmtId="0" fontId="30" fillId="0" borderId="0" applyAlignment="1" pivotButton="0" quotePrefix="0" xfId="0">
      <alignment horizontal="left" vertical="center" wrapText="1"/>
    </xf>
    <xf numFmtId="0" fontId="101" fillId="0" borderId="184" applyAlignment="1" pivotButton="0" quotePrefix="0" xfId="0">
      <alignment horizontal="center" vertical="center"/>
    </xf>
    <xf numFmtId="0" fontId="30" fillId="0" borderId="0" applyAlignment="1" pivotButton="0" quotePrefix="0" xfId="0">
      <alignment horizontal="center" vertical="center"/>
    </xf>
    <xf numFmtId="0" fontId="5" fillId="0" borderId="183" applyAlignment="1" pivotButton="0" quotePrefix="0" xfId="0">
      <alignment horizontal="center" vertical="center"/>
    </xf>
    <xf numFmtId="0" fontId="0" fillId="0" borderId="183" pivotButton="0" quotePrefix="0" xfId="0"/>
    <xf numFmtId="0" fontId="30" fillId="0" borderId="0" applyAlignment="1" pivotButton="0" quotePrefix="0" xfId="0">
      <alignment horizontal="left" vertical="top"/>
    </xf>
    <xf numFmtId="0" fontId="5" fillId="0" borderId="0" applyAlignment="1" pivotButton="0" quotePrefix="0" xfId="0">
      <alignment horizontal="left" vertical="center" wrapText="1"/>
    </xf>
    <xf numFmtId="0" fontId="30" fillId="0" borderId="0" applyAlignment="1" pivotButton="0" quotePrefix="0" xfId="0">
      <alignment horizontal="center" vertical="top"/>
    </xf>
    <xf numFmtId="0" fontId="7" fillId="0" borderId="0" applyAlignment="1" applyProtection="1" pivotButton="0" quotePrefix="0" xfId="0">
      <alignment horizontal="distributed" vertical="center"/>
      <protection locked="1" hidden="1"/>
    </xf>
    <xf numFmtId="0" fontId="7" fillId="0" borderId="0" applyAlignment="1" applyProtection="1" pivotButton="0" quotePrefix="0" xfId="0">
      <alignment horizontal="left" vertical="center" wrapText="1"/>
      <protection locked="1" hidden="1"/>
    </xf>
    <xf numFmtId="0" fontId="7" fillId="0" borderId="0" applyAlignment="1" applyProtection="1" pivotButton="0" quotePrefix="0" xfId="0">
      <alignment horizontal="left" vertical="center"/>
      <protection locked="1" hidden="1"/>
    </xf>
    <xf numFmtId="0" fontId="7" fillId="0" borderId="0" applyAlignment="1" applyProtection="1" pivotButton="0" quotePrefix="0" xfId="0">
      <alignment horizontal="center" vertical="center"/>
      <protection locked="1" hidden="1"/>
    </xf>
    <xf numFmtId="0" fontId="7" fillId="0" borderId="0" applyAlignment="1" applyProtection="1" pivotButton="0" quotePrefix="0" xfId="0">
      <alignment horizontal="left" vertical="distributed" wrapText="1"/>
      <protection locked="1" hidden="1"/>
    </xf>
    <xf numFmtId="0" fontId="11" fillId="0" borderId="0" applyAlignment="1" applyProtection="1" pivotButton="0" quotePrefix="0" xfId="0">
      <alignment horizontal="distributed" vertical="center"/>
      <protection locked="1" hidden="1"/>
    </xf>
    <xf numFmtId="0" fontId="17" fillId="0" borderId="0" applyAlignment="1" applyProtection="1" pivotButton="0" quotePrefix="0" xfId="0">
      <alignment horizontal="left" vertical="distributed" wrapText="1"/>
      <protection locked="1" hidden="1"/>
    </xf>
    <xf numFmtId="0" fontId="13" fillId="0" borderId="0" applyAlignment="1" applyProtection="1" pivotButton="0" quotePrefix="0" xfId="0">
      <alignment horizontal="distributed" vertical="center"/>
      <protection locked="1" hidden="1"/>
    </xf>
    <xf numFmtId="0" fontId="19" fillId="0" borderId="0" applyAlignment="1" applyProtection="1" pivotButton="0" quotePrefix="0" xfId="0">
      <alignment horizontal="center" vertical="center"/>
      <protection locked="1" hidden="1"/>
    </xf>
    <xf numFmtId="0" fontId="27" fillId="0" borderId="80" applyAlignment="1" pivotButton="0" quotePrefix="0" xfId="0">
      <alignment horizontal="distributed" vertical="center"/>
    </xf>
    <xf numFmtId="0" fontId="0" fillId="0" borderId="58" pivotButton="0" quotePrefix="0" xfId="0"/>
    <xf numFmtId="0" fontId="0" fillId="0" borderId="75" pivotButton="0" quotePrefix="0" xfId="0"/>
    <xf numFmtId="0" fontId="27" fillId="0" borderId="5" applyAlignment="1" pivotButton="0" quotePrefix="0" xfId="0">
      <alignment horizontal="distributed" vertical="center"/>
    </xf>
    <xf numFmtId="0" fontId="31" fillId="0" borderId="61" applyAlignment="1" pivotButton="0" quotePrefix="0" xfId="0">
      <alignment horizontal="center" vertical="center" wrapText="1"/>
    </xf>
    <xf numFmtId="164" fontId="31" fillId="0" borderId="0" applyAlignment="1" pivotButton="0" quotePrefix="0" xfId="0">
      <alignment horizontal="center" vertical="top" wrapText="1"/>
    </xf>
    <xf numFmtId="0" fontId="31" fillId="0" borderId="50" applyAlignment="1" pivotButton="0" quotePrefix="0" xfId="0">
      <alignment horizontal="left" vertical="top" wrapText="1"/>
    </xf>
    <xf numFmtId="0" fontId="0" fillId="0" borderId="50" pivotButton="0" quotePrefix="0" xfId="0"/>
    <xf numFmtId="173" fontId="26" fillId="0" borderId="5" applyAlignment="1" pivotButton="0" quotePrefix="0" xfId="0">
      <alignment horizontal="distributed" vertical="center"/>
    </xf>
    <xf numFmtId="0" fontId="27" fillId="0" borderId="61" applyAlignment="1" pivotButton="0" quotePrefix="0" xfId="0">
      <alignment horizontal="distributed" vertical="center"/>
    </xf>
    <xf numFmtId="0" fontId="27" fillId="0" borderId="61" applyAlignment="1" pivotButton="0" quotePrefix="0" xfId="0">
      <alignment horizontal="center" vertical="distributed" textRotation="255"/>
    </xf>
    <xf numFmtId="0" fontId="0" fillId="0" borderId="28" pivotButton="0" quotePrefix="0" xfId="0"/>
    <xf numFmtId="0" fontId="0" fillId="0" borderId="66" pivotButton="0" quotePrefix="0" xfId="0"/>
    <xf numFmtId="0" fontId="68" fillId="0" borderId="5" applyAlignment="1" pivotButton="0" quotePrefix="0" xfId="0">
      <alignment horizontal="left" vertical="center" wrapText="1"/>
    </xf>
    <xf numFmtId="0" fontId="31" fillId="0" borderId="62" applyAlignment="1" pivotButton="0" quotePrefix="0" xfId="0">
      <alignment horizontal="left" vertical="top" wrapText="1"/>
    </xf>
    <xf numFmtId="0" fontId="0" fillId="0" borderId="62" pivotButton="0" quotePrefix="0" xfId="0"/>
    <xf numFmtId="0" fontId="68" fillId="0" borderId="0" applyAlignment="1" pivotButton="0" quotePrefix="0" xfId="0">
      <alignment horizontal="left" vertical="top" wrapText="1"/>
    </xf>
    <xf numFmtId="0" fontId="27" fillId="0" borderId="204" applyAlignment="1" applyProtection="1" pivotButton="0" quotePrefix="0" xfId="0">
      <alignment horizontal="center" vertical="center" wrapText="1"/>
      <protection locked="1" hidden="1"/>
    </xf>
    <xf numFmtId="0" fontId="0" fillId="0" borderId="206" applyProtection="1" pivotButton="0" quotePrefix="0" xfId="0">
      <protection locked="1" hidden="1"/>
    </xf>
    <xf numFmtId="0" fontId="0" fillId="0" borderId="51" applyProtection="1" pivotButton="0" quotePrefix="0" xfId="0">
      <protection locked="1" hidden="1"/>
    </xf>
    <xf numFmtId="0" fontId="30" fillId="0" borderId="207" applyAlignment="1" applyProtection="1" pivotButton="0" quotePrefix="0" xfId="0">
      <alignment horizontal="left" vertical="center" wrapText="1"/>
      <protection locked="1" hidden="1"/>
    </xf>
    <xf numFmtId="0" fontId="0" fillId="0" borderId="208" applyProtection="1" pivotButton="0" quotePrefix="0" xfId="0">
      <protection locked="1" hidden="1"/>
    </xf>
    <xf numFmtId="0" fontId="0" fillId="0" borderId="28" applyProtection="1" pivotButton="0" quotePrefix="0" xfId="0">
      <protection locked="1" hidden="1"/>
    </xf>
    <xf numFmtId="0" fontId="0" fillId="0" borderId="50" applyProtection="1" pivotButton="0" quotePrefix="0" xfId="0">
      <protection locked="1" hidden="1"/>
    </xf>
    <xf numFmtId="0" fontId="5" fillId="0" borderId="58" applyAlignment="1" applyProtection="1" pivotButton="0" quotePrefix="0" xfId="0">
      <alignment horizontal="left" vertical="top" wrapText="1"/>
      <protection locked="1" hidden="1"/>
    </xf>
    <xf numFmtId="0" fontId="0" fillId="0" borderId="58" applyProtection="1" pivotButton="0" quotePrefix="0" xfId="0">
      <protection locked="1" hidden="1"/>
    </xf>
    <xf numFmtId="0" fontId="6" fillId="0" borderId="201" applyAlignment="1" applyProtection="1" pivotButton="0" quotePrefix="0" xfId="0">
      <alignment horizontal="left" vertical="center" wrapText="1"/>
      <protection locked="1" hidden="1"/>
    </xf>
    <xf numFmtId="0" fontId="7" fillId="0" borderId="63" applyAlignment="1" applyProtection="1" pivotButton="0" quotePrefix="0" xfId="0">
      <alignment horizontal="distributed" vertical="center" wrapText="1" justifyLastLine="1"/>
      <protection locked="1" hidden="1"/>
    </xf>
    <xf numFmtId="0" fontId="0" fillId="0" borderId="60" applyProtection="1" pivotButton="0" quotePrefix="0" xfId="0">
      <protection locked="1" hidden="1"/>
    </xf>
    <xf numFmtId="0" fontId="6" fillId="0" borderId="50" applyAlignment="1" applyProtection="1" pivotButton="0" quotePrefix="0" xfId="0">
      <alignment horizontal="center" vertical="center" wrapText="1"/>
      <protection locked="1" hidden="1"/>
    </xf>
    <xf numFmtId="0" fontId="5" fillId="0" borderId="63" applyAlignment="1" applyProtection="1" pivotButton="0" quotePrefix="0" xfId="0">
      <alignment horizontal="left" vertical="top" wrapText="1"/>
      <protection locked="1" hidden="1"/>
    </xf>
    <xf numFmtId="0" fontId="6" fillId="0" borderId="202" applyAlignment="1" applyProtection="1" pivotButton="0" quotePrefix="0" xfId="0">
      <alignment horizontal="left" vertical="center" wrapText="1"/>
      <protection locked="1" hidden="1"/>
    </xf>
    <xf numFmtId="0" fontId="0" fillId="0" borderId="65" applyProtection="1" pivotButton="0" quotePrefix="0" xfId="0">
      <protection locked="1" hidden="1"/>
    </xf>
    <xf numFmtId="0" fontId="6" fillId="0" borderId="47" applyAlignment="1" applyProtection="1" pivotButton="0" quotePrefix="0" xfId="0">
      <alignment horizontal="center" vertical="center" wrapText="1"/>
      <protection locked="1" hidden="1"/>
    </xf>
    <xf numFmtId="0" fontId="0" fillId="0" borderId="46" applyProtection="1" pivotButton="0" quotePrefix="0" xfId="0">
      <protection locked="1" hidden="1"/>
    </xf>
    <xf numFmtId="0" fontId="0" fillId="0" borderId="47" applyProtection="1" pivotButton="0" quotePrefix="0" xfId="0">
      <protection locked="1" hidden="1"/>
    </xf>
    <xf numFmtId="0" fontId="18" fillId="0" borderId="0" applyAlignment="1" pivotButton="0" quotePrefix="0" xfId="0">
      <alignment horizontal="center" vertical="center"/>
    </xf>
    <xf numFmtId="0" fontId="16" fillId="0" borderId="0" applyAlignment="1" pivotButton="0" quotePrefix="0" xfId="0">
      <alignment horizontal="center" vertical="center"/>
    </xf>
    <xf numFmtId="0" fontId="10" fillId="0" borderId="0" applyAlignment="1" pivotButton="0" quotePrefix="0" xfId="0">
      <alignment horizontal="left" vertical="center"/>
    </xf>
    <xf numFmtId="0" fontId="7" fillId="0" borderId="0" applyAlignment="1" pivotButton="0" quotePrefix="0" xfId="0">
      <alignment horizontal="left" vertical="center"/>
    </xf>
    <xf numFmtId="0" fontId="10" fillId="0" borderId="0" applyAlignment="1" pivotButton="0" quotePrefix="0" xfId="0">
      <alignment horizontal="left" vertical="distributed" wrapText="1"/>
    </xf>
    <xf numFmtId="0" fontId="40" fillId="0" borderId="0" applyAlignment="1" pivotButton="0" quotePrefix="0" xfId="0">
      <alignment vertical="center"/>
    </xf>
    <xf numFmtId="0" fontId="40" fillId="0" borderId="0" applyAlignment="1" pivotButton="0" quotePrefix="0" xfId="0">
      <alignment vertical="distributed"/>
    </xf>
    <xf numFmtId="0" fontId="6" fillId="0" borderId="0" applyAlignment="1" pivotButton="0" quotePrefix="0" xfId="0">
      <alignment horizontal="left" vertical="center"/>
    </xf>
    <xf numFmtId="0" fontId="6" fillId="0" borderId="201" applyAlignment="1" pivotButton="0" quotePrefix="0" xfId="0">
      <alignment vertical="center" wrapText="1"/>
    </xf>
    <xf numFmtId="0" fontId="5" fillId="0" borderId="5" applyAlignment="1" pivotButton="0" quotePrefix="0" xfId="0">
      <alignment horizontal="distributed" vertical="center" wrapText="1"/>
    </xf>
    <xf numFmtId="0" fontId="6" fillId="0" borderId="13" applyAlignment="1" pivotButton="0" quotePrefix="0" xfId="0">
      <alignment horizontal="left" vertical="center" wrapText="1"/>
    </xf>
    <xf numFmtId="0" fontId="6" fillId="0" borderId="201" applyAlignment="1" pivotButton="0" quotePrefix="0" xfId="0">
      <alignment horizontal="justify" vertical="center" wrapText="1"/>
    </xf>
    <xf numFmtId="0" fontId="6" fillId="0" borderId="209" applyAlignment="1" pivotButton="0" quotePrefix="0" xfId="0">
      <alignment horizontal="justify" vertical="center" wrapText="1"/>
    </xf>
    <xf numFmtId="0" fontId="0" fillId="0" borderId="210" pivotButton="0" quotePrefix="0" xfId="0"/>
    <xf numFmtId="0" fontId="0" fillId="0" borderId="211" pivotButton="0" quotePrefix="0" xfId="0"/>
    <xf numFmtId="0" fontId="7" fillId="0" borderId="74" applyAlignment="1" pivotButton="0" quotePrefix="0" xfId="0">
      <alignment horizontal="center" vertical="center" wrapText="1"/>
    </xf>
    <xf numFmtId="0" fontId="5" fillId="0" borderId="58" applyAlignment="1" pivotButton="0" quotePrefix="0" xfId="0">
      <alignment horizontal="left" vertical="center"/>
    </xf>
    <xf numFmtId="0" fontId="6" fillId="0" borderId="58" applyAlignment="1" pivotButton="0" quotePrefix="0" xfId="0">
      <alignment horizontal="left" vertical="center" wrapText="1"/>
    </xf>
    <xf numFmtId="0" fontId="5" fillId="0" borderId="61" applyAlignment="1" pivotButton="0" quotePrefix="0" xfId="0">
      <alignment horizontal="distributed" vertical="center" wrapText="1"/>
    </xf>
    <xf numFmtId="0" fontId="0" fillId="0" borderId="190" pivotButton="0" quotePrefix="0" xfId="0"/>
    <xf numFmtId="0" fontId="5" fillId="0" borderId="0" applyAlignment="1" pivotButton="0" quotePrefix="0" xfId="0">
      <alignment horizontal="left" vertical="center"/>
    </xf>
    <xf numFmtId="0" fontId="5" fillId="11" borderId="5" applyAlignment="1" pivotButton="0" quotePrefix="0" xfId="0">
      <alignment horizontal="center" vertical="center" wrapText="1"/>
    </xf>
    <xf numFmtId="0" fontId="66" fillId="13" borderId="25" applyAlignment="1" pivotButton="0" quotePrefix="0" xfId="0">
      <alignment horizontal="left" vertical="center" wrapText="1"/>
    </xf>
    <xf numFmtId="0" fontId="5" fillId="0" borderId="68" applyAlignment="1" pivotButton="0" quotePrefix="0" xfId="0">
      <alignment horizontal="left" vertical="center" wrapText="1"/>
    </xf>
    <xf numFmtId="0" fontId="0" fillId="0" borderId="0" applyAlignment="1" pivotButton="0" quotePrefix="0" xfId="0">
      <alignment vertical="center"/>
    </xf>
    <xf numFmtId="0" fontId="0" fillId="0" borderId="76" pivotButton="0" quotePrefix="0" xfId="0"/>
    <xf numFmtId="0" fontId="0" fillId="0" borderId="109" pivotButton="0" quotePrefix="0" xfId="0"/>
    <xf numFmtId="0" fontId="59" fillId="0" borderId="5" applyAlignment="1" pivotButton="0" quotePrefix="0" xfId="0">
      <alignment horizontal="distributed" vertical="center" wrapText="1"/>
    </xf>
    <xf numFmtId="0" fontId="5" fillId="0" borderId="29" applyAlignment="1" pivotButton="0" quotePrefix="0" xfId="0">
      <alignment horizontal="left" vertical="top" wrapText="1"/>
    </xf>
    <xf numFmtId="0" fontId="27" fillId="11" borderId="25" applyAlignment="1" pivotButton="0" quotePrefix="0" xfId="0">
      <alignment horizontal="center" vertical="center" wrapText="1"/>
    </xf>
    <xf numFmtId="0" fontId="24" fillId="11" borderId="5" applyAlignment="1" pivotButton="0" quotePrefix="0" xfId="0">
      <alignment horizontal="center" vertical="center" wrapText="1"/>
    </xf>
    <xf numFmtId="0" fontId="60" fillId="0" borderId="214" applyAlignment="1" pivotButton="0" quotePrefix="0" xfId="0">
      <alignment horizontal="left" vertical="center" wrapText="1"/>
    </xf>
    <xf numFmtId="0" fontId="24" fillId="11" borderId="11" applyAlignment="1" pivotButton="0" quotePrefix="0" xfId="0">
      <alignment horizontal="center" vertical="center" wrapText="1"/>
    </xf>
    <xf numFmtId="0" fontId="26" fillId="5" borderId="5" applyAlignment="1" pivotButton="0" quotePrefix="0" xfId="0">
      <alignment horizontal="center" vertical="center" wrapText="1"/>
    </xf>
    <xf numFmtId="0" fontId="5" fillId="0" borderId="98" applyAlignment="1" pivotButton="0" quotePrefix="0" xfId="0">
      <alignment horizontal="left" vertical="center" wrapText="1"/>
    </xf>
    <xf numFmtId="0" fontId="0" fillId="0" borderId="203" pivotButton="0" quotePrefix="0" xfId="0"/>
    <xf numFmtId="0" fontId="0" fillId="0" borderId="65" pivotButton="0" quotePrefix="0" xfId="0"/>
    <xf numFmtId="0" fontId="5" fillId="11" borderId="25" applyAlignment="1" pivotButton="0" quotePrefix="0" xfId="0">
      <alignment horizontal="left" vertical="center" wrapText="1"/>
    </xf>
    <xf numFmtId="0" fontId="5" fillId="11" borderId="25" applyAlignment="1" pivotButton="0" quotePrefix="0" xfId="0">
      <alignment horizontal="center" vertical="center" wrapText="1"/>
    </xf>
    <xf numFmtId="0" fontId="5" fillId="0" borderId="29" applyAlignment="1" pivotButton="0" quotePrefix="0" xfId="0">
      <alignment horizontal="left" vertical="center" wrapText="1"/>
    </xf>
    <xf numFmtId="0" fontId="31" fillId="14" borderId="5" applyAlignment="1" pivotButton="0" quotePrefix="0" xfId="0">
      <alignment horizontal="center" vertical="center" wrapText="1"/>
    </xf>
    <xf numFmtId="0" fontId="107" fillId="12" borderId="190" applyAlignment="1" pivotButton="0" quotePrefix="0" xfId="0">
      <alignment horizontal="center" vertical="center" wrapText="1"/>
    </xf>
    <xf numFmtId="0" fontId="5" fillId="0" borderId="25" applyAlignment="1" pivotButton="0" quotePrefix="0" xfId="0">
      <alignment horizontal="left" vertical="center" wrapText="1"/>
    </xf>
    <xf numFmtId="0" fontId="65" fillId="0" borderId="212" applyAlignment="1" pivotButton="0" quotePrefix="0" xfId="0">
      <alignment horizontal="left" wrapText="1"/>
    </xf>
    <xf numFmtId="0" fontId="0" fillId="0" borderId="213" pivotButton="0" quotePrefix="0" xfId="0"/>
    <xf numFmtId="0" fontId="0" fillId="0" borderId="47" pivotButton="0" quotePrefix="0" xfId="0"/>
    <xf numFmtId="0" fontId="109" fillId="5" borderId="215" applyAlignment="1" pivotButton="0" quotePrefix="0" xfId="0">
      <alignment horizontal="left" vertical="center" wrapText="1"/>
    </xf>
    <xf numFmtId="0" fontId="0" fillId="0" borderId="82" pivotButton="0" quotePrefix="0" xfId="0"/>
    <xf numFmtId="0" fontId="0" fillId="0" borderId="81" pivotButton="0" quotePrefix="0" xfId="0"/>
    <xf numFmtId="0" fontId="63" fillId="13" borderId="29" applyAlignment="1" pivotButton="0" quotePrefix="0" xfId="0">
      <alignment horizontal="left" vertical="center" wrapText="1"/>
    </xf>
    <xf numFmtId="0" fontId="5" fillId="0" borderId="11" applyAlignment="1" pivotButton="0" quotePrefix="0" xfId="0">
      <alignment horizontal="center" vertical="center" wrapText="1"/>
    </xf>
    <xf numFmtId="0" fontId="5" fillId="11" borderId="11" applyAlignment="1" pivotButton="0" quotePrefix="0" xfId="0">
      <alignment horizontal="center" vertical="center" wrapText="1"/>
    </xf>
    <xf numFmtId="0" fontId="60" fillId="0" borderId="25" applyAlignment="1" pivotButton="0" quotePrefix="0" xfId="0">
      <alignment horizontal="left" vertical="center" wrapText="1"/>
    </xf>
    <xf numFmtId="0" fontId="60" fillId="0" borderId="29" applyAlignment="1" pivotButton="0" quotePrefix="0" xfId="0">
      <alignment horizontal="left" vertical="center" wrapText="1"/>
    </xf>
    <xf numFmtId="0" fontId="72" fillId="11" borderId="11" applyAlignment="1" pivotButton="0" quotePrefix="0" xfId="0">
      <alignment horizontal="left" vertical="center" wrapText="1"/>
    </xf>
    <xf numFmtId="0" fontId="5" fillId="11" borderId="29" applyAlignment="1" pivotButton="0" quotePrefix="0" xfId="0">
      <alignment horizontal="center" vertical="center" wrapText="1"/>
    </xf>
    <xf numFmtId="0" fontId="31" fillId="13" borderId="11" applyAlignment="1" pivotButton="0" quotePrefix="0" xfId="0">
      <alignment horizontal="left" vertical="top" wrapText="1"/>
    </xf>
    <xf numFmtId="0" fontId="5" fillId="0" borderId="190" applyAlignment="1" pivotButton="0" quotePrefix="0" xfId="0">
      <alignment horizontal="left" vertical="center" wrapText="1"/>
    </xf>
    <xf numFmtId="0" fontId="49" fillId="11" borderId="11" applyAlignment="1" pivotButton="0" quotePrefix="0" xfId="0">
      <alignment horizontal="left" wrapText="1"/>
    </xf>
    <xf numFmtId="0" fontId="58" fillId="5" borderId="10" applyAlignment="1" pivotButton="0" quotePrefix="0" xfId="0">
      <alignment horizontal="center" vertical="center" wrapText="1"/>
    </xf>
    <xf numFmtId="0" fontId="5" fillId="0" borderId="69" applyAlignment="1" pivotButton="0" quotePrefix="0" xfId="0">
      <alignment horizontal="center" vertical="center" wrapText="1"/>
    </xf>
    <xf numFmtId="0" fontId="0" fillId="0" borderId="216" pivotButton="0" quotePrefix="0" xfId="0"/>
    <xf numFmtId="0" fontId="5" fillId="0" borderId="11" applyAlignment="1" pivotButton="0" quotePrefix="0" xfId="0">
      <alignment horizontal="left" wrapText="1"/>
    </xf>
    <xf numFmtId="0" fontId="60" fillId="0" borderId="29" applyAlignment="1" pivotButton="0" quotePrefix="0" xfId="0">
      <alignment horizontal="left" vertical="center"/>
    </xf>
    <xf numFmtId="0" fontId="5" fillId="0" borderId="233" applyAlignment="1" pivotButton="0" quotePrefix="0" xfId="0">
      <alignment vertical="center" wrapText="1"/>
    </xf>
    <xf numFmtId="0" fontId="0" fillId="0" borderId="234" pivotButton="0" quotePrefix="0" xfId="0"/>
    <xf numFmtId="0" fontId="5" fillId="0" borderId="224" applyAlignment="1" pivotButton="0" quotePrefix="0" xfId="0">
      <alignment horizontal="center" vertical="center" wrapText="1"/>
    </xf>
    <xf numFmtId="0" fontId="0" fillId="0" borderId="225" pivotButton="0" quotePrefix="0" xfId="0"/>
    <xf numFmtId="0" fontId="5" fillId="0" borderId="223" applyAlignment="1" pivotButton="0" quotePrefix="0" xfId="0">
      <alignment horizontal="center" vertical="center" wrapText="1"/>
    </xf>
    <xf numFmtId="0" fontId="5" fillId="0" borderId="232" applyAlignment="1" pivotButton="0" quotePrefix="0" xfId="0">
      <alignment horizontal="justify" vertical="center" wrapText="1"/>
    </xf>
    <xf numFmtId="0" fontId="5" fillId="0" borderId="229" applyAlignment="1" pivotButton="0" quotePrefix="0" xfId="0">
      <alignment horizontal="justify" vertical="center" wrapText="1"/>
    </xf>
    <xf numFmtId="0" fontId="0" fillId="0" borderId="71" pivotButton="0" quotePrefix="0" xfId="0"/>
    <xf numFmtId="0" fontId="0" fillId="0" borderId="31" pivotButton="0" quotePrefix="0" xfId="0"/>
    <xf numFmtId="0" fontId="27" fillId="0" borderId="113" applyAlignment="1" pivotButton="0" quotePrefix="0" xfId="0">
      <alignment horizontal="center" vertical="center" wrapText="1"/>
    </xf>
    <xf numFmtId="0" fontId="0" fillId="0" borderId="85" pivotButton="0" quotePrefix="0" xfId="0"/>
    <xf numFmtId="0" fontId="0" fillId="0" borderId="84" pivotButton="0" quotePrefix="0" xfId="0"/>
    <xf numFmtId="0" fontId="5" fillId="0" borderId="226" applyAlignment="1" pivotButton="0" quotePrefix="0" xfId="0">
      <alignment horizontal="center" vertical="center" wrapText="1"/>
    </xf>
    <xf numFmtId="0" fontId="0" fillId="0" borderId="205" pivotButton="0" quotePrefix="0" xfId="0"/>
    <xf numFmtId="0" fontId="0" fillId="0" borderId="53" pivotButton="0" quotePrefix="0" xfId="0"/>
    <xf numFmtId="0" fontId="5" fillId="0" borderId="79" applyAlignment="1" pivotButton="0" quotePrefix="0" xfId="0">
      <alignment horizontal="justify" vertical="center" wrapText="1"/>
    </xf>
    <xf numFmtId="0" fontId="0" fillId="0" borderId="73" pivotButton="0" quotePrefix="0" xfId="0"/>
    <xf numFmtId="0" fontId="5" fillId="0" borderId="215" applyAlignment="1" pivotButton="0" quotePrefix="0" xfId="0">
      <alignment horizontal="center" vertical="center" wrapText="1"/>
    </xf>
    <xf numFmtId="0" fontId="0" fillId="0" borderId="78" pivotButton="0" quotePrefix="0" xfId="0"/>
    <xf numFmtId="0" fontId="5" fillId="0" borderId="221" applyAlignment="1" pivotButton="0" quotePrefix="0" xfId="0">
      <alignment horizontal="center" vertical="center" wrapText="1"/>
    </xf>
    <xf numFmtId="0" fontId="0" fillId="0" borderId="77" pivotButton="0" quotePrefix="0" xfId="0"/>
    <xf numFmtId="0" fontId="39" fillId="0" borderId="227" applyAlignment="1" pivotButton="0" quotePrefix="0" xfId="0">
      <alignment horizontal="center" vertical="center" wrapText="1"/>
    </xf>
    <xf numFmtId="0" fontId="0" fillId="0" borderId="228" pivotButton="0" quotePrefix="0" xfId="0"/>
    <xf numFmtId="0" fontId="0" fillId="0" borderId="220" pivotButton="0" quotePrefix="0" xfId="0"/>
    <xf numFmtId="0" fontId="5" fillId="0" borderId="217" applyAlignment="1" pivotButton="0" quotePrefix="0" xfId="0">
      <alignment horizontal="center" vertical="center" wrapText="1"/>
    </xf>
    <xf numFmtId="0" fontId="46" fillId="0" borderId="222" applyAlignment="1" pivotButton="0" quotePrefix="0" xfId="0">
      <alignment horizontal="center" vertical="center" wrapText="1"/>
    </xf>
    <xf numFmtId="174" fontId="5" fillId="0" borderId="218" applyAlignment="1" pivotButton="0" quotePrefix="0" xfId="0">
      <alignment horizontal="center" vertical="center" wrapText="1"/>
    </xf>
    <xf numFmtId="0" fontId="0" fillId="0" borderId="219" pivotButton="0" quotePrefix="0" xfId="0"/>
    <xf numFmtId="0" fontId="5" fillId="0" borderId="230" applyAlignment="1" pivotButton="0" quotePrefix="0" xfId="0">
      <alignment horizontal="justify" vertical="center" wrapText="1"/>
    </xf>
    <xf numFmtId="0" fontId="0" fillId="0" borderId="231" pivotButton="0" quotePrefix="0" xfId="0"/>
    <xf numFmtId="0" fontId="0" fillId="0" borderId="36" pivotButton="0" quotePrefix="0" xfId="0"/>
    <xf numFmtId="0" fontId="0" fillId="0" borderId="30" pivotButton="0" quotePrefix="0" xfId="0"/>
    <xf numFmtId="0" fontId="54" fillId="0" borderId="0" applyAlignment="1" pivotButton="0" quotePrefix="0" xfId="0">
      <alignment horizontal="center" vertical="center"/>
    </xf>
    <xf numFmtId="0" fontId="53" fillId="0" borderId="0" applyAlignment="1" pivotButton="0" quotePrefix="0" xfId="0">
      <alignment horizontal="left" vertical="center"/>
    </xf>
    <xf numFmtId="0" fontId="11" fillId="0" borderId="0" applyAlignment="1" pivotButton="0" quotePrefix="0" xfId="0">
      <alignment horizontal="center" vertical="center"/>
    </xf>
    <xf numFmtId="0" fontId="7" fillId="0" borderId="0" applyAlignment="1" pivotButton="0" quotePrefix="0" xfId="0">
      <alignment horizontal="left" vertical="distributed" wrapText="1"/>
    </xf>
    <xf numFmtId="0" fontId="26" fillId="0" borderId="36" applyAlignment="1" pivotButton="0" quotePrefix="0" xfId="0">
      <alignment horizontal="center" vertical="center"/>
    </xf>
    <xf numFmtId="0" fontId="24" fillId="0" borderId="0" applyAlignment="1" pivotButton="0" quotePrefix="0" xfId="0">
      <alignment horizontal="left" vertical="distributed" wrapText="1"/>
    </xf>
    <xf numFmtId="0" fontId="24" fillId="0" borderId="0" applyAlignment="1" pivotButton="0" quotePrefix="0" xfId="0">
      <alignment horizontal="left" vertical="center"/>
    </xf>
    <xf numFmtId="0" fontId="30" fillId="0" borderId="5" applyAlignment="1" pivotButton="0" quotePrefix="0" xfId="0">
      <alignment horizontal="center" vertical="center" wrapText="1"/>
    </xf>
    <xf numFmtId="0" fontId="7" fillId="0" borderId="5" applyAlignment="1" pivotButton="0" quotePrefix="0" xfId="0">
      <alignment horizontal="center" vertical="center" wrapText="1"/>
    </xf>
    <xf numFmtId="0" fontId="7" fillId="0" borderId="5" applyAlignment="1" pivotButton="0" quotePrefix="0" xfId="0">
      <alignment vertical="center" wrapText="1"/>
    </xf>
    <xf numFmtId="0" fontId="7" fillId="0" borderId="0" applyAlignment="1" pivotButton="0" quotePrefix="0" xfId="0">
      <alignment horizontal="center" vertical="center"/>
    </xf>
    <xf numFmtId="0" fontId="9" fillId="0" borderId="113" applyAlignment="1" applyProtection="1" pivotButton="0" quotePrefix="0" xfId="0">
      <alignment horizontal="distributed" vertical="center" wrapText="1"/>
      <protection locked="1" hidden="1"/>
    </xf>
    <xf numFmtId="0" fontId="0" fillId="0" borderId="85" applyProtection="1" pivotButton="0" quotePrefix="0" xfId="0">
      <protection locked="1" hidden="1"/>
    </xf>
    <xf numFmtId="0" fontId="0" fillId="0" borderId="84" applyProtection="1" pivotButton="0" quotePrefix="0" xfId="0">
      <protection locked="1" hidden="1"/>
    </xf>
    <xf numFmtId="0" fontId="6" fillId="0" borderId="236" applyAlignment="1" applyProtection="1" pivotButton="0" quotePrefix="0" xfId="0">
      <alignment vertical="center" wrapText="1"/>
      <protection locked="1" hidden="1"/>
    </xf>
    <xf numFmtId="0" fontId="0" fillId="0" borderId="37" applyProtection="1" pivotButton="0" quotePrefix="0" xfId="0">
      <protection locked="1" hidden="1"/>
    </xf>
    <xf numFmtId="0" fontId="6" fillId="0" borderId="111" applyAlignment="1" applyProtection="1" pivotButton="0" quotePrefix="0" xfId="0">
      <alignment horizontal="left" vertical="center" wrapText="1"/>
      <protection locked="1" hidden="1"/>
    </xf>
    <xf numFmtId="0" fontId="0" fillId="0" borderId="111" applyProtection="1" pivotButton="0" quotePrefix="0" xfId="0">
      <protection locked="1" hidden="1"/>
    </xf>
    <xf numFmtId="0" fontId="6" fillId="0" borderId="236" applyAlignment="1" applyProtection="1" pivotButton="0" quotePrefix="0" xfId="0">
      <alignment horizontal="left" vertical="center" wrapText="1" indent="2"/>
      <protection locked="1" hidden="1"/>
    </xf>
    <xf numFmtId="0" fontId="30" fillId="0" borderId="113" applyAlignment="1" applyProtection="1" pivotButton="0" quotePrefix="0" xfId="0">
      <alignment horizontal="justify" vertical="center" wrapText="1"/>
      <protection locked="1" hidden="1"/>
    </xf>
    <xf numFmtId="0" fontId="30" fillId="0" borderId="240" applyAlignment="1" applyProtection="1" pivotButton="0" quotePrefix="0" xfId="0">
      <alignment horizontal="justify" vertical="center" wrapText="1"/>
      <protection locked="1" hidden="1"/>
    </xf>
    <xf numFmtId="0" fontId="6" fillId="0" borderId="236" applyAlignment="1" applyProtection="1" pivotButton="0" quotePrefix="0" xfId="0">
      <alignment horizontal="left" vertical="center" wrapText="1"/>
      <protection locked="1" hidden="1"/>
    </xf>
    <xf numFmtId="0" fontId="30" fillId="0" borderId="236" applyAlignment="1" applyProtection="1" pivotButton="0" quotePrefix="0" xfId="0">
      <alignment horizontal="justify" vertical="center" wrapText="1"/>
      <protection locked="1" hidden="1"/>
    </xf>
    <xf numFmtId="0" fontId="72" fillId="0" borderId="113" applyAlignment="1" applyProtection="1" pivotButton="0" quotePrefix="0" xfId="0">
      <alignment horizontal="left" vertical="center" wrapText="1"/>
      <protection locked="1" hidden="1"/>
    </xf>
    <xf numFmtId="0" fontId="0" fillId="0" borderId="112" applyProtection="1" pivotButton="0" quotePrefix="0" xfId="0">
      <protection locked="1" hidden="1"/>
    </xf>
    <xf numFmtId="0" fontId="11" fillId="0" borderId="240" applyAlignment="1" applyProtection="1" pivotButton="0" quotePrefix="0" xfId="0">
      <alignment horizontal="distributed" vertical="center" wrapText="1"/>
      <protection locked="1" hidden="1"/>
    </xf>
    <xf numFmtId="0" fontId="30" fillId="0" borderId="240" applyAlignment="1" applyProtection="1" pivotButton="0" quotePrefix="0" xfId="0">
      <alignment horizontal="center" vertical="center" wrapText="1"/>
      <protection locked="1" hidden="1"/>
    </xf>
    <xf numFmtId="0" fontId="11" fillId="0" borderId="240" applyAlignment="1" applyProtection="1" pivotButton="0" quotePrefix="0" xfId="0">
      <alignment horizontal="distributed" vertical="distributed" wrapText="1"/>
      <protection locked="1" hidden="1"/>
    </xf>
    <xf numFmtId="0" fontId="0" fillId="0" borderId="237" applyAlignment="1" applyProtection="1" pivotButton="0" quotePrefix="0" xfId="0">
      <alignment vertical="center" wrapText="1"/>
      <protection locked="1" hidden="1"/>
    </xf>
    <xf numFmtId="0" fontId="0" fillId="0" borderId="238" applyProtection="1" pivotButton="0" quotePrefix="0" xfId="0">
      <protection locked="1" hidden="1"/>
    </xf>
    <xf numFmtId="0" fontId="0" fillId="0" borderId="239" applyProtection="1" pivotButton="0" quotePrefix="0" xfId="0">
      <protection locked="1" hidden="1"/>
    </xf>
    <xf numFmtId="0" fontId="6" fillId="0" borderId="237" applyAlignment="1" applyProtection="1" pivotButton="0" quotePrefix="0" xfId="0">
      <alignment vertical="center" wrapText="1"/>
      <protection locked="1" hidden="1"/>
    </xf>
    <xf numFmtId="0" fontId="10" fillId="0" borderId="237" applyAlignment="1" applyProtection="1" pivotButton="0" quotePrefix="0" xfId="0">
      <alignment horizontal="distributed" vertical="center" wrapText="1"/>
      <protection locked="1" hidden="1"/>
    </xf>
    <xf numFmtId="0" fontId="30" fillId="0" borderId="240" applyAlignment="1" applyProtection="1" pivotButton="0" quotePrefix="0" xfId="0">
      <alignment horizontal="distributed" vertical="center" wrapText="1"/>
      <protection locked="1" hidden="1"/>
    </xf>
    <xf numFmtId="0" fontId="6" fillId="0" borderId="113" applyAlignment="1" applyProtection="1" pivotButton="0" quotePrefix="0" xfId="0">
      <alignment horizontal="left" vertical="center" wrapText="1"/>
      <protection locked="1" hidden="1"/>
    </xf>
    <xf numFmtId="0" fontId="7" fillId="0" borderId="240" applyAlignment="1" applyProtection="1" pivotButton="0" quotePrefix="0" xfId="0">
      <alignment horizontal="center" vertical="center" wrapText="1"/>
      <protection locked="1" hidden="1"/>
    </xf>
    <xf numFmtId="0" fontId="6" fillId="0" borderId="113" applyAlignment="1" applyProtection="1" pivotButton="0" quotePrefix="0" xfId="0">
      <alignment vertical="center" wrapText="1"/>
      <protection locked="1" hidden="1"/>
    </xf>
    <xf numFmtId="0" fontId="11" fillId="0" borderId="113" applyAlignment="1" applyProtection="1" pivotButton="0" quotePrefix="0" xfId="0">
      <alignment horizontal="distributed" vertical="distributed" wrapText="1"/>
      <protection locked="1" hidden="1"/>
    </xf>
    <xf numFmtId="0" fontId="30" fillId="0" borderId="240" applyAlignment="1" applyProtection="1" pivotButton="0" quotePrefix="0" xfId="0">
      <alignment vertical="center" wrapText="1"/>
      <protection locked="1" hidden="1"/>
    </xf>
    <xf numFmtId="0" fontId="5" fillId="0" borderId="27" applyAlignment="1" pivotButton="0" quotePrefix="0" xfId="0">
      <alignment vertical="center"/>
    </xf>
    <xf numFmtId="0" fontId="5" fillId="0" borderId="244" applyAlignment="1" pivotButton="0" quotePrefix="0" xfId="0">
      <alignment horizontal="center" vertical="center"/>
    </xf>
    <xf numFmtId="0" fontId="0" fillId="0" borderId="175" pivotButton="0" quotePrefix="0" xfId="0"/>
    <xf numFmtId="0" fontId="0" fillId="0" borderId="176" pivotButton="0" quotePrefix="0" xfId="0"/>
    <xf numFmtId="0" fontId="6" fillId="0" borderId="242" applyAlignment="1" pivotButton="0" quotePrefix="0" xfId="0">
      <alignment horizontal="center" vertical="center"/>
    </xf>
    <xf numFmtId="0" fontId="0" fillId="0" borderId="171" pivotButton="0" quotePrefix="0" xfId="0"/>
    <xf numFmtId="0" fontId="0" fillId="0" borderId="179" pivotButton="0" quotePrefix="0" xfId="0"/>
    <xf numFmtId="0" fontId="43" fillId="0" borderId="27" applyAlignment="1" pivotButton="0" quotePrefix="0" xfId="0">
      <alignment vertical="center"/>
    </xf>
    <xf numFmtId="0" fontId="5" fillId="0" borderId="246" applyAlignment="1" pivotButton="0" quotePrefix="0" xfId="0">
      <alignment horizontal="center" vertical="center" wrapText="1"/>
    </xf>
    <xf numFmtId="0" fontId="0" fillId="0" borderId="174" pivotButton="0" quotePrefix="0" xfId="0"/>
    <xf numFmtId="0" fontId="94" fillId="0" borderId="29" applyAlignment="1" pivotButton="0" quotePrefix="0" xfId="0">
      <alignment horizontal="left" vertical="center" shrinkToFit="1"/>
    </xf>
    <xf numFmtId="0" fontId="6" fillId="0" borderId="241" applyAlignment="1" pivotButton="0" quotePrefix="0" xfId="0">
      <alignment horizontal="center" vertical="center" wrapText="1"/>
    </xf>
    <xf numFmtId="0" fontId="0" fillId="0" borderId="172" pivotButton="0" quotePrefix="0" xfId="0"/>
    <xf numFmtId="0" fontId="0" fillId="0" borderId="173" pivotButton="0" quotePrefix="0" xfId="0"/>
    <xf numFmtId="0" fontId="6" fillId="0" borderId="244" applyAlignment="1" pivotButton="0" quotePrefix="0" xfId="0">
      <alignment horizontal="center" vertical="center"/>
    </xf>
    <xf numFmtId="0" fontId="93" fillId="0" borderId="0" applyAlignment="1" pivotButton="0" quotePrefix="0" xfId="0">
      <alignment horizontal="center" vertical="center"/>
    </xf>
    <xf numFmtId="0" fontId="5" fillId="0" borderId="245" applyAlignment="1" pivotButton="0" quotePrefix="0" xfId="0">
      <alignment horizontal="left" vertical="center"/>
    </xf>
    <xf numFmtId="0" fontId="6" fillId="0" borderId="243" applyAlignment="1" pivotButton="0" quotePrefix="0" xfId="0">
      <alignment horizontal="center" vertical="center"/>
    </xf>
    <xf numFmtId="0" fontId="0" fillId="0" borderId="178" pivotButton="0" quotePrefix="0" xfId="0"/>
    <xf numFmtId="0" fontId="7" fillId="0" borderId="0" applyAlignment="1" pivotButton="0" quotePrefix="0" xfId="0">
      <alignment horizontal="distributed" vertical="center"/>
    </xf>
    <xf numFmtId="0" fontId="50" fillId="0" borderId="0" applyAlignment="1" pivotButton="0" quotePrefix="0" xfId="0">
      <alignment horizontal="distributed" vertical="center"/>
    </xf>
    <xf numFmtId="0" fontId="6" fillId="0" borderId="0" applyAlignment="1" pivotButton="0" quotePrefix="0" xfId="0">
      <alignment horizontal="distributed" vertical="center"/>
    </xf>
    <xf numFmtId="0" fontId="6" fillId="0" borderId="0" applyAlignment="1" pivotButton="0" quotePrefix="0" xfId="0">
      <alignment vertical="center"/>
    </xf>
    <xf numFmtId="0" fontId="26" fillId="17" borderId="0" applyAlignment="1" pivotButton="0" quotePrefix="0" xfId="0">
      <alignment horizontal="distributed" vertical="center"/>
    </xf>
    <xf numFmtId="0" fontId="6" fillId="0" borderId="240" applyAlignment="1" pivotButton="0" quotePrefix="0" xfId="0">
      <alignment horizontal="left" vertical="center" wrapText="1"/>
    </xf>
    <xf numFmtId="0" fontId="0" fillId="0" borderId="247" pivotButton="0" quotePrefix="0" xfId="0"/>
    <xf numFmtId="0" fontId="24" fillId="0" borderId="240" applyAlignment="1" pivotButton="0" quotePrefix="0" xfId="0">
      <alignment horizontal="center" vertical="top" wrapText="1"/>
    </xf>
    <xf numFmtId="0" fontId="0" fillId="0" borderId="128" pivotButton="0" quotePrefix="0" xfId="0"/>
    <xf numFmtId="0" fontId="0" fillId="0" borderId="33" pivotButton="0" quotePrefix="0" xfId="0"/>
    <xf numFmtId="0" fontId="24" fillId="0" borderId="0" applyAlignment="1" pivotButton="0" quotePrefix="0" xfId="0">
      <alignment horizontal="center" vertical="top" wrapText="1"/>
    </xf>
    <xf numFmtId="0" fontId="24" fillId="0" borderId="240" applyAlignment="1" pivotButton="0" quotePrefix="0" xfId="0">
      <alignment horizontal="center" vertical="center" wrapText="1"/>
    </xf>
    <xf numFmtId="0" fontId="30" fillId="0" borderId="0" applyAlignment="1" pivotButton="0" quotePrefix="0" xfId="0">
      <alignment horizontal="left" vertical="center"/>
    </xf>
    <xf numFmtId="0" fontId="10" fillId="0" borderId="0" applyAlignment="1" pivotButton="0" quotePrefix="0" xfId="0">
      <alignment horizontal="center" vertical="center"/>
    </xf>
    <xf numFmtId="0" fontId="6" fillId="0" borderId="0" applyAlignment="1" pivotButton="0" quotePrefix="0" xfId="0">
      <alignment horizontal="center" vertical="center"/>
    </xf>
    <xf numFmtId="0" fontId="21" fillId="0" borderId="5" applyAlignment="1" applyProtection="1" pivotButton="0" quotePrefix="0" xfId="1">
      <alignment horizontal="center" vertical="center"/>
      <protection locked="1" hidden="1"/>
    </xf>
    <xf numFmtId="0" fontId="2" fillId="0" borderId="8" applyAlignment="1" applyProtection="1" pivotButton="0" quotePrefix="0" xfId="1">
      <alignment horizontal="center" vertical="center"/>
      <protection locked="1" hidden="1"/>
    </xf>
    <xf numFmtId="0" fontId="21" fillId="0" borderId="0" applyAlignment="1" pivotButton="0" quotePrefix="0" xfId="0">
      <alignment horizontal="distributed" vertical="center" shrinkToFit="1"/>
    </xf>
    <xf numFmtId="0" fontId="21" fillId="0" borderId="8" applyAlignment="1" pivotButton="0" quotePrefix="0" xfId="0">
      <alignment vertical="center" textRotation="255" wrapText="1"/>
    </xf>
    <xf numFmtId="0" fontId="21" fillId="0" borderId="18" applyAlignment="1" pivotButton="0" quotePrefix="0" xfId="0">
      <alignment horizontal="distributed" vertical="center"/>
    </xf>
    <xf numFmtId="0" fontId="21" fillId="0" borderId="21" applyAlignment="1" pivotButton="0" quotePrefix="0" xfId="0">
      <alignment horizontal="center" vertical="center"/>
    </xf>
    <xf numFmtId="0" fontId="0" fillId="0" borderId="23" pivotButton="0" quotePrefix="0" xfId="0"/>
    <xf numFmtId="0" fontId="0" fillId="0" borderId="22" pivotButton="0" quotePrefix="0" xfId="0"/>
    <xf numFmtId="0" fontId="96" fillId="0" borderId="5" applyAlignment="1" pivotButton="0" quotePrefix="0" xfId="0">
      <alignment horizontal="center" vertical="center" wrapText="1" shrinkToFit="1"/>
    </xf>
    <xf numFmtId="0" fontId="2" fillId="0" borderId="29" applyAlignment="1" pivotButton="0" quotePrefix="0" xfId="0">
      <alignment vertical="center"/>
    </xf>
    <xf numFmtId="0" fontId="20" fillId="0" borderId="13" applyAlignment="1" pivotButton="0" quotePrefix="0" xfId="0">
      <alignment horizontal="center" vertical="center" shrinkToFit="1"/>
    </xf>
    <xf numFmtId="0" fontId="75" fillId="0" borderId="5" applyAlignment="1" pivotButton="0" quotePrefix="0" xfId="0">
      <alignment vertical="center" wrapText="1"/>
    </xf>
    <xf numFmtId="0" fontId="21" fillId="0" borderId="13" applyAlignment="1" pivotButton="0" quotePrefix="0" xfId="0">
      <alignment horizontal="distributed" vertical="center" shrinkToFit="1"/>
    </xf>
    <xf numFmtId="0" fontId="0" fillId="0" borderId="5" applyAlignment="1" pivotButton="0" quotePrefix="0" xfId="0">
      <alignment vertical="center"/>
    </xf>
    <xf numFmtId="0" fontId="21" fillId="0" borderId="5" applyAlignment="1" pivotButton="0" quotePrefix="0" xfId="0">
      <alignment horizontal="left" vertical="center" wrapText="1"/>
    </xf>
    <xf numFmtId="0" fontId="99" fillId="0" borderId="102" applyAlignment="1" pivotButton="0" quotePrefix="0" xfId="0">
      <alignment horizontal="left" vertical="top" wrapText="1"/>
    </xf>
    <xf numFmtId="0" fontId="0" fillId="0" borderId="235" pivotButton="0" quotePrefix="0" xfId="0"/>
    <xf numFmtId="0" fontId="0" fillId="0" borderId="248" pivotButton="0" quotePrefix="0" xfId="0"/>
    <xf numFmtId="0" fontId="2" fillId="0" borderId="14" applyAlignment="1" pivotButton="0" quotePrefix="0" xfId="0">
      <alignment vertical="center"/>
    </xf>
    <xf numFmtId="0" fontId="97" fillId="0" borderId="5" applyAlignment="1" pivotButton="0" quotePrefix="0" xfId="0">
      <alignment vertical="center" textRotation="255"/>
    </xf>
    <xf numFmtId="0" fontId="0" fillId="0" borderId="29" pivotButton="0" quotePrefix="0" xfId="0"/>
    <xf numFmtId="0" fontId="99" fillId="0" borderId="5" applyAlignment="1" pivotButton="0" quotePrefix="0" xfId="0">
      <alignment horizontal="left" vertical="top" wrapText="1"/>
    </xf>
    <xf numFmtId="0" fontId="3" fillId="0" borderId="5" applyAlignment="1" pivotButton="0" quotePrefix="0" xfId="0">
      <alignment vertical="center" textRotation="255"/>
    </xf>
    <xf numFmtId="0" fontId="2" fillId="0" borderId="18" applyAlignment="1" pivotButton="0" quotePrefix="0" xfId="0">
      <alignment vertical="center"/>
    </xf>
    <xf numFmtId="0" fontId="2" fillId="0" borderId="11" applyAlignment="1" pivotButton="0" quotePrefix="0" xfId="0">
      <alignment vertical="center"/>
    </xf>
    <xf numFmtId="0" fontId="21" fillId="0" borderId="182" applyAlignment="1" pivotButton="0" quotePrefix="0" xfId="0">
      <alignment horizontal="center" vertical="center"/>
    </xf>
    <xf numFmtId="0" fontId="2" fillId="0" borderId="25" applyAlignment="1" pivotButton="0" quotePrefix="0" xfId="0">
      <alignment vertical="center"/>
    </xf>
    <xf numFmtId="0" fontId="96" fillId="0" borderId="0" applyAlignment="1" pivotButton="0" quotePrefix="0" xfId="0">
      <alignment vertical="center"/>
    </xf>
    <xf numFmtId="0" fontId="98" fillId="0" borderId="5" applyAlignment="1" pivotButton="0" quotePrefix="0" xfId="0">
      <alignment vertical="center" textRotation="255"/>
    </xf>
    <xf numFmtId="0" fontId="21" fillId="0" borderId="19" applyAlignment="1" pivotButton="0" quotePrefix="0" xfId="0">
      <alignment horizontal="distributed" vertical="center" shrinkToFit="1"/>
    </xf>
    <xf numFmtId="0" fontId="45" fillId="0" borderId="13" applyAlignment="1" pivotButton="0" quotePrefix="0" xfId="0">
      <alignment horizontal="center" vertical="center" shrinkToFit="1"/>
    </xf>
    <xf numFmtId="0" fontId="96" fillId="0" borderId="0" applyAlignment="1" pivotButton="0" quotePrefix="0" xfId="0">
      <alignment vertical="center" wrapText="1"/>
    </xf>
    <xf numFmtId="0" fontId="21" fillId="0" borderId="5" applyAlignment="1" pivotButton="0" quotePrefix="0" xfId="0">
      <alignment horizontal="center" vertical="center" wrapText="1" shrinkToFit="1"/>
    </xf>
    <xf numFmtId="0" fontId="21" fillId="0" borderId="9" applyAlignment="1" pivotButton="0" quotePrefix="0" xfId="0">
      <alignment horizontal="left" vertical="center" wrapText="1"/>
    </xf>
    <xf numFmtId="0" fontId="45" fillId="0" borderId="19" applyAlignment="1" pivotButton="0" quotePrefix="0" xfId="0">
      <alignment horizontal="center" vertical="center" wrapText="1"/>
    </xf>
    <xf numFmtId="0" fontId="13" fillId="0" borderId="0" applyAlignment="1" pivotButton="0" quotePrefix="0" xfId="0">
      <alignment horizontal="left" vertical="center"/>
    </xf>
    <xf numFmtId="0" fontId="51" fillId="0" borderId="0" applyAlignment="1" pivotButton="0" quotePrefix="0" xfId="0">
      <alignment vertical="center"/>
    </xf>
    <xf numFmtId="0" fontId="52" fillId="0" borderId="0" applyAlignment="1" pivotButton="0" quotePrefix="0" xfId="0">
      <alignment horizontal="center" vertical="center"/>
    </xf>
    <xf numFmtId="0" fontId="13" fillId="0" borderId="0" applyAlignment="1" pivotButton="0" quotePrefix="0" xfId="0">
      <alignment horizontal="distributed" vertical="center"/>
    </xf>
    <xf numFmtId="0" fontId="13" fillId="0" borderId="0" applyAlignment="1" pivotButton="0" quotePrefix="0" xfId="0">
      <alignment horizontal="left" vertical="center" wrapText="1"/>
    </xf>
    <xf numFmtId="0" fontId="13" fillId="0" borderId="0" applyAlignment="1" pivotButton="0" quotePrefix="0" xfId="0">
      <alignment horizontal="center" vertical="center"/>
    </xf>
    <xf numFmtId="0" fontId="5" fillId="0" borderId="25" applyAlignment="1" pivotButton="0" quotePrefix="0" xfId="0">
      <alignment vertical="center" wrapText="1"/>
    </xf>
    <xf numFmtId="0" fontId="37" fillId="0" borderId="5" applyAlignment="1" pivotButton="0" quotePrefix="0" xfId="0">
      <alignment vertical="top" wrapText="1"/>
    </xf>
    <xf numFmtId="0" fontId="37" fillId="0" borderId="9" applyAlignment="1" pivotButton="0" quotePrefix="0" xfId="0">
      <alignment horizontal="left" vertical="center" wrapText="1"/>
    </xf>
    <xf numFmtId="0" fontId="37" fillId="0" borderId="11" applyAlignment="1" pivotButton="0" quotePrefix="0" xfId="0">
      <alignment vertical="top" wrapText="1"/>
    </xf>
    <xf numFmtId="0" fontId="5" fillId="0" borderId="11" applyAlignment="1" pivotButton="0" quotePrefix="0" xfId="0">
      <alignment vertical="center" wrapText="1"/>
    </xf>
    <xf numFmtId="0" fontId="37" fillId="0" borderId="9" applyAlignment="1" pivotButton="0" quotePrefix="0" xfId="0">
      <alignment horizontal="justify" vertical="center" wrapText="1"/>
    </xf>
    <xf numFmtId="0" fontId="50" fillId="0" borderId="27" applyAlignment="1" pivotButton="0" quotePrefix="0" xfId="0">
      <alignment horizontal="center" vertical="center" wrapText="1"/>
    </xf>
    <xf numFmtId="0" fontId="5" fillId="0" borderId="5" applyAlignment="1" pivotButton="0" quotePrefix="0" xfId="0">
      <alignment horizontal="center" vertical="distributed" textRotation="255" wrapText="1"/>
    </xf>
    <xf numFmtId="0" fontId="37" fillId="0" borderId="10" applyAlignment="1" pivotButton="0" quotePrefix="0" xfId="0">
      <alignment horizontal="center" vertical="center" wrapText="1"/>
    </xf>
    <xf numFmtId="0" fontId="37" fillId="0" borderId="5" applyAlignment="1" pivotButton="0" quotePrefix="0" xfId="0">
      <alignment horizontal="left" vertical="center" wrapText="1"/>
    </xf>
    <xf numFmtId="0" fontId="49" fillId="0" borderId="11" applyAlignment="1" pivotButton="0" quotePrefix="0" xfId="0">
      <alignment horizontal="center" vertical="center"/>
    </xf>
    <xf numFmtId="0" fontId="37" fillId="0" borderId="5" applyAlignment="1" pivotButton="0" quotePrefix="0" xfId="0">
      <alignment horizontal="justify" vertical="center" wrapText="1"/>
    </xf>
    <xf numFmtId="0" fontId="49" fillId="0" borderId="11" applyAlignment="1" pivotButton="0" quotePrefix="0" xfId="0">
      <alignment horizontal="right" wrapText="1"/>
    </xf>
    <xf numFmtId="0" fontId="37" fillId="0" borderId="0" applyAlignment="1" pivotButton="0" quotePrefix="0" xfId="0">
      <alignment horizontal="center" vertical="center" wrapText="1"/>
    </xf>
    <xf numFmtId="0" fontId="5" fillId="0" borderId="19" applyAlignment="1" pivotButton="0" quotePrefix="0" xfId="0">
      <alignment horizontal="left" vertical="center" wrapText="1"/>
    </xf>
    <xf numFmtId="0" fontId="49" fillId="0" borderId="13" applyAlignment="1" pivotButton="0" quotePrefix="1" xfId="0">
      <alignment horizontal="right"/>
    </xf>
    <xf numFmtId="0" fontId="33" fillId="0" borderId="0" applyAlignment="1" pivotButton="0" quotePrefix="0" xfId="0">
      <alignment horizontal="center" vertical="center"/>
    </xf>
    <xf numFmtId="0" fontId="37" fillId="0" borderId="25" applyAlignment="1" pivotButton="0" quotePrefix="0" xfId="0">
      <alignment horizontal="left" vertical="top" wrapText="1"/>
    </xf>
    <xf numFmtId="0" fontId="49" fillId="0" borderId="5" applyAlignment="1" pivotButton="0" quotePrefix="0" xfId="0">
      <alignment horizontal="center" wrapText="1"/>
    </xf>
    <xf numFmtId="0" fontId="37" fillId="0" borderId="11" applyAlignment="1" pivotButton="0" quotePrefix="0" xfId="0">
      <alignment horizontal="justify" vertical="center" wrapText="1"/>
    </xf>
    <xf numFmtId="0" fontId="5" fillId="0" borderId="25" applyAlignment="1" pivotButton="0" quotePrefix="0" xfId="0">
      <alignment horizontal="justify" vertical="center" wrapText="1"/>
    </xf>
    <xf numFmtId="0" fontId="37" fillId="0" borderId="25" applyAlignment="1" pivotButton="0" quotePrefix="0" xfId="0">
      <alignment horizontal="justify" vertical="center" wrapText="1"/>
    </xf>
    <xf numFmtId="0" fontId="5" fillId="0" borderId="5" applyAlignment="1" pivotButton="0" quotePrefix="0" xfId="0">
      <alignment vertical="top" wrapText="1"/>
    </xf>
    <xf numFmtId="0" fontId="6" fillId="0" borderId="5" applyAlignment="1" pivotButton="0" quotePrefix="0" xfId="0">
      <alignment horizontal="distributed" vertical="center" wrapText="1"/>
    </xf>
    <xf numFmtId="0" fontId="33" fillId="0" borderId="5" applyAlignment="1" pivotButton="0" quotePrefix="0" xfId="0">
      <alignment horizontal="center" vertical="center" wrapText="1"/>
    </xf>
    <xf numFmtId="0" fontId="6" fillId="0" borderId="5" applyAlignment="1" pivotButton="0" quotePrefix="0" xfId="0">
      <alignment horizontal="justify" vertical="center" wrapText="1"/>
    </xf>
    <xf numFmtId="0" fontId="6" fillId="0" borderId="5" applyAlignment="1" pivotButton="0" quotePrefix="0" xfId="0">
      <alignment vertical="center" wrapText="1"/>
    </xf>
    <xf numFmtId="0" fontId="8" fillId="0" borderId="5" applyAlignment="1" pivotButton="0" quotePrefix="0" xfId="0">
      <alignment horizontal="justify" vertical="center" wrapText="1"/>
    </xf>
    <xf numFmtId="0" fontId="6" fillId="0" borderId="14" applyAlignment="1" pivotButton="0" quotePrefix="0" xfId="0">
      <alignment horizontal="left" vertical="center" wrapText="1" indent="1"/>
    </xf>
    <xf numFmtId="0" fontId="6" fillId="0" borderId="11" applyAlignment="1" pivotButton="0" quotePrefix="0" xfId="0">
      <alignment horizontal="justify" vertical="center" wrapText="1"/>
    </xf>
    <xf numFmtId="0" fontId="6" fillId="0" borderId="18" applyAlignment="1" pivotButton="0" quotePrefix="0" xfId="0">
      <alignment horizontal="left" vertical="center" wrapText="1" indent="1"/>
    </xf>
    <xf numFmtId="0" fontId="6" fillId="0" borderId="25" applyAlignment="1" pivotButton="0" quotePrefix="0" xfId="0">
      <alignment horizontal="justify" vertical="center" wrapText="1"/>
    </xf>
    <xf numFmtId="0" fontId="6" fillId="0" borderId="29" applyAlignment="1" pivotButton="0" quotePrefix="0" xfId="0">
      <alignment horizontal="justify" vertical="center" wrapText="1"/>
    </xf>
    <xf numFmtId="0" fontId="22" fillId="0" borderId="5" applyAlignment="1" pivotButton="0" quotePrefix="0" xfId="0">
      <alignment horizontal="center" vertical="center" wrapText="1"/>
    </xf>
    <xf numFmtId="0" fontId="55" fillId="0" borderId="5" applyAlignment="1" pivotButton="0" quotePrefix="0" xfId="0">
      <alignment horizontal="center" vertical="center"/>
    </xf>
    <xf numFmtId="0" fontId="55" fillId="0" borderId="8" applyAlignment="1" pivotButton="0" quotePrefix="0" xfId="0">
      <alignment horizontal="center" vertical="center"/>
    </xf>
    <xf numFmtId="0" fontId="55" fillId="0" borderId="10" applyAlignment="1" pivotButton="0" quotePrefix="0" xfId="0">
      <alignment horizontal="center" vertical="center"/>
    </xf>
    <xf numFmtId="1" fontId="55" fillId="0" borderId="8" applyAlignment="1" pivotButton="0" quotePrefix="0" xfId="0">
      <alignment horizontal="center" vertical="center"/>
    </xf>
    <xf numFmtId="0" fontId="55" fillId="0" borderId="5" applyAlignment="1" pivotButton="0" quotePrefix="0" xfId="0">
      <alignment horizontal="center" vertical="center" shrinkToFit="1"/>
    </xf>
    <xf numFmtId="0" fontId="55" fillId="0" borderId="9" applyAlignment="1" pivotButton="0" quotePrefix="0" xfId="0">
      <alignment horizontal="center" vertical="center"/>
    </xf>
    <xf numFmtId="175" fontId="55" fillId="0" borderId="8" applyAlignment="1" pivotButton="0" quotePrefix="0" xfId="0">
      <alignment horizontal="center" vertical="center"/>
    </xf>
    <xf numFmtId="0" fontId="55" fillId="0" borderId="8" applyAlignment="1" pivotButton="0" quotePrefix="0" xfId="0">
      <alignment horizontal="center" vertical="center" shrinkToFit="1"/>
    </xf>
    <xf numFmtId="1" fontId="55" fillId="0" borderId="5" applyAlignment="1" pivotButton="0" quotePrefix="0" xfId="0">
      <alignment horizontal="center" vertical="center" wrapText="1"/>
    </xf>
    <xf numFmtId="0" fontId="55" fillId="0" borderId="5" applyAlignment="1" pivotButton="0" quotePrefix="0" xfId="0">
      <alignment horizontal="distributed" vertical="center"/>
    </xf>
    <xf numFmtId="0" fontId="2" fillId="0" borderId="11" applyAlignment="1" pivotButton="0" quotePrefix="0" xfId="0">
      <alignment horizontal="center" vertical="center" wrapText="1"/>
    </xf>
    <xf numFmtId="0" fontId="75" fillId="0" borderId="5" applyAlignment="1" pivotButton="0" quotePrefix="0" xfId="0">
      <alignment horizontal="center" vertical="center" wrapText="1"/>
    </xf>
    <xf numFmtId="0" fontId="2" fillId="0" borderId="5" applyAlignment="1" pivotButton="0" quotePrefix="0" xfId="0">
      <alignment horizontal="center" vertical="center" wrapText="1"/>
    </xf>
    <xf numFmtId="0" fontId="44" fillId="0" borderId="114" applyAlignment="1" pivotButton="0" quotePrefix="0" xfId="3">
      <alignment horizontal="left" vertical="top" textRotation="255" wrapText="1"/>
    </xf>
    <xf numFmtId="0" fontId="0" fillId="0" borderId="114" pivotButton="0" quotePrefix="0" xfId="0"/>
    <xf numFmtId="0" fontId="55" fillId="0" borderId="122" applyAlignment="1" pivotButton="0" quotePrefix="0" xfId="3">
      <alignment horizontal="left" vertical="top" wrapText="1"/>
    </xf>
    <xf numFmtId="0" fontId="0" fillId="0" borderId="118" pivotButton="0" quotePrefix="0" xfId="0"/>
    <xf numFmtId="0" fontId="53" fillId="0" borderId="0" applyAlignment="1" pivotButton="0" quotePrefix="0" xfId="3">
      <alignment horizontal="left" vertical="top"/>
    </xf>
    <xf numFmtId="0" fontId="73" fillId="0" borderId="0" applyAlignment="1" pivotButton="0" quotePrefix="0" xfId="3">
      <alignment horizontal="left" vertical="top"/>
    </xf>
    <xf numFmtId="0" fontId="53" fillId="0" borderId="5" applyAlignment="1" pivotButton="0" quotePrefix="0" xfId="3">
      <alignment horizontal="left" vertical="top" wrapText="1"/>
    </xf>
    <xf numFmtId="0" fontId="2" fillId="0" borderId="5" applyAlignment="1" pivotButton="0" quotePrefix="0" xfId="3">
      <alignment horizontal="center" vertical="top" wrapText="1"/>
    </xf>
    <xf numFmtId="49" fontId="73" fillId="0" borderId="0" applyAlignment="1" pivotButton="0" quotePrefix="0" xfId="3">
      <alignment horizontal="center" vertical="center"/>
    </xf>
    <xf numFmtId="0" fontId="44" fillId="0" borderId="5" applyAlignment="1" pivotButton="0" quotePrefix="0" xfId="3">
      <alignment horizontal="center" vertical="top" wrapText="1"/>
    </xf>
    <xf numFmtId="0" fontId="55" fillId="0" borderId="5" applyAlignment="1" pivotButton="0" quotePrefix="0" xfId="3">
      <alignment horizontal="left" vertical="top" wrapText="1"/>
    </xf>
    <xf numFmtId="0" fontId="0" fillId="0" borderId="125" pivotButton="0" quotePrefix="0" xfId="0"/>
    <xf numFmtId="0" fontId="55" fillId="0" borderId="5" applyAlignment="1" pivotButton="0" quotePrefix="0" xfId="3">
      <alignment horizontal="center" vertical="top" wrapText="1"/>
    </xf>
    <xf numFmtId="0" fontId="2" fillId="0" borderId="122" applyAlignment="1" pivotButton="0" quotePrefix="0" xfId="3">
      <alignment horizontal="left" vertical="top" wrapText="1"/>
    </xf>
    <xf numFmtId="0" fontId="0" fillId="0" borderId="126" pivotButton="0" quotePrefix="0" xfId="0"/>
    <xf numFmtId="0" fontId="0" fillId="0" borderId="124" pivotButton="0" quotePrefix="0" xfId="0"/>
    <xf numFmtId="0" fontId="0" fillId="0" borderId="117" pivotButton="0" quotePrefix="0" xfId="0"/>
    <xf numFmtId="0" fontId="0" fillId="0" borderId="123" pivotButton="0" quotePrefix="0" xfId="0"/>
    <xf numFmtId="0" fontId="21" fillId="0" borderId="19" applyAlignment="1" pivotButton="0" quotePrefix="0" xfId="3">
      <alignment horizontal="left" vertical="top" wrapText="1"/>
    </xf>
    <xf numFmtId="0" fontId="2" fillId="0" borderId="5" applyAlignment="1" pivotButton="0" quotePrefix="0" xfId="3">
      <alignment horizontal="left" vertical="top" wrapText="1"/>
    </xf>
    <xf numFmtId="0" fontId="55" fillId="0" borderId="122" applyAlignment="1" pivotButton="0" quotePrefix="0" xfId="3">
      <alignment horizontal="left" vertical="center" wrapText="1"/>
    </xf>
    <xf numFmtId="0" fontId="44" fillId="0" borderId="122" applyAlignment="1" pivotButton="0" quotePrefix="0" xfId="3">
      <alignment horizontal="left" vertical="top" wrapText="1"/>
    </xf>
    <xf numFmtId="0" fontId="2" fillId="0" borderId="122" applyAlignment="1" pivotButton="0" quotePrefix="0" xfId="3">
      <alignment horizontal="center" vertical="top" wrapText="1"/>
    </xf>
    <xf numFmtId="0" fontId="44" fillId="0" borderId="122" applyAlignment="1" pivotButton="0" quotePrefix="0" xfId="3">
      <alignment horizontal="left" wrapText="1"/>
    </xf>
    <xf numFmtId="0" fontId="0" fillId="0" borderId="121" pivotButton="0" quotePrefix="0" xfId="0"/>
    <xf numFmtId="0" fontId="0" fillId="0" borderId="120" pivotButton="0" quotePrefix="0" xfId="0"/>
    <xf numFmtId="0" fontId="53" fillId="0" borderId="119" applyAlignment="1" pivotButton="0" quotePrefix="0" xfId="3">
      <alignment horizontal="left" vertical="top"/>
    </xf>
    <xf numFmtId="0" fontId="0" fillId="0" borderId="119" pivotButton="0" quotePrefix="0" xfId="0"/>
    <xf numFmtId="0" fontId="44" fillId="0" borderId="114" applyAlignment="1" pivotButton="0" quotePrefix="0" xfId="3">
      <alignment horizontal="right" vertical="top" wrapText="1"/>
    </xf>
    <xf numFmtId="0" fontId="6" fillId="0" borderId="253" applyAlignment="1" pivotButton="0" quotePrefix="0" xfId="0">
      <alignment horizontal="center" vertical="center" wrapText="1"/>
    </xf>
    <xf numFmtId="0" fontId="0" fillId="0" borderId="72" pivotButton="0" quotePrefix="0" xfId="0"/>
    <xf numFmtId="0" fontId="0" fillId="0" borderId="32" pivotButton="0" quotePrefix="0" xfId="0"/>
    <xf numFmtId="0" fontId="30" fillId="0" borderId="221" applyAlignment="1" pivotButton="0" quotePrefix="0" xfId="0">
      <alignment horizontal="left" vertical="center" wrapText="1"/>
    </xf>
    <xf numFmtId="0" fontId="0" fillId="0" borderId="131" pivotButton="0" quotePrefix="0" xfId="0"/>
    <xf numFmtId="0" fontId="30" fillId="0" borderId="83" applyAlignment="1" pivotButton="0" quotePrefix="0" xfId="0">
      <alignment horizontal="left" vertical="center"/>
    </xf>
    <xf numFmtId="0" fontId="30" fillId="0" borderId="250" applyAlignment="1" pivotButton="0" quotePrefix="0" xfId="0">
      <alignment horizontal="left" vertical="center" wrapText="1"/>
    </xf>
    <xf numFmtId="0" fontId="0" fillId="0" borderId="146" pivotButton="0" quotePrefix="0" xfId="0"/>
    <xf numFmtId="0" fontId="0" fillId="0" borderId="145" pivotButton="0" quotePrefix="0" xfId="0"/>
    <xf numFmtId="0" fontId="6" fillId="0" borderId="233" applyAlignment="1" pivotButton="0" quotePrefix="0" xfId="0">
      <alignment horizontal="justify" vertical="center" wrapText="1"/>
    </xf>
    <xf numFmtId="0" fontId="89" fillId="0" borderId="232" applyAlignment="1" pivotButton="0" quotePrefix="0" xfId="0">
      <alignment horizontal="justify" vertical="center" wrapText="1"/>
    </xf>
    <xf numFmtId="0" fontId="6" fillId="0" borderId="252" applyAlignment="1" pivotButton="0" quotePrefix="0" xfId="0">
      <alignment horizontal="justify" vertical="center" wrapText="1"/>
    </xf>
    <xf numFmtId="0" fontId="6" fillId="0" borderId="232" applyAlignment="1" pivotButton="0" quotePrefix="0" xfId="0">
      <alignment horizontal="justify" vertical="center" wrapText="1"/>
    </xf>
    <xf numFmtId="0" fontId="91" fillId="0" borderId="74" applyAlignment="1" pivotButton="0" quotePrefix="0" xfId="0">
      <alignment horizontal="distributed" vertical="center"/>
    </xf>
    <xf numFmtId="0" fontId="6" fillId="0" borderId="223" applyAlignment="1" pivotButton="0" quotePrefix="0" xfId="0">
      <alignment horizontal="center" vertical="center" wrapText="1"/>
    </xf>
    <xf numFmtId="0" fontId="0" fillId="0" borderId="132" pivotButton="0" quotePrefix="0" xfId="0"/>
    <xf numFmtId="0" fontId="6" fillId="0" borderId="79" applyAlignment="1" pivotButton="0" quotePrefix="0" xfId="0">
      <alignment horizontal="justify" vertical="center" wrapText="1"/>
    </xf>
    <xf numFmtId="0" fontId="91" fillId="0" borderId="46" applyAlignment="1" pivotButton="0" quotePrefix="0" xfId="0">
      <alignment horizontal="distributed" vertical="center"/>
    </xf>
    <xf numFmtId="0" fontId="30" fillId="0" borderId="227" applyAlignment="1" pivotButton="0" quotePrefix="0" xfId="0">
      <alignment horizontal="left" vertical="center" wrapText="1"/>
    </xf>
    <xf numFmtId="0" fontId="30" fillId="0" borderId="249" applyAlignment="1" pivotButton="0" quotePrefix="0" xfId="0">
      <alignment horizontal="left" vertical="center" wrapText="1"/>
    </xf>
    <xf numFmtId="0" fontId="0" fillId="0" borderId="148" pivotButton="0" quotePrefix="0" xfId="0"/>
    <xf numFmtId="0" fontId="0" fillId="0" borderId="147" pivotButton="0" quotePrefix="0" xfId="0"/>
    <xf numFmtId="0" fontId="91" fillId="0" borderId="251" applyAlignment="1" pivotButton="0" quotePrefix="0" xfId="0">
      <alignment horizontal="center" vertical="center" wrapText="1"/>
    </xf>
    <xf numFmtId="0" fontId="6" fillId="0" borderId="257" applyAlignment="1" pivotButton="0" quotePrefix="0" xfId="0">
      <alignment horizontal="justify" vertical="center" wrapText="1"/>
    </xf>
    <xf numFmtId="0" fontId="6" fillId="0" borderId="256" applyAlignment="1" pivotButton="0" quotePrefix="0" xfId="0">
      <alignment horizontal="justify" vertical="center" wrapText="1"/>
    </xf>
    <xf numFmtId="0" fontId="0" fillId="0" borderId="138" pivotButton="0" quotePrefix="0" xfId="0"/>
    <xf numFmtId="0" fontId="27" fillId="0" borderId="264" applyAlignment="1" pivotButton="0" quotePrefix="0" xfId="0">
      <alignment horizontal="center" vertical="center" wrapText="1"/>
    </xf>
    <xf numFmtId="0" fontId="0" fillId="0" borderId="265" pivotButton="0" quotePrefix="0" xfId="0"/>
    <xf numFmtId="0" fontId="31" fillId="0" borderId="263" applyAlignment="1" pivotButton="0" quotePrefix="0" xfId="0">
      <alignment horizontal="justify" vertical="center" wrapText="1"/>
    </xf>
    <xf numFmtId="0" fontId="0" fillId="0" borderId="144" pivotButton="0" quotePrefix="0" xfId="0"/>
    <xf numFmtId="0" fontId="54" fillId="0" borderId="86" applyAlignment="1" pivotButton="0" quotePrefix="0" xfId="0">
      <alignment horizontal="distributed" vertical="center" wrapText="1"/>
    </xf>
    <xf numFmtId="0" fontId="54" fillId="0" borderId="53" applyAlignment="1" pivotButton="0" quotePrefix="0" xfId="0">
      <alignment horizontal="distributed" vertical="center" wrapText="1"/>
    </xf>
    <xf numFmtId="0" fontId="6" fillId="0" borderId="262" applyAlignment="1" pivotButton="0" quotePrefix="0" xfId="0">
      <alignment horizontal="justify" vertical="center" wrapText="1"/>
    </xf>
    <xf numFmtId="0" fontId="6" fillId="0" borderId="215" applyAlignment="1" pivotButton="0" quotePrefix="0" xfId="0">
      <alignment horizontal="justify" vertical="center" wrapText="1"/>
    </xf>
    <xf numFmtId="0" fontId="6" fillId="0" borderId="259" applyAlignment="1" pivotButton="0" quotePrefix="0" xfId="0">
      <alignment horizontal="justify" vertical="center" wrapText="1"/>
    </xf>
    <xf numFmtId="0" fontId="0" fillId="0" borderId="142" pivotButton="0" quotePrefix="0" xfId="0"/>
    <xf numFmtId="0" fontId="0" fillId="0" borderId="141" pivotButton="0" quotePrefix="0" xfId="0"/>
    <xf numFmtId="0" fontId="6" fillId="0" borderId="254" applyAlignment="1" pivotButton="0" quotePrefix="0" xfId="0">
      <alignment horizontal="justify" vertical="center" wrapText="1"/>
    </xf>
    <xf numFmtId="0" fontId="0" fillId="0" borderId="136" pivotButton="0" quotePrefix="0" xfId="0"/>
    <xf numFmtId="0" fontId="0" fillId="0" borderId="137" pivotButton="0" quotePrefix="0" xfId="0"/>
    <xf numFmtId="0" fontId="6" fillId="0" borderId="260" applyAlignment="1" pivotButton="0" quotePrefix="0" xfId="0">
      <alignment horizontal="justify" vertical="center" wrapText="1"/>
    </xf>
    <xf numFmtId="0" fontId="0" fillId="0" borderId="261" pivotButton="0" quotePrefix="0" xfId="0"/>
    <xf numFmtId="0" fontId="0" fillId="0" borderId="140" pivotButton="0" quotePrefix="0" xfId="0"/>
    <xf numFmtId="0" fontId="6" fillId="0" borderId="258" applyAlignment="1" pivotButton="0" quotePrefix="0" xfId="0">
      <alignment horizontal="justify" vertical="center" wrapText="1"/>
    </xf>
    <xf numFmtId="0" fontId="0" fillId="0" borderId="143" pivotButton="0" quotePrefix="0" xfId="0"/>
    <xf numFmtId="0" fontId="6" fillId="0" borderId="255" applyAlignment="1" pivotButton="0" quotePrefix="0" xfId="0">
      <alignment horizontal="justify" vertical="center" wrapText="1"/>
    </xf>
    <xf numFmtId="0" fontId="0" fillId="0" borderId="135" pivotButton="0" quotePrefix="0" xfId="0"/>
    <xf numFmtId="0" fontId="60" fillId="0" borderId="222" applyAlignment="1" applyProtection="1" pivotButton="0" quotePrefix="0" xfId="0">
      <alignment vertical="center" wrapText="1"/>
      <protection locked="1" hidden="1"/>
    </xf>
    <xf numFmtId="0" fontId="0" fillId="0" borderId="48" applyProtection="1" pivotButton="0" quotePrefix="0" xfId="0">
      <protection locked="1" hidden="1"/>
    </xf>
    <xf numFmtId="0" fontId="60" fillId="0" borderId="232" applyAlignment="1" applyProtection="1" pivotButton="0" quotePrefix="0" xfId="0">
      <alignment horizontal="left" vertical="center" wrapText="1"/>
      <protection locked="1" hidden="1"/>
    </xf>
    <xf numFmtId="0" fontId="81" fillId="0" borderId="236" applyAlignment="1" applyProtection="1" pivotButton="0" quotePrefix="0" xfId="0">
      <alignment vertical="center"/>
      <protection locked="1" hidden="1"/>
    </xf>
    <xf numFmtId="0" fontId="76" fillId="0" borderId="236" applyAlignment="1" applyProtection="1" pivotButton="0" quotePrefix="0" xfId="0">
      <alignment vertical="center" wrapText="1"/>
      <protection locked="1" hidden="1"/>
    </xf>
    <xf numFmtId="0" fontId="78" fillId="0" borderId="222" applyAlignment="1" applyProtection="1" pivotButton="0" quotePrefix="0" xfId="0">
      <alignment vertical="center"/>
      <protection locked="1" hidden="1"/>
    </xf>
    <xf numFmtId="0" fontId="80" fillId="0" borderId="236" applyAlignment="1" applyProtection="1" pivotButton="0" quotePrefix="0" xfId="0">
      <alignment vertical="center"/>
      <protection locked="1" hidden="1"/>
    </xf>
    <xf numFmtId="0" fontId="78" fillId="0" borderId="236" applyAlignment="1" applyProtection="1" pivotButton="0" quotePrefix="0" xfId="0">
      <alignment vertical="center"/>
      <protection locked="1" hidden="1"/>
    </xf>
    <xf numFmtId="0" fontId="77" fillId="0" borderId="266" applyAlignment="1" applyProtection="1" pivotButton="0" quotePrefix="0" xfId="0">
      <alignment vertical="center"/>
      <protection locked="1" hidden="1"/>
    </xf>
    <xf numFmtId="0" fontId="0" fillId="0" borderId="194" applyProtection="1" pivotButton="0" quotePrefix="0" xfId="0">
      <protection locked="1" hidden="1"/>
    </xf>
    <xf numFmtId="0" fontId="0" fillId="0" borderId="267" applyProtection="1" pivotButton="0" quotePrefix="0" xfId="0">
      <protection locked="1" hidden="1"/>
    </xf>
    <xf numFmtId="0" fontId="60" fillId="14" borderId="215" applyAlignment="1" applyProtection="1" pivotButton="0" quotePrefix="0" xfId="0">
      <alignment horizontal="center" vertical="center" wrapText="1"/>
      <protection locked="1" hidden="1"/>
    </xf>
    <xf numFmtId="0" fontId="0" fillId="0" borderId="81" applyProtection="1" pivotButton="0" quotePrefix="0" xfId="0">
      <protection locked="1" hidden="1"/>
    </xf>
    <xf numFmtId="0" fontId="79" fillId="0" borderId="236" applyAlignment="1" applyProtection="1" pivotButton="0" quotePrefix="0" xfId="0">
      <alignment vertical="center"/>
      <protection locked="1" hidden="1"/>
    </xf>
    <xf numFmtId="0" fontId="60" fillId="0" borderId="215" applyAlignment="1" applyProtection="1" pivotButton="0" quotePrefix="0" xfId="0">
      <alignment horizontal="center" vertical="center" wrapText="1"/>
      <protection locked="1" hidden="1"/>
    </xf>
    <xf numFmtId="0" fontId="0" fillId="0" borderId="82" applyProtection="1" pivotButton="0" quotePrefix="0" xfId="0">
      <protection locked="1" hidden="1"/>
    </xf>
    <xf numFmtId="0" fontId="84" fillId="0" borderId="215" applyAlignment="1" applyProtection="1" pivotButton="0" quotePrefix="0" xfId="0">
      <alignment horizontal="center" vertical="center" wrapText="1"/>
      <protection locked="1" hidden="1"/>
    </xf>
    <xf numFmtId="0" fontId="77" fillId="14" borderId="226" applyAlignment="1" applyProtection="1" pivotButton="0" quotePrefix="0" xfId="0">
      <alignment horizontal="center" vertical="center" wrapText="1"/>
      <protection locked="1" hidden="1"/>
    </xf>
    <xf numFmtId="0" fontId="0" fillId="0" borderId="205" applyProtection="1" pivotButton="0" quotePrefix="0" xfId="0">
      <protection locked="1" hidden="1"/>
    </xf>
    <xf numFmtId="0" fontId="0" fillId="0" borderId="53" applyProtection="1" pivotButton="0" quotePrefix="0" xfId="0">
      <protection locked="1" hidden="1"/>
    </xf>
    <xf numFmtId="0" fontId="77" fillId="14" borderId="215" applyAlignment="1" applyProtection="1" pivotButton="0" quotePrefix="0" xfId="0">
      <alignment horizontal="center" vertical="center" wrapText="1"/>
      <protection locked="1" hidden="1"/>
    </xf>
    <xf numFmtId="0" fontId="84" fillId="0" borderId="221" applyAlignment="1" applyProtection="1" pivotButton="0" quotePrefix="0" xfId="0">
      <alignment horizontal="center" vertical="center" wrapText="1"/>
      <protection locked="1" hidden="1"/>
    </xf>
    <xf numFmtId="0" fontId="0" fillId="0" borderId="131" applyProtection="1" pivotButton="0" quotePrefix="0" xfId="0">
      <protection locked="1" hidden="1"/>
    </xf>
    <xf numFmtId="0" fontId="82" fillId="15" borderId="268" applyAlignment="1" applyProtection="1" pivotButton="0" quotePrefix="0" xfId="0">
      <alignment horizontal="center" vertical="center" wrapText="1"/>
      <protection locked="1" hidden="1"/>
    </xf>
    <xf numFmtId="0" fontId="76" fillId="0" borderId="79" applyAlignment="1" applyProtection="1" pivotButton="0" quotePrefix="0" xfId="0">
      <alignment vertical="center" wrapText="1"/>
      <protection locked="1" hidden="1"/>
    </xf>
    <xf numFmtId="0" fontId="0" fillId="0" borderId="73" applyProtection="1" pivotButton="0" quotePrefix="0" xfId="0">
      <protection locked="1" hidden="1"/>
    </xf>
    <xf numFmtId="0" fontId="0" fillId="0" borderId="78" applyProtection="1" pivotButton="0" quotePrefix="0" xfId="0">
      <protection locked="1" hidden="1"/>
    </xf>
    <xf numFmtId="0" fontId="60" fillId="0" borderId="221" applyAlignment="1" applyProtection="1" pivotButton="0" quotePrefix="0" xfId="0">
      <alignment horizontal="center" vertical="center" wrapText="1"/>
      <protection locked="1" hidden="1"/>
    </xf>
    <xf numFmtId="0" fontId="60" fillId="14" borderId="221" applyAlignment="1" applyProtection="1" pivotButton="0" quotePrefix="0" xfId="0">
      <alignment horizontal="center" vertical="center" wrapText="1"/>
      <protection locked="1" hidden="1"/>
    </xf>
    <xf numFmtId="0" fontId="85" fillId="0" borderId="271" applyAlignment="1" applyProtection="1" pivotButton="0" quotePrefix="0" xfId="0">
      <alignment horizontal="center" vertical="center" wrapText="1"/>
      <protection locked="1" hidden="1"/>
    </xf>
    <xf numFmtId="0" fontId="0" fillId="0" borderId="261" applyProtection="1" pivotButton="0" quotePrefix="0" xfId="0">
      <protection locked="1" hidden="1"/>
    </xf>
    <xf numFmtId="0" fontId="0" fillId="0" borderId="272" applyProtection="1" pivotButton="0" quotePrefix="0" xfId="0">
      <protection locked="1" hidden="1"/>
    </xf>
    <xf numFmtId="0" fontId="83" fillId="0" borderId="215" applyAlignment="1" applyProtection="1" pivotButton="0" quotePrefix="0" xfId="0">
      <alignment vertical="center" wrapText="1"/>
      <protection locked="1" hidden="1"/>
    </xf>
    <xf numFmtId="0" fontId="0" fillId="0" borderId="133" applyProtection="1" pivotButton="0" quotePrefix="0" xfId="0">
      <protection locked="1" hidden="1"/>
    </xf>
    <xf numFmtId="0" fontId="85" fillId="0" borderId="270" applyAlignment="1" applyProtection="1" pivotButton="0" quotePrefix="0" xfId="0">
      <alignment horizontal="center" vertical="center" wrapText="1"/>
      <protection locked="1" hidden="1"/>
    </xf>
    <xf numFmtId="0" fontId="0" fillId="0" borderId="134" applyProtection="1" pivotButton="0" quotePrefix="0" xfId="0">
      <protection locked="1" hidden="1"/>
    </xf>
    <xf numFmtId="0" fontId="60" fillId="16" borderId="270" applyAlignment="1" applyProtection="1" pivotButton="0" quotePrefix="0" xfId="0">
      <alignment horizontal="center" vertical="center" wrapText="1"/>
      <protection locked="1" hidden="1"/>
    </xf>
    <xf numFmtId="0" fontId="60" fillId="0" borderId="233" applyAlignment="1" applyProtection="1" pivotButton="0" quotePrefix="0" xfId="0">
      <alignment horizontal="left" vertical="center" wrapText="1"/>
      <protection locked="1" hidden="1"/>
    </xf>
    <xf numFmtId="0" fontId="0" fillId="0" borderId="210" applyProtection="1" pivotButton="0" quotePrefix="0" xfId="0">
      <protection locked="1" hidden="1"/>
    </xf>
    <xf numFmtId="0" fontId="0" fillId="0" borderId="234" applyProtection="1" pivotButton="0" quotePrefix="0" xfId="0">
      <protection locked="1" hidden="1"/>
    </xf>
    <xf numFmtId="0" fontId="77" fillId="14" borderId="223" applyAlignment="1" applyProtection="1" pivotButton="0" quotePrefix="0" xfId="0">
      <alignment horizontal="center" vertical="center" wrapText="1"/>
      <protection locked="1" hidden="1"/>
    </xf>
    <xf numFmtId="0" fontId="0" fillId="0" borderId="72" applyProtection="1" pivotButton="0" quotePrefix="0" xfId="0">
      <protection locked="1" hidden="1"/>
    </xf>
    <xf numFmtId="0" fontId="0" fillId="0" borderId="132" applyProtection="1" pivotButton="0" quotePrefix="0" xfId="0">
      <protection locked="1" hidden="1"/>
    </xf>
    <xf numFmtId="0" fontId="77" fillId="14" borderId="269" applyAlignment="1" applyProtection="1" pivotButton="0" quotePrefix="0" xfId="0">
      <alignment horizontal="center" vertical="center" textRotation="255" wrapText="1"/>
      <protection locked="1" hidden="1"/>
    </xf>
    <xf numFmtId="0" fontId="86" fillId="0" borderId="36" applyAlignment="1" applyProtection="1" pivotButton="0" quotePrefix="0" xfId="0">
      <alignment horizontal="center" vertical="center" wrapText="1"/>
      <protection locked="1" hidden="1"/>
    </xf>
    <xf numFmtId="0" fontId="0" fillId="0" borderId="36" applyProtection="1" pivotButton="0" quotePrefix="0" xfId="0">
      <protection locked="1" hidden="1"/>
    </xf>
    <xf numFmtId="0" fontId="76" fillId="0" borderId="233" applyAlignment="1" applyProtection="1" pivotButton="0" quotePrefix="0" xfId="0">
      <alignment vertical="center" wrapText="1"/>
      <protection locked="1" hidden="1"/>
    </xf>
    <xf numFmtId="0" fontId="60" fillId="0" borderId="79" applyAlignment="1" applyProtection="1" pivotButton="0" quotePrefix="0" xfId="0">
      <alignment horizontal="left" vertical="center" wrapText="1"/>
      <protection locked="1" hidden="1"/>
    </xf>
    <xf numFmtId="0" fontId="31" fillId="0" borderId="101" applyAlignment="1" pivotButton="0" quotePrefix="0" xfId="0">
      <alignment horizontal="center" vertical="center" wrapText="1"/>
    </xf>
    <xf numFmtId="0" fontId="0" fillId="0" borderId="273" pivotButton="0" quotePrefix="0" xfId="0"/>
    <xf numFmtId="0" fontId="24" fillId="0" borderId="5" applyAlignment="1" pivotButton="0" quotePrefix="0" xfId="0">
      <alignment horizontal="distributed" vertical="center"/>
    </xf>
    <xf numFmtId="0" fontId="68" fillId="0" borderId="11" applyAlignment="1" pivotButton="0" quotePrefix="0" xfId="0">
      <alignment vertical="center" wrapText="1"/>
    </xf>
    <xf numFmtId="0" fontId="31" fillId="0" borderId="102" applyAlignment="1" pivotButton="0" quotePrefix="0" xfId="0">
      <alignment horizontal="center" vertical="center" wrapText="1"/>
    </xf>
    <xf numFmtId="0" fontId="6" fillId="0" borderId="25" applyAlignment="1" pivotButton="0" quotePrefix="0" xfId="0">
      <alignment horizontal="center" vertical="center" wrapText="1"/>
    </xf>
    <xf numFmtId="0" fontId="6" fillId="0" borderId="240" applyAlignment="1" pivotButton="0" quotePrefix="0" xfId="0">
      <alignment horizontal="center" vertical="center" wrapText="1"/>
    </xf>
    <xf numFmtId="0" fontId="5" fillId="0" borderId="0" applyAlignment="1" pivotButton="0" quotePrefix="0" xfId="0">
      <alignment horizontal="center" vertical="center" wrapText="1"/>
    </xf>
    <xf numFmtId="0" fontId="6" fillId="0" borderId="275" applyAlignment="1" pivotButton="0" quotePrefix="0" xfId="0">
      <alignment horizontal="center" vertical="center" wrapText="1"/>
    </xf>
    <xf numFmtId="0" fontId="0" fillId="0" borderId="93" pivotButton="0" quotePrefix="0" xfId="0"/>
    <xf numFmtId="0" fontId="37" fillId="0" borderId="0" applyAlignment="1" pivotButton="0" quotePrefix="0" xfId="0">
      <alignment horizontal="left"/>
    </xf>
    <xf numFmtId="0" fontId="5" fillId="0" borderId="25" applyAlignment="1" pivotButton="0" quotePrefix="0" xfId="0">
      <alignment horizontal="center" vertical="center" wrapText="1"/>
    </xf>
    <xf numFmtId="0" fontId="6" fillId="0" borderId="240" applyAlignment="1" pivotButton="0" quotePrefix="0" xfId="0">
      <alignment horizontal="left" vertical="center"/>
    </xf>
    <xf numFmtId="0" fontId="5" fillId="0" borderId="11" applyAlignment="1" pivotButton="0" quotePrefix="0" xfId="0">
      <alignment horizontal="left" vertical="top" wrapText="1"/>
    </xf>
    <xf numFmtId="0" fontId="6" fillId="0" borderId="276" applyAlignment="1" pivotButton="0" quotePrefix="0" xfId="0">
      <alignment horizontal="center" vertical="center" wrapText="1"/>
    </xf>
    <xf numFmtId="0" fontId="0" fillId="0" borderId="127" pivotButton="0" quotePrefix="0" xfId="0"/>
    <xf numFmtId="0" fontId="6" fillId="0" borderId="0" applyAlignment="1" pivotButton="0" quotePrefix="0" xfId="0">
      <alignment horizontal="left" vertical="center" wrapText="1" indent="15"/>
    </xf>
    <xf numFmtId="0" fontId="74" fillId="0" borderId="104" applyAlignment="1" pivotButton="0" quotePrefix="0" xfId="0">
      <alignment horizontal="center" vertical="center" wrapText="1"/>
    </xf>
    <xf numFmtId="0" fontId="0" fillId="0" borderId="274" pivotButton="0" quotePrefix="0" xfId="0"/>
    <xf numFmtId="0" fontId="31" fillId="0" borderId="97" applyAlignment="1" pivotButton="0" quotePrefix="0" xfId="0">
      <alignment horizontal="center" vertical="center" wrapText="1"/>
    </xf>
    <xf numFmtId="0" fontId="6" fillId="0" borderId="129" applyAlignment="1" pivotButton="0" quotePrefix="0" xfId="0">
      <alignment horizontal="center" vertical="center" wrapText="1"/>
    </xf>
    <xf numFmtId="0" fontId="0" fillId="0" borderId="111" pivotButton="0" quotePrefix="0" xfId="0"/>
    <xf numFmtId="0" fontId="26" fillId="0" borderId="0" applyAlignment="1" pivotButton="0" quotePrefix="0" xfId="0">
      <alignment horizontal="distributed" vertical="center"/>
    </xf>
    <xf numFmtId="0" fontId="30" fillId="0" borderId="0" applyAlignment="1" pivotButton="0" quotePrefix="0" xfId="0">
      <alignment vertical="center"/>
    </xf>
    <xf numFmtId="0" fontId="5" fillId="0" borderId="80" applyAlignment="1" pivotButton="0" quotePrefix="0" xfId="0">
      <alignment horizontal="left" vertical="center" wrapText="1"/>
    </xf>
    <xf numFmtId="0" fontId="6" fillId="0" borderId="150" applyAlignment="1" pivotButton="0" quotePrefix="0" xfId="0">
      <alignment horizontal="center" vertical="center"/>
    </xf>
    <xf numFmtId="0" fontId="0" fillId="0" borderId="277" pivotButton="0" quotePrefix="0" xfId="0"/>
    <xf numFmtId="0" fontId="5" fillId="0" borderId="215" applyAlignment="1" pivotButton="0" quotePrefix="0" xfId="0">
      <alignment horizontal="left" vertical="center" wrapText="1"/>
    </xf>
    <xf numFmtId="0" fontId="6" fillId="0" borderId="218" applyAlignment="1" pivotButton="0" quotePrefix="0" xfId="0">
      <alignment horizontal="center" vertical="center"/>
    </xf>
    <xf numFmtId="0" fontId="5" fillId="0" borderId="80" applyAlignment="1" pivotButton="0" quotePrefix="0" xfId="0">
      <alignment horizontal="left" vertical="center"/>
    </xf>
    <xf numFmtId="0" fontId="31" fillId="0" borderId="215" applyAlignment="1" pivotButton="0" quotePrefix="0" xfId="0">
      <alignment horizontal="center" vertical="center"/>
    </xf>
    <xf numFmtId="0" fontId="6" fillId="0" borderId="150" applyAlignment="1" pivotButton="0" quotePrefix="0" xfId="0">
      <alignment horizontal="center" vertical="center" wrapText="1"/>
    </xf>
    <xf numFmtId="0" fontId="5" fillId="0" borderId="215" applyAlignment="1" pivotButton="0" quotePrefix="0" xfId="0">
      <alignment horizontal="center" vertical="center"/>
    </xf>
    <xf numFmtId="0" fontId="37" fillId="0" borderId="0" applyAlignment="1" pivotButton="0" quotePrefix="0" xfId="0">
      <alignment horizontal="left" vertical="top" wrapText="1"/>
    </xf>
    <xf numFmtId="0" fontId="5" fillId="0" borderId="83" applyAlignment="1" pivotButton="0" quotePrefix="0" xfId="0">
      <alignment horizontal="left" vertical="center"/>
    </xf>
    <xf numFmtId="0" fontId="5" fillId="0" borderId="82" applyAlignment="1" pivotButton="0" quotePrefix="0" xfId="0">
      <alignment horizontal="center" vertical="center" wrapText="1"/>
    </xf>
    <xf numFmtId="0" fontId="5" fillId="0" borderId="83" applyAlignment="1" pivotButton="0" quotePrefix="0" xfId="0">
      <alignment horizontal="left" vertical="center" wrapText="1"/>
    </xf>
    <xf numFmtId="0" fontId="5" fillId="0" borderId="201" applyAlignment="1" pivotButton="0" quotePrefix="0" xfId="0">
      <alignment horizontal="left" vertical="center"/>
    </xf>
    <xf numFmtId="0" fontId="5" fillId="0" borderId="0" applyAlignment="1" pivotButton="0" quotePrefix="0" xfId="0">
      <alignment horizontal="center" vertical="top" wrapText="1"/>
    </xf>
    <xf numFmtId="0" fontId="5" fillId="0" borderId="209" applyAlignment="1" pivotButton="0" quotePrefix="0" xfId="0">
      <alignment horizontal="left" vertical="top" wrapText="1"/>
    </xf>
    <xf numFmtId="0" fontId="6" fillId="0" borderId="82" applyAlignment="1" pivotButton="0" quotePrefix="0" xfId="0">
      <alignment horizontal="left" vertical="center" wrapText="1"/>
    </xf>
    <xf numFmtId="0" fontId="5" fillId="0" borderId="150" applyAlignment="1" pivotButton="0" quotePrefix="0" xfId="0">
      <alignment horizontal="left" vertical="center" wrapText="1"/>
    </xf>
    <xf numFmtId="0" fontId="0" fillId="0" borderId="278" pivotButton="0" quotePrefix="0" xfId="0"/>
    <xf numFmtId="0" fontId="5" fillId="0" borderId="209" applyAlignment="1" pivotButton="0" quotePrefix="0" xfId="0">
      <alignment horizontal="left" vertical="center" wrapText="1"/>
    </xf>
    <xf numFmtId="0" fontId="5" fillId="0" borderId="50" applyAlignment="1" pivotButton="0" quotePrefix="0" xfId="0">
      <alignment horizontal="distributed" vertical="center" wrapText="1"/>
    </xf>
    <xf numFmtId="0" fontId="34" fillId="0" borderId="70" applyAlignment="1" pivotButton="0" quotePrefix="0" xfId="0">
      <alignment vertical="center" wrapText="1"/>
    </xf>
    <xf numFmtId="0" fontId="0" fillId="0" borderId="282" pivotButton="0" quotePrefix="0" xfId="0"/>
    <xf numFmtId="0" fontId="0" fillId="0" borderId="91" pivotButton="0" quotePrefix="0" xfId="0"/>
    <xf numFmtId="0" fontId="60" fillId="0" borderId="18" applyAlignment="1" pivotButton="0" quotePrefix="0" xfId="0">
      <alignment horizontal="justify" vertical="center" wrapText="1"/>
    </xf>
    <xf numFmtId="0" fontId="0" fillId="11" borderId="29" applyAlignment="1" pivotButton="0" quotePrefix="0" xfId="0">
      <alignment vertical="center" wrapText="1"/>
    </xf>
    <xf numFmtId="0" fontId="34" fillId="11" borderId="5" applyAlignment="1" pivotButton="0" quotePrefix="0" xfId="0">
      <alignment horizontal="center" vertical="center" wrapText="1"/>
    </xf>
    <xf numFmtId="0" fontId="39" fillId="0" borderId="11" applyAlignment="1" pivotButton="0" quotePrefix="0" xfId="0">
      <alignment vertical="center" wrapText="1"/>
    </xf>
    <xf numFmtId="0" fontId="56" fillId="0" borderId="5" applyAlignment="1" pivotButton="0" quotePrefix="0" xfId="0">
      <alignment horizontal="left" vertical="center" wrapText="1"/>
    </xf>
    <xf numFmtId="0" fontId="24" fillId="11" borderId="13" applyAlignment="1" pivotButton="0" quotePrefix="0" xfId="0">
      <alignment horizontal="center" vertical="center" wrapText="1"/>
    </xf>
    <xf numFmtId="0" fontId="58" fillId="0" borderId="5" applyAlignment="1" pivotButton="0" quotePrefix="0" xfId="0">
      <alignment horizontal="center" vertical="center" wrapText="1"/>
    </xf>
    <xf numFmtId="0" fontId="57" fillId="0" borderId="5" applyAlignment="1" pivotButton="0" quotePrefix="0" xfId="0">
      <alignment horizontal="left" vertical="center" wrapText="1"/>
    </xf>
    <xf numFmtId="0" fontId="39" fillId="0" borderId="5" applyAlignment="1" pivotButton="0" quotePrefix="0" xfId="0">
      <alignment vertical="center" wrapText="1"/>
    </xf>
    <xf numFmtId="0" fontId="60" fillId="0" borderId="18" applyAlignment="1" pivotButton="0" quotePrefix="0" xfId="0">
      <alignment horizontal="left" vertical="center" wrapText="1"/>
    </xf>
    <xf numFmtId="0" fontId="61" fillId="0" borderId="0" applyAlignment="1" pivotButton="0" quotePrefix="0" xfId="0">
      <alignment vertical="center" wrapText="1"/>
    </xf>
    <xf numFmtId="0" fontId="66" fillId="13" borderId="27" applyAlignment="1" pivotButton="0" quotePrefix="0" xfId="0">
      <alignment horizontal="center" vertical="center" wrapText="1"/>
    </xf>
    <xf numFmtId="0" fontId="63" fillId="0" borderId="214" applyAlignment="1" pivotButton="0" quotePrefix="0" xfId="0">
      <alignment horizontal="left" vertical="center" wrapText="1"/>
    </xf>
    <xf numFmtId="0" fontId="0" fillId="0" borderId="107" pivotButton="0" quotePrefix="0" xfId="0"/>
    <xf numFmtId="0" fontId="66" fillId="13" borderId="25" applyAlignment="1" pivotButton="0" quotePrefix="0" xfId="0">
      <alignment vertical="center" wrapText="1"/>
    </xf>
    <xf numFmtId="0" fontId="59" fillId="0" borderId="50" applyAlignment="1" pivotButton="0" quotePrefix="0" xfId="0">
      <alignment horizontal="distributed" vertical="center" wrapText="1"/>
    </xf>
    <xf numFmtId="0" fontId="31" fillId="13" borderId="11" applyAlignment="1" pivotButton="0" quotePrefix="0" xfId="0">
      <alignment vertical="center" wrapText="1"/>
    </xf>
    <xf numFmtId="0" fontId="24" fillId="11" borderId="29" applyAlignment="1" pivotButton="0" quotePrefix="0" xfId="0">
      <alignment horizontal="center" vertical="center" wrapText="1"/>
    </xf>
    <xf numFmtId="0" fontId="5" fillId="0" borderId="62" applyAlignment="1" pivotButton="0" quotePrefix="0" xfId="0">
      <alignment vertical="center" wrapText="1"/>
    </xf>
    <xf numFmtId="0" fontId="67" fillId="14" borderId="5" applyAlignment="1" pivotButton="0" quotePrefix="0" xfId="0">
      <alignment horizontal="center" vertical="center" wrapText="1"/>
    </xf>
    <xf numFmtId="0" fontId="63" fillId="0" borderId="11" applyAlignment="1" pivotButton="0" quotePrefix="0" xfId="0">
      <alignment vertical="center" wrapText="1"/>
    </xf>
    <xf numFmtId="0" fontId="60" fillId="0" borderId="14" applyAlignment="1" pivotButton="0" quotePrefix="0" xfId="0">
      <alignment horizontal="justify" vertical="center" wrapText="1"/>
    </xf>
    <xf numFmtId="0" fontId="60" fillId="0" borderId="16" applyAlignment="1" pivotButton="0" quotePrefix="0" xfId="0">
      <alignment vertical="center" wrapText="1"/>
    </xf>
    <xf numFmtId="0" fontId="60" fillId="0" borderId="25" applyAlignment="1" pivotButton="0" quotePrefix="0" xfId="0">
      <alignment vertical="center" wrapText="1"/>
    </xf>
    <xf numFmtId="0" fontId="64" fillId="12" borderId="61" applyAlignment="1" pivotButton="0" quotePrefix="0" xfId="0">
      <alignment vertical="center" wrapText="1"/>
    </xf>
    <xf numFmtId="0" fontId="5" fillId="0" borderId="16" applyAlignment="1" pivotButton="0" quotePrefix="0" xfId="0">
      <alignment vertical="center" wrapText="1"/>
    </xf>
    <xf numFmtId="0" fontId="62" fillId="0" borderId="281" applyAlignment="1" pivotButton="0" quotePrefix="0" xfId="0">
      <alignment horizontal="left" vertical="center" wrapText="1"/>
    </xf>
    <xf numFmtId="0" fontId="60" fillId="0" borderId="14" applyAlignment="1" pivotButton="0" quotePrefix="0" xfId="0">
      <alignment horizontal="left" vertical="center" wrapText="1"/>
    </xf>
    <xf numFmtId="0" fontId="58" fillId="0" borderId="0" applyAlignment="1" pivotButton="0" quotePrefix="0" xfId="0">
      <alignment horizontal="center" vertical="center"/>
    </xf>
    <xf numFmtId="0" fontId="60" fillId="0" borderId="280" applyAlignment="1" pivotButton="0" quotePrefix="0" xfId="0">
      <alignment vertical="center" wrapText="1"/>
    </xf>
    <xf numFmtId="0" fontId="0" fillId="0" borderId="280" pivotButton="0" quotePrefix="0" xfId="0"/>
    <xf numFmtId="0" fontId="65" fillId="0" borderId="279" applyAlignment="1" pivotButton="0" quotePrefix="0" xfId="0">
      <alignment horizontal="center" vertical="center" wrapText="1"/>
    </xf>
    <xf numFmtId="0" fontId="0" fillId="0" borderId="208" pivotButton="0" quotePrefix="0" xfId="0"/>
    <xf numFmtId="0" fontId="60" fillId="0" borderId="10" applyAlignment="1" pivotButton="0" quotePrefix="0" xfId="0">
      <alignment horizontal="justify" vertical="center" wrapText="1"/>
    </xf>
    <xf numFmtId="0" fontId="5" fillId="0" borderId="18" applyAlignment="1" pivotButton="0" quotePrefix="0" xfId="0">
      <alignment horizontal="left" vertical="center"/>
    </xf>
    <xf numFmtId="0" fontId="5" fillId="0" borderId="19" applyAlignment="1" pivotButton="0" quotePrefix="0" xfId="0">
      <alignment horizontal="left" vertical="center"/>
    </xf>
    <xf numFmtId="0" fontId="5" fillId="0" borderId="5" applyAlignment="1" pivotButton="0" quotePrefix="0" xfId="0">
      <alignment horizontal="left" vertical="center"/>
    </xf>
    <xf numFmtId="0" fontId="5" fillId="0" borderId="13" applyAlignment="1" pivotButton="0" quotePrefix="0" xfId="0">
      <alignment horizontal="left" vertical="center"/>
    </xf>
    <xf numFmtId="0" fontId="5" fillId="0" borderId="25" applyAlignment="1" pivotButton="0" quotePrefix="0" xfId="0">
      <alignment horizontal="left" vertical="center"/>
    </xf>
    <xf numFmtId="0" fontId="5" fillId="0" borderId="5" applyAlignment="1" pivotButton="0" quotePrefix="0" xfId="0">
      <alignment horizontal="center" vertical="top"/>
    </xf>
    <xf numFmtId="0" fontId="5" fillId="0" borderId="5" applyAlignment="1" pivotButton="0" quotePrefix="0" xfId="0">
      <alignment horizontal="center" vertical="distributed" textRotation="255"/>
    </xf>
    <xf numFmtId="0" fontId="5" fillId="0" borderId="0" applyAlignment="1" pivotButton="0" quotePrefix="0" xfId="0">
      <alignment horizontal="left" vertical="center" indent="3"/>
    </xf>
    <xf numFmtId="0" fontId="5" fillId="0" borderId="29" applyAlignment="1" pivotButton="0" quotePrefix="0" xfId="0">
      <alignment horizontal="left" vertical="center"/>
    </xf>
    <xf numFmtId="0" fontId="5" fillId="0" borderId="5" applyAlignment="1" pivotButton="0" quotePrefix="0" xfId="0">
      <alignment horizontal="left" vertical="top" wrapText="1"/>
    </xf>
    <xf numFmtId="0" fontId="5" fillId="0" borderId="11" applyAlignment="1" pivotButton="0" quotePrefix="0" xfId="0">
      <alignment horizontal="left" vertical="center"/>
    </xf>
    <xf numFmtId="0" fontId="5" fillId="0" borderId="13" applyAlignment="1" pivotButton="0" quotePrefix="0" xfId="0">
      <alignment horizontal="center"/>
    </xf>
    <xf numFmtId="0" fontId="5" fillId="0" borderId="26" applyAlignment="1" pivotButton="0" quotePrefix="0" xfId="0">
      <alignment horizontal="left" vertical="center"/>
    </xf>
    <xf numFmtId="0" fontId="5" fillId="0" borderId="11" applyAlignment="1" pivotButton="0" quotePrefix="0" xfId="0">
      <alignment horizontal="left" vertical="center" wrapText="1"/>
    </xf>
    <xf numFmtId="0" fontId="45" fillId="0" borderId="5" applyAlignment="1" pivotButton="0" quotePrefix="0" xfId="0">
      <alignment horizontal="left" vertical="top"/>
    </xf>
    <xf numFmtId="0" fontId="5" fillId="0" borderId="20" applyAlignment="1" pivotButton="0" quotePrefix="0" xfId="0">
      <alignment horizontal="left" vertical="center"/>
    </xf>
    <xf numFmtId="0" fontId="69" fillId="0" borderId="11" applyAlignment="1" pivotButton="0" quotePrefix="0" xfId="0">
      <alignment horizontal="center" vertical="center"/>
    </xf>
    <xf numFmtId="0" fontId="0" fillId="0" borderId="11" applyAlignment="1" pivotButton="0" quotePrefix="0" xfId="0">
      <alignment horizontal="center" vertical="center"/>
    </xf>
    <xf numFmtId="0" fontId="60" fillId="0" borderId="5" applyAlignment="1" pivotButton="0" quotePrefix="0" xfId="0">
      <alignment horizontal="justify" vertical="center" wrapText="1"/>
    </xf>
    <xf numFmtId="0" fontId="58" fillId="11" borderId="5" applyAlignment="1" pivotButton="0" quotePrefix="0" xfId="0">
      <alignment horizontal="center" vertical="center" wrapText="1"/>
    </xf>
    <xf numFmtId="0" fontId="107" fillId="12" borderId="70" applyAlignment="1" pivotButton="0" quotePrefix="0" xfId="0">
      <alignment horizontal="center" vertical="center" wrapText="1"/>
    </xf>
    <xf numFmtId="0" fontId="108" fillId="5" borderId="215" applyAlignment="1" pivotButton="0" quotePrefix="0" xfId="0">
      <alignment horizontal="left" vertical="distributed" wrapText="1"/>
    </xf>
    <xf numFmtId="0" fontId="66" fillId="12" borderId="8" applyAlignment="1" pivotButton="0" quotePrefix="0" xfId="0">
      <alignment horizontal="center" vertical="center"/>
    </xf>
    <xf numFmtId="0" fontId="58" fillId="14" borderId="5" applyAlignment="1" pivotButton="0" quotePrefix="0" xfId="0">
      <alignment vertical="center" wrapText="1"/>
    </xf>
    <xf numFmtId="0" fontId="5" fillId="0" borderId="70" applyAlignment="1" pivotButton="0" quotePrefix="0" xfId="0">
      <alignment horizontal="left" vertical="center" wrapText="1"/>
    </xf>
    <xf numFmtId="0" fontId="105" fillId="11" borderId="5" applyAlignment="1" pivotButton="0" quotePrefix="0" xfId="0">
      <alignment horizontal="center" vertical="center" wrapText="1"/>
    </xf>
    <xf numFmtId="0" fontId="72" fillId="11" borderId="25" applyAlignment="1" pivotButton="0" quotePrefix="0" xfId="0">
      <alignment horizontal="left" vertical="center" wrapText="1"/>
    </xf>
    <xf numFmtId="0" fontId="5" fillId="11" borderId="5" applyAlignment="1" pivotButton="0" quotePrefix="0" xfId="0">
      <alignment horizontal="left" vertical="center" wrapText="1"/>
    </xf>
    <xf numFmtId="0" fontId="24" fillId="11" borderId="11" applyAlignment="1" pivotButton="0" quotePrefix="0" xfId="0">
      <alignment horizontal="center" vertical="top" wrapText="1"/>
    </xf>
    <xf numFmtId="0" fontId="5" fillId="0" borderId="283" applyAlignment="1" pivotButton="0" quotePrefix="0" xfId="0">
      <alignment horizontal="left" vertical="center" wrapText="1"/>
    </xf>
    <xf numFmtId="0" fontId="30" fillId="0" borderId="63" applyAlignment="1" pivotButton="0" quotePrefix="0" xfId="0">
      <alignment horizontal="left" vertical="center"/>
    </xf>
    <xf numFmtId="0" fontId="0" fillId="0" borderId="60" pivotButton="0" quotePrefix="0" xfId="0"/>
    <xf numFmtId="0" fontId="7" fillId="0" borderId="74" applyAlignment="1" pivotButton="0" quotePrefix="0" xfId="0">
      <alignment horizontal="left" vertical="center" wrapText="1"/>
    </xf>
    <xf numFmtId="0" fontId="30" fillId="0" borderId="63" applyAlignment="1" pivotButton="0" quotePrefix="0" xfId="0">
      <alignment horizontal="left" vertical="top" wrapText="1"/>
    </xf>
    <xf numFmtId="0" fontId="30" fillId="0" borderId="63" applyAlignment="1" pivotButton="0" quotePrefix="0" xfId="0">
      <alignment horizontal="center" vertical="center"/>
    </xf>
    <xf numFmtId="173" fontId="5" fillId="0" borderId="284" applyAlignment="1" pivotButton="0" quotePrefix="0" xfId="0">
      <alignment horizontal="distributed" vertical="center"/>
    </xf>
    <xf numFmtId="0" fontId="0" fillId="0" borderId="284" pivotButton="0" quotePrefix="0" xfId="0"/>
    <xf numFmtId="0" fontId="24" fillId="0" borderId="222" applyAlignment="1" pivotButton="0" quotePrefix="0" xfId="0">
      <alignment horizontal="center" vertical="top" wrapText="1"/>
    </xf>
    <xf numFmtId="0" fontId="5" fillId="0" borderId="90" applyAlignment="1" pivotButton="0" quotePrefix="0" xfId="0">
      <alignment horizontal="center" vertical="center" wrapText="1"/>
    </xf>
    <xf numFmtId="0" fontId="0" fillId="0" borderId="95" pivotButton="0" quotePrefix="0" xfId="0"/>
    <xf numFmtId="0" fontId="47" fillId="0" borderId="25" applyAlignment="1" pivotButton="0" quotePrefix="0" xfId="0">
      <alignment horizontal="left" vertical="center" shrinkToFit="1"/>
    </xf>
    <xf numFmtId="0" fontId="24" fillId="0" borderId="96" applyAlignment="1" pivotButton="0" quotePrefix="0" xfId="0">
      <alignment horizontal="left" vertical="center" shrinkToFit="1"/>
    </xf>
    <xf numFmtId="0" fontId="0" fillId="0" borderId="94" pivotButton="0" quotePrefix="0" xfId="0"/>
    <xf numFmtId="0" fontId="24" fillId="0" borderId="222" applyAlignment="1" pivotButton="0" quotePrefix="0" xfId="0">
      <alignment horizontal="center" vertical="center" wrapText="1"/>
    </xf>
    <xf numFmtId="0" fontId="47" fillId="0" borderId="69" applyAlignment="1" pivotButton="0" quotePrefix="0" xfId="0">
      <alignment horizontal="left" vertical="center" shrinkToFit="1"/>
    </xf>
    <xf numFmtId="0" fontId="24" fillId="0" borderId="41" applyAlignment="1" pivotButton="0" quotePrefix="0" xfId="0">
      <alignment horizontal="left" vertical="top" wrapText="1"/>
    </xf>
    <xf numFmtId="0" fontId="0" fillId="0" borderId="286" pivotButton="0" quotePrefix="0" xfId="0"/>
    <xf numFmtId="0" fontId="24" fillId="0" borderId="101" applyAlignment="1" pivotButton="0" quotePrefix="0" xfId="0">
      <alignment horizontal="center" vertical="center" wrapText="1"/>
    </xf>
    <xf numFmtId="0" fontId="5" fillId="0" borderId="285" applyAlignment="1" pivotButton="0" quotePrefix="0" xfId="0">
      <alignment horizontal="left" vertical="center" wrapText="1"/>
    </xf>
    <xf numFmtId="0" fontId="0" fillId="0" borderId="87" pivotButton="0" quotePrefix="0" xfId="0"/>
    <xf numFmtId="0" fontId="24" fillId="0" borderId="38" applyAlignment="1" pivotButton="0" quotePrefix="0" xfId="0">
      <alignment horizontal="left" vertical="top" wrapText="1"/>
    </xf>
    <xf numFmtId="0" fontId="2" fillId="0" borderId="5" applyAlignment="1" pivotButton="0" quotePrefix="0" xfId="0">
      <alignment vertical="center"/>
    </xf>
    <xf numFmtId="0" fontId="2" fillId="0" borderId="6" applyAlignment="1" pivotButton="0" quotePrefix="0" xfId="0">
      <alignment horizontal="center" vertical="center" wrapText="1"/>
    </xf>
    <xf numFmtId="0" fontId="0" fillId="0" borderId="15" pivotButton="0" quotePrefix="0" xfId="0"/>
    <xf numFmtId="0" fontId="2" fillId="0" borderId="5" applyAlignment="1" pivotButton="0" quotePrefix="0" xfId="0">
      <alignment horizontal="distributed" vertical="center"/>
    </xf>
    <xf numFmtId="0" fontId="2" fillId="0" borderId="12" applyAlignment="1" pivotButton="0" quotePrefix="0" xfId="0">
      <alignment horizontal="center" vertical="center"/>
    </xf>
    <xf numFmtId="0" fontId="2" fillId="0" borderId="6" applyAlignment="1" pivotButton="0" quotePrefix="0" xfId="0">
      <alignment horizontal="center" vertical="center"/>
    </xf>
    <xf numFmtId="0" fontId="0" fillId="0" borderId="17" pivotButton="0" quotePrefix="0" xfId="0"/>
    <xf numFmtId="0" fontId="2" fillId="0" borderId="1" applyAlignment="1" pivotButton="0" quotePrefix="0" xfId="0">
      <alignment vertical="center" wrapText="1"/>
    </xf>
    <xf numFmtId="0" fontId="0" fillId="0" borderId="287" pivotButton="0" quotePrefix="0" xfId="0"/>
    <xf numFmtId="0" fontId="0" fillId="0" borderId="288" pivotButton="0" quotePrefix="0" xfId="0"/>
    <xf numFmtId="0" fontId="2" fillId="0" borderId="2" applyAlignment="1" pivotButton="0" quotePrefix="0" xfId="0">
      <alignment horizontal="center" vertical="center" wrapText="1"/>
    </xf>
    <xf numFmtId="0" fontId="2" fillId="0" borderId="4" applyAlignment="1" pivotButton="0" quotePrefix="0" xfId="0">
      <alignment horizontal="distributed" vertical="center"/>
    </xf>
    <xf numFmtId="0" fontId="0" fillId="0" borderId="7" pivotButton="0" quotePrefix="0" xfId="0"/>
    <xf numFmtId="0" fontId="2" fillId="0" borderId="0" applyAlignment="1" pivotButton="0" quotePrefix="0" xfId="0">
      <alignment vertical="center"/>
    </xf>
    <xf numFmtId="165" fontId="0" fillId="0" borderId="5" applyAlignment="1" pivotButton="0" quotePrefix="0" xfId="0">
      <alignment horizontal="center" vertical="center"/>
    </xf>
    <xf numFmtId="0" fontId="2" fillId="0" borderId="21" applyAlignment="1" pivotButton="0" quotePrefix="0" xfId="0">
      <alignment vertical="center"/>
    </xf>
    <xf numFmtId="0" fontId="23" fillId="0" borderId="0" applyAlignment="1" pivotButton="0" quotePrefix="0" xfId="0">
      <alignment horizontal="distributed" vertical="center"/>
    </xf>
    <xf numFmtId="0" fontId="4" fillId="0" borderId="0" applyAlignment="1" pivotButton="0" quotePrefix="0" xfId="0">
      <alignment horizontal="distributed" vertical="center"/>
    </xf>
    <xf numFmtId="0" fontId="2" fillId="0" borderId="21" applyAlignment="1" pivotButton="0" quotePrefix="0" xfId="0">
      <alignment horizontal="center" vertical="center" wrapText="1"/>
    </xf>
    <xf numFmtId="0" fontId="0" fillId="0" borderId="289" pivotButton="0" quotePrefix="0" xfId="0"/>
    <xf numFmtId="0" fontId="0" fillId="0" borderId="290" pivotButton="0" quotePrefix="0" xfId="0"/>
    <xf numFmtId="0" fontId="2" fillId="0" borderId="24" applyAlignment="1" pivotButton="0" quotePrefix="0" xfId="0">
      <alignment horizontal="center" vertical="center"/>
    </xf>
    <xf numFmtId="0" fontId="24" fillId="0" borderId="5" applyAlignment="1" pivotButton="0" quotePrefix="0" xfId="0">
      <alignment horizontal="left" vertical="center" wrapText="1"/>
    </xf>
    <xf numFmtId="0" fontId="5" fillId="0" borderId="105" applyAlignment="1" pivotButton="0" quotePrefix="0" xfId="0">
      <alignment horizontal="left" vertical="center" wrapText="1"/>
    </xf>
    <xf numFmtId="0" fontId="0" fillId="0" borderId="291" pivotButton="0" quotePrefix="0" xfId="0"/>
    <xf numFmtId="0" fontId="34" fillId="0" borderId="5" applyAlignment="1" pivotButton="0" quotePrefix="0" xfId="0">
      <alignment horizontal="left" vertical="center" wrapText="1"/>
    </xf>
    <xf numFmtId="0" fontId="31" fillId="0" borderId="5" applyAlignment="1" pivotButton="0" quotePrefix="0" xfId="0">
      <alignment horizontal="center" vertical="center" wrapText="1"/>
    </xf>
    <xf numFmtId="0" fontId="31" fillId="0" borderId="5" applyAlignment="1" pivotButton="0" quotePrefix="0" xfId="0">
      <alignment horizontal="left" vertical="center" wrapText="1"/>
    </xf>
    <xf numFmtId="0" fontId="24" fillId="0" borderId="97" applyAlignment="1" pivotButton="0" quotePrefix="0" xfId="0">
      <alignment horizontal="center" vertical="center" wrapText="1"/>
    </xf>
    <xf numFmtId="164" fontId="5" fillId="5" borderId="5" applyAlignment="1" pivotButton="0" quotePrefix="1" xfId="0">
      <alignment horizontal="center" vertical="center" wrapText="1"/>
    </xf>
    <xf numFmtId="164" fontId="5" fillId="0" borderId="5" applyAlignment="1" pivotButton="0" quotePrefix="0" xfId="0">
      <alignment horizontal="center" vertical="center"/>
    </xf>
    <xf numFmtId="164" fontId="5" fillId="5" borderId="0" applyAlignment="1" pivotButton="0" quotePrefix="1" xfId="0">
      <alignment vertical="center"/>
    </xf>
    <xf numFmtId="164" fontId="5" fillId="5" borderId="5" applyAlignment="1" pivotButton="0" quotePrefix="0" xfId="0">
      <alignment horizontal="center" vertical="center"/>
    </xf>
    <xf numFmtId="165" fontId="5" fillId="0" borderId="5" applyAlignment="1" pivotButton="0" quotePrefix="0" xfId="0">
      <alignment horizontal="center" vertical="center" wrapText="1"/>
    </xf>
    <xf numFmtId="165" fontId="71" fillId="0" borderId="0" applyAlignment="1" pivotButton="0" quotePrefix="0" xfId="2">
      <alignment horizontal="center" vertical="center" wrapText="1"/>
    </xf>
    <xf numFmtId="164" fontId="5" fillId="5" borderId="0" applyAlignment="1" pivotButton="0" quotePrefix="1" xfId="0">
      <alignment horizontal="center" vertical="center"/>
    </xf>
    <xf numFmtId="165" fontId="5" fillId="5" borderId="0" applyAlignment="1" pivotButton="0" quotePrefix="0" xfId="0">
      <alignment vertical="center"/>
    </xf>
    <xf numFmtId="164" fontId="5" fillId="5" borderId="0" applyAlignment="1" pivotButton="0" quotePrefix="0" xfId="0">
      <alignment horizontal="center" vertical="center"/>
    </xf>
    <xf numFmtId="166" fontId="6" fillId="20" borderId="5" applyAlignment="1" pivotButton="0" quotePrefix="0" xfId="0">
      <alignment vertical="center"/>
    </xf>
    <xf numFmtId="167" fontId="53" fillId="20" borderId="5" applyAlignment="1" pivotButton="0" quotePrefix="0" xfId="0">
      <alignment horizontal="center" vertical="center"/>
    </xf>
    <xf numFmtId="168" fontId="6" fillId="20" borderId="5" applyAlignment="1" pivotButton="0" quotePrefix="0" xfId="0">
      <alignment horizontal="center" vertical="center"/>
    </xf>
    <xf numFmtId="165" fontId="6" fillId="20" borderId="9" applyAlignment="1" pivotButton="0" quotePrefix="0" xfId="0">
      <alignment vertical="center" wrapText="1"/>
    </xf>
    <xf numFmtId="165" fontId="6" fillId="0" borderId="16" applyAlignment="1" pivotButton="0" quotePrefix="0" xfId="0">
      <alignment vertical="center" wrapText="1"/>
    </xf>
    <xf numFmtId="166" fontId="6" fillId="0" borderId="11" applyAlignment="1" pivotButton="0" quotePrefix="0" xfId="0">
      <alignment horizontal="center" vertical="center"/>
    </xf>
    <xf numFmtId="167" fontId="6" fillId="0" borderId="11" applyAlignment="1" pivotButton="0" quotePrefix="0" xfId="0">
      <alignment horizontal="center" vertical="center"/>
    </xf>
    <xf numFmtId="168" fontId="6" fillId="6" borderId="5" applyAlignment="1" pivotButton="0" quotePrefix="0" xfId="0">
      <alignment horizontal="center" vertical="center"/>
    </xf>
    <xf numFmtId="166" fontId="6" fillId="20" borderId="5" applyAlignment="1" pivotButton="0" quotePrefix="0" xfId="0">
      <alignment horizontal="center" vertical="center"/>
    </xf>
    <xf numFmtId="167" fontId="6" fillId="20" borderId="5" applyAlignment="1" pivotButton="0" quotePrefix="0" xfId="0">
      <alignment horizontal="center" vertical="center"/>
    </xf>
    <xf numFmtId="165" fontId="6" fillId="5" borderId="9" applyAlignment="1" pivotButton="0" quotePrefix="0" xfId="0">
      <alignment vertical="center" wrapText="1"/>
    </xf>
    <xf numFmtId="166" fontId="6" fillId="0" borderId="5" applyAlignment="1" pivotButton="0" quotePrefix="0" xfId="0">
      <alignment horizontal="center" vertical="center"/>
    </xf>
    <xf numFmtId="167" fontId="6" fillId="0" borderId="5" applyAlignment="1" pivotButton="0" quotePrefix="0" xfId="0">
      <alignment horizontal="center" vertical="center"/>
    </xf>
    <xf numFmtId="165" fontId="6" fillId="5" borderId="0" applyAlignment="1" pivotButton="0" quotePrefix="0" xfId="0">
      <alignment vertical="center" wrapText="1"/>
    </xf>
    <xf numFmtId="169" fontId="5" fillId="0" borderId="5" applyAlignment="1" pivotButton="0" quotePrefix="0" xfId="0">
      <alignment horizontal="center" vertical="center" wrapText="1"/>
    </xf>
    <xf numFmtId="166" fontId="5" fillId="0" borderId="0" applyAlignment="1" pivotButton="0" quotePrefix="0" xfId="0">
      <alignment vertical="center"/>
    </xf>
    <xf numFmtId="168" fontId="6" fillId="5" borderId="0" applyAlignment="1" pivotButton="0" quotePrefix="0" xfId="0">
      <alignment horizontal="center" vertical="center"/>
    </xf>
    <xf numFmtId="164" fontId="2" fillId="0" borderId="8" applyAlignment="1" applyProtection="1" pivotButton="0" quotePrefix="0" xfId="1">
      <alignment horizontal="distributed" vertical="center"/>
      <protection locked="1" hidden="1"/>
    </xf>
    <xf numFmtId="173" fontId="30" fillId="0" borderId="48" applyAlignment="1" pivotButton="0" quotePrefix="0" xfId="0">
      <alignment horizontal="center" vertical="center"/>
    </xf>
    <xf numFmtId="173" fontId="30" fillId="0" borderId="10" applyAlignment="1" pivotButton="0" quotePrefix="0" xfId="0">
      <alignment horizontal="distributed" vertical="center"/>
    </xf>
    <xf numFmtId="170" fontId="5" fillId="0" borderId="0" applyAlignment="1" pivotButton="0" quotePrefix="0" xfId="0">
      <alignment horizontal="left" vertical="center"/>
    </xf>
    <xf numFmtId="170" fontId="5" fillId="0" borderId="0" applyAlignment="1" pivotButton="0" quotePrefix="0" xfId="0">
      <alignment vertical="center"/>
    </xf>
    <xf numFmtId="173" fontId="26" fillId="0" borderId="5" applyAlignment="1" pivotButton="0" quotePrefix="0" xfId="0">
      <alignment horizontal="distributed" vertical="center"/>
    </xf>
    <xf numFmtId="164" fontId="31" fillId="0" borderId="0" applyAlignment="1" pivotButton="0" quotePrefix="0" xfId="0">
      <alignment horizontal="center" vertical="top" wrapText="1"/>
    </xf>
    <xf numFmtId="171" fontId="31" fillId="0" borderId="0" applyAlignment="1" pivotButton="0" quotePrefix="0" xfId="0">
      <alignment vertical="top"/>
    </xf>
    <xf numFmtId="174" fontId="5" fillId="0" borderId="218" applyAlignment="1" pivotButton="0" quotePrefix="0" xfId="0">
      <alignment horizontal="center" vertical="center" wrapText="1"/>
    </xf>
    <xf numFmtId="175" fontId="55" fillId="0" borderId="8" applyAlignment="1" pivotButton="0" quotePrefix="0" xfId="0">
      <alignment horizontal="center" vertical="center"/>
    </xf>
    <xf numFmtId="172" fontId="5" fillId="0" borderId="82" applyAlignment="1" pivotButton="0" quotePrefix="0" xfId="0">
      <alignment horizontal="center" vertical="center" wrapText="1"/>
    </xf>
    <xf numFmtId="173" fontId="5" fillId="0" borderId="284" applyAlignment="1" pivotButton="0" quotePrefix="0" xfId="0">
      <alignment horizontal="distributed" vertical="center"/>
    </xf>
    <xf numFmtId="0" fontId="114" fillId="22" borderId="0" applyAlignment="1" pivotButton="0" quotePrefix="0" xfId="0">
      <alignment horizontal="center" vertical="center" wrapText="1"/>
    </xf>
    <xf numFmtId="0" fontId="0" fillId="23" borderId="0" applyAlignment="1" pivotButton="0" quotePrefix="0" xfId="0">
      <alignment vertical="center" wrapText="1"/>
    </xf>
    <xf numFmtId="165" fontId="0" fillId="0" borderId="5" applyAlignment="1" pivotButton="0" quotePrefix="0" xfId="0">
      <alignment horizontal="center" vertical="center"/>
    </xf>
  </cellXfs>
  <cellStyles count="4">
    <cellStyle name="一般" xfId="0" builtinId="0"/>
    <cellStyle name="一般 2" xfId="1"/>
    <cellStyle name="超連結" xfId="2" builtinId="8"/>
    <cellStyle name="一般 3" xfId="3"/>
  </cellStyles>
  <dxfs count="9">
    <dxf>
      <font>
        <name val="標楷體"/>
        <charset val="136"/>
        <family val="4"/>
        <strike val="0"/>
        <outline val="0"/>
        <shadow val="0"/>
        <condense val="0"/>
        <color theme="1"/>
        <extend val="0"/>
        <sz val="14"/>
        <vertAlign val="baseline"/>
      </font>
      <alignment horizontal="center" vertical="center"/>
      <border>
        <left/>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name val="標楷體"/>
        <charset val="136"/>
        <family val="4"/>
        <strike val="0"/>
        <outline val="0"/>
        <shadow val="0"/>
        <condense val="0"/>
        <color theme="1"/>
        <extend val="0"/>
        <sz val="14"/>
        <vertAlign val="baseline"/>
      </font>
      <alignment horizontal="center" vertical="center"/>
    </dxf>
    <dxf>
      <border outline="0">
        <bottom style="thin">
          <color indexed="64"/>
        </bottom>
      </border>
    </dxf>
    <dxf>
      <font>
        <name val="標楷體"/>
        <charset val="136"/>
        <family val="4"/>
        <strike val="0"/>
        <outline val="0"/>
        <shadow val="0"/>
        <condense val="0"/>
        <color theme="1"/>
        <extend val="0"/>
        <sz val="14"/>
        <vertAlign val="baseline"/>
      </font>
      <fill>
        <patternFill patternType="solid">
          <fgColor indexed="64"/>
          <bgColor theme="9" tint="0.3999755851924192"/>
        </patternFill>
      </fill>
      <alignment horizontal="center" vertical="cent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externalLink" Target="/xl/externalLinks/externalLink1.xml" Id="rId54"/><Relationship Type="http://schemas.openxmlformats.org/officeDocument/2006/relationships/styles" Target="styles.xml" Id="rId55"/><Relationship Type="http://schemas.openxmlformats.org/officeDocument/2006/relationships/theme" Target="theme/theme1.xml" Id="rId56"/><Relationship Type="http://schemas.microsoft.com/office/2006/relationships/vbaProject" Target="vbaProject.bin" Id="rId57"/></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jpeg" Id="rId2"/><Relationship Type="http://schemas.openxmlformats.org/officeDocument/2006/relationships/image" Target="/xl/media/image3.jpeg" Id="rId3"/></Relationships>
</file>

<file path=xl/drawings/drawing1.xml><?xml version="1.0" encoding="utf-8"?>
<wsDr xmlns="http://schemas.openxmlformats.org/drawingml/2006/spreadsheetDrawing">
  <twoCellAnchor editAs="oneCell">
    <from>
      <col>3</col>
      <colOff>515471</colOff>
      <row>1</row>
      <rowOff>481853</rowOff>
    </from>
    <to>
      <col>7</col>
      <colOff>480177</colOff>
      <row>1</row>
      <rowOff>3721853</rowOff>
    </to>
    <pic>
      <nvPicPr>
        <cNvPr id="3" name="圖片 2"/>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1636059" y="1120588"/>
          <a:ext cx="2430000" cy="3240000"/>
        </a:xfrm>
        <a:prstGeom xmlns:a="http://schemas.openxmlformats.org/drawingml/2006/main" prst="rect">
          <avLst/>
        </a:prstGeom>
        <a:ln xmlns:a="http://schemas.openxmlformats.org/drawingml/2006/main">
          <a:prstDash val="solid"/>
        </a:ln>
      </spPr>
    </pic>
    <clientData/>
  </twoCellAnchor>
  <twoCellAnchor editAs="oneCell">
    <from>
      <col>3</col>
      <colOff>537882</colOff>
      <row>4</row>
      <rowOff>369794</rowOff>
    </from>
    <to>
      <col>7</col>
      <colOff>503136</colOff>
      <row>4</row>
      <rowOff>3609794</rowOff>
    </to>
    <pic>
      <nvPicPr>
        <cNvPr id="6" name="圖片 5"/>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1658470" y="5636559"/>
          <a:ext cx="2430548" cy="3240000"/>
        </a:xfrm>
        <a:prstGeom xmlns:a="http://schemas.openxmlformats.org/drawingml/2006/main" prst="rect">
          <avLst/>
        </a:prstGeom>
        <a:ln xmlns:a="http://schemas.openxmlformats.org/drawingml/2006/main">
          <a:prstDash val="solid"/>
        </a:ln>
      </spPr>
    </pic>
    <clientData/>
  </twoCellAnchor>
  <twoCellAnchor editAs="oneCell">
    <from>
      <col>13</col>
      <colOff>291354</colOff>
      <row>1</row>
      <rowOff>324971</rowOff>
    </from>
    <to>
      <col>20</col>
      <colOff>262497</colOff>
      <row>1</row>
      <rowOff>3564971</rowOff>
    </to>
    <pic>
      <nvPicPr>
        <cNvPr id="8" name="圖片 7"/>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7104530" y="963706"/>
          <a:ext cx="4319026" cy="3240000"/>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26085;&#24120;&#29992;\&#12304;&#19977;&#24373;&#26696;&#20214;&#12305;\1130326&#31434;&#30428;\&#26032;&#22871;&#34920;1.xlsm"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輸入"/>
      <sheetName val="word用"/>
      <sheetName val="下拉用"/>
      <sheetName val=""/>
      <sheetName val="權利"/>
      <sheetName val="夜訊"/>
      <sheetName val="呈報單"/>
      <sheetName val="發傳喚通知"/>
      <sheetName val="封面"/>
      <sheetName val="贓物認領"/>
      <sheetName val="監視檢核表"/>
      <sheetName val="詐欺用檢核表"/>
      <sheetName val="行政陳報單"/>
      <sheetName val="調閱電信"/>
      <sheetName val="調閱監視器(所)"/>
      <sheetName val="入出所"/>
      <sheetName val="本人"/>
      <sheetName val="親友"/>
      <sheetName val="提審新"/>
      <sheetName val="線上立破通報單"/>
      <sheetName val="酒測單"/>
      <sheetName val="委託書"/>
      <sheetName val="酒扣領據"/>
      <sheetName val="呈報單 (多人)"/>
      <sheetName val="銷毀同意書"/>
      <sheetName val="鑑驗書"/>
      <sheetName val="檢體監管紀錄表"/>
      <sheetName val="自願受採尿同意書"/>
      <sheetName val="毒品相片紀錄"/>
      <sheetName val="案件管制表"/>
      <sheetName val="12歲"/>
      <sheetName val="3.4級毒品通報單"/>
      <sheetName val="法扶"/>
      <sheetName val="外勞"/>
      <sheetName val="捨棄聲明"/>
      <sheetName val="捨棄抗告"/>
      <sheetName val="救護資料申請書"/>
      <sheetName val="附件"/>
      <sheetName val="酒測相片紀錄"/>
      <sheetName val="送達新"/>
      <sheetName val="送達"/>
      <sheetName val="手機"/>
      <sheetName val="送驗記錄"/>
      <sheetName val="少年關懷"/>
      <sheetName val="電訪"/>
      <sheetName val="通聯紀錄表"/>
      <sheetName val="相片用"/>
    </sheetNames>
    <sheetDataSet>
      <sheetData sheetId="0"/>
      <sheetData sheetId="1"/>
      <sheetData sheetId="2">
        <row r="1">
          <cell r="A1" t="str">
            <v>通用</v>
          </cell>
          <cell r="B1" t="str">
            <v>涉嫌人通用</v>
          </cell>
          <cell r="C1" t="str">
            <v>被害人通用</v>
          </cell>
          <cell r="D1" t="str">
            <v>證人通用</v>
          </cell>
          <cell r="E1" t="str">
            <v>過失傷害</v>
          </cell>
          <cell r="F1" t="str">
            <v>傷害</v>
          </cell>
          <cell r="G1" t="str">
            <v>竊盜</v>
          </cell>
          <cell r="H1" t="str">
            <v>侵占</v>
          </cell>
          <cell r="I1" t="str">
            <v>毀損</v>
          </cell>
          <cell r="J1" t="str">
            <v>妨害電腦使用</v>
          </cell>
          <cell r="K1" t="str">
            <v>妨害名譽</v>
          </cell>
          <cell r="L1" t="str">
            <v>恐嚇</v>
          </cell>
          <cell r="M1" t="str">
            <v>撤回告訴</v>
          </cell>
          <cell r="N1" t="str">
            <v>性騷擾防治法</v>
          </cell>
          <cell r="O1" t="str">
            <v>公共危險</v>
          </cell>
          <cell r="P1" t="str">
            <v>通緝</v>
          </cell>
          <cell r="Q1" t="str">
            <v>毒品危害防制條例</v>
          </cell>
          <cell r="R1" t="str">
            <v>性騷擾</v>
          </cell>
          <cell r="S1" t="str">
            <v>逃逸外勞</v>
          </cell>
          <cell r="T1" t="str">
            <v>刑事相驗</v>
          </cell>
        </row>
        <row r="2">
          <cell r="A2" t="str">
            <v>你向警方表示你係為美國人士，請問你的中文聽、說、讀、寫能力如何？</v>
          </cell>
          <cell r="B2" t="str">
            <v>警方所告知之罪名及權利你是否清楚?你有無刑案紀錄？</v>
          </cell>
          <cell r="C2" t="str">
            <v>你今(26)日因何事接受警方製作筆錄？</v>
          </cell>
          <cell r="D2" t="str">
            <v>你與被害人為何種關係？如何認識？</v>
          </cell>
          <cell r="E2" t="str">
            <v>你於何時、何地與何人發生車禍？如何發生車禍(雙方所駕駛之車輛當時狀態？行進方向？當時發現對方車輛時雙方相距約幾公尺？採取何種反應措施？發生碰撞前時速約達每小時幾公里？發生碰撞前、時速度為何？交通號誌為何？)？</v>
          </cell>
          <cell r="F2" t="str">
            <v>你於何時、何地如何遭人傷害？因何事與對方起爭執？他為何要傷害你？請詳述案發經過。</v>
          </cell>
          <cell r="G2" t="str">
            <v>你於何時、何地如何發現你的物品遭人竊取？如何竊取？過程為何？請詳述之。</v>
          </cell>
          <cell r="H2" t="str">
            <v>妳是於何時、何地，遭何人侵占？請問你為何將該物放置於此？該人是如何侵占你的物品？請詳述之。</v>
          </cell>
          <cell r="I2" t="str">
            <v>你是何時、何地、以何方式，發現你的物品遭毀損？請詳述之。</v>
          </cell>
          <cell r="J2" t="str">
            <v>你居住地址為何？你的公司是？你公司的位置為何？電子郵件為何？</v>
          </cell>
          <cell r="K2" t="str">
            <v>你於何時、何地、如何遭人妨害名譽？請詳述案發經過。</v>
          </cell>
          <cell r="L2" t="str">
            <v>你於何時？何地？遭何人恐嚇？</v>
          </cell>
          <cell r="M2" t="str">
            <v>你於113年03月26日第一次警詢筆錄的陳述是否實在?</v>
          </cell>
          <cell r="N2" t="str">
            <v>代號楊妍煦號真實姓名對照表(彌封)之年籍資料是否正確？是否是你本人？</v>
          </cell>
          <cell r="O2" t="str">
            <v>本所警方於113年04月02日23時23分許巡經臺北市信義區松壽路24號時，見你駕駛1(車號:2於臺北市信義區松壽路24號前結報，故警方向前盤查，攔停過程中發現你散發濃厚之酒味，於經你同意實施酒精測試，經由你本人親自吹試之酒精濃度值酒測值為0.38MG/L，是否屬實? 你對於該結果有無任何疑義？</v>
          </cell>
          <cell r="P2" t="str">
            <v>本所警員於巡邏勤務中，於上述時、地發現該女子行跡可疑，上前盤查，發現為0.38，通緝日期：113年03月09日，所發布之通緝犯，姓名：楊妍煦（女性、0、A226168126)，通緝文號：安非他命，通緝案號：30；案由：竊盜，是否為你本人？</v>
          </cell>
          <cell r="Q2" t="str">
            <v>你是否為未滿12歲兒童之父母、監護人或其他實際照顧兒童之人？</v>
          </cell>
          <cell r="R2" t="str">
            <v>你今(02)日因被害人(代號楊妍煦)對你提出性騷擾告訴，故請你到本所製作警詢筆錄，是否正確？</v>
          </cell>
          <cell r="S2" t="str">
            <v>你是何時、何地逃逸？因何事逃逸？</v>
          </cell>
          <cell r="T2" t="str">
            <v>你上述年籍資料是否正確？是否為你本人？有無攜帶身分證明文件?</v>
          </cell>
        </row>
        <row r="3">
          <cell r="A3" t="str">
            <v>你上述年籍資料是否正確？是否為你本人？有無攜帶身分證明文件?</v>
          </cell>
          <cell r="B3" t="str">
            <v>請問妳是否具有低收入戶、中低收入戶、原住民或其他依法令得請求法律扶助者的身分？妳是否需要通知親屬或委任律師陪同到場？</v>
          </cell>
          <cell r="C3" t="str">
            <v>是否知悉該犯嫌的長相？穿著特徵？</v>
          </cell>
          <cell r="D3" t="str">
            <v>當被害人遭竊盜時，你是否在場？請說明事情過程？</v>
          </cell>
          <cell r="E3" t="str">
            <v>當時的天氣如何?視野如何視線是否有遭遮蔽?標誌標線是否清楚？</v>
          </cell>
          <cell r="F3" t="str">
            <v>你有無打（反擊）該名？是否有造成對方受傷？</v>
          </cell>
          <cell r="G3" t="str">
            <v>承上述，你遭竊取的財物為何？數量為何？價值多少？</v>
          </cell>
          <cell r="H3" t="str">
            <v>你遭侵占的物品特徵、價值、數量為何？</v>
          </cell>
          <cell r="I3" t="str">
            <v>妳遭毀損何物？價值為何？你為何會認為你遭染色之衣物是遭故意毀棄、損壞或致令不堪用？</v>
          </cell>
          <cell r="J3" t="str">
            <v>於何時？在何地？如何發現？你公司的電子郵件帳戶遭到冒用？</v>
          </cell>
          <cell r="K3" t="str">
            <v>請問他對你的侮辱(沒有敘述具體的事實，單純的謾罵、侮辱的行為、文字或圖片)是否有故意貶低你的人格、名譽、尊嚴？其行為為何？</v>
          </cell>
          <cell r="L3" t="str">
            <v>對方以何種方式對你恐嚇？</v>
          </cell>
          <cell r="M3" t="str">
            <v>你當時所報案之案號為Z113039AWBQ1QNU是否正確？</v>
          </cell>
          <cell r="N3" t="str">
            <v>現在是113年03月26日16時30分，代號楊妍煦是否願意製作筆錄？現在精神狀況如何？是否需要家屬或社工到場陪同？</v>
          </cell>
          <cell r="O3" t="str">
            <v>警方是否有在對你實施酒測酒精測試前，是否有提供呼氣酒精測試檢定合格證書（檢定合格單號碼：、酒測器編號：）供你檢視？之後對你告知拒測的相關事項？是否有讓你簽名？</v>
          </cell>
          <cell r="P3" t="str">
            <v>你目前居於何處？是否有收到法院或地方檢察署通知傳票？為何未出庭？</v>
          </cell>
          <cell r="Q3" t="str">
            <v>未滿12歲之兒童現在是否有人照顧？未滿12歲兒童之現居地？由何人照顧？照顧人聯絡資料？是否有獲得適當之照顧？</v>
          </cell>
          <cell r="R3" t="str">
            <v>經警方提示之監視器畫面，該圓圈內之男子是否為你本人？</v>
          </cell>
          <cell r="S3" t="str">
            <v>你逃逸期間有無打工？在何處打工？居住何處？</v>
          </cell>
          <cell r="T3" t="str">
            <v>你今(02)日因何事接受警方製作筆錄？</v>
          </cell>
        </row>
        <row r="4">
          <cell r="A4" t="str">
            <v>是否知道對方年籍資料、聯絡方式？與對方是否認識？有無仇恨或糾紛？</v>
          </cell>
          <cell r="B4" t="str">
            <v>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v>
          </cell>
          <cell r="C4" t="str">
            <v>警方提供指認犯罪嫌疑人紀錄，編號一至六號中，何者為竊盜的犯嫌？(犯嫌可能不在指認表中)</v>
          </cell>
          <cell r="D4" t="str">
            <v>你今(26)日因何事接受警方製作筆錄？</v>
          </cell>
          <cell r="E4" t="str">
            <v>發生擦撞之撞擊部位為何？車輀受損狀況？是否有估價單？</v>
          </cell>
          <cell r="F4" t="str">
            <v>用何種器具傷害你身體何處？使你何處受傷，傷勢如何？在哪家醫院診斷？是否能提出診斷證明書？</v>
          </cell>
          <cell r="G4" t="str">
            <v>你的財物遭竊取當時你是否在場？財物放置處是否有上鎖？是否有人看管？</v>
          </cell>
          <cell r="H4" t="str">
            <v>你否知道誰取走你的物品與侵占你物品之人的裝扮、特徵？</v>
          </cell>
          <cell r="I4" t="str">
            <v>該遭毀損之物為何人所有？在何處遭到毀損？以何方式遭到毀損？毀損程度如何？除對你住所（或所有物）毀損外，有無其他侵害行為？</v>
          </cell>
          <cell r="J4" t="str">
            <v>你使用電子郵件交易的客戶是？</v>
          </cell>
          <cell r="K4" t="str">
            <v>請問他是否在公然的場所侮辱你？第三人是否可以聽得見、看得見、知情？是否有散布於眾？散布於何處？</v>
          </cell>
          <cell r="L4" t="str">
            <v>對方以何種文字及言詞對你恐嚇？</v>
          </cell>
          <cell r="M4" t="str">
            <v>警方於113年04月02日23時23分在約談涉嫌人來所說明案情,筆錄期間涉嫌人主動交付贓證物,是否為妳遭竊盜之物品？</v>
          </cell>
          <cell r="N4" t="str">
            <v>你現在於何處工作？公司設立地址為何？你就職時間為何？有無勞保？家庭狀況如何？有無前科？</v>
          </cell>
          <cell r="O4" t="str">
            <v>你飲酒結束至警方將你攔停時間是否已經超過15分鐘以上？警方於現場施測前有無提供礦泉水讓你漱口或飲用？</v>
          </cell>
          <cell r="P4" t="str">
            <v>通緝期間你目前經濟來源為何？有無他人幫你藏匿，及再犯其他刑案？</v>
          </cell>
          <cell r="Q4" t="str">
            <v>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v>
          </cell>
          <cell r="R4" t="str">
            <v>據被害人(代號楊妍煦)筆錄所述，於113年03月22日23時10分許於臺北市信義區松壽路24號，遭你以徒手方式觸碰其胸部，指認你為性騷擾其之犯嫌，你做何解釋？</v>
          </cell>
          <cell r="S4" t="str">
            <v>你逃逸期間經濟來源為何？</v>
          </cell>
          <cell r="T4" t="str">
            <v>你於何時、何地、如何發現張煜杰狀況？過程為何？請詳述之。</v>
          </cell>
        </row>
        <row r="5">
          <cell r="A5" t="str">
            <v>上述所說是否實在？有無其他意見補充？</v>
          </cell>
          <cell r="B5" t="str">
            <v>現在時間113年04月02日時分許，依刑事訴訟法為夜間偵訊時間，你是否同意接受製作夜間警詢筆錄？目前精神狀況是否良好？意識是否清醒？</v>
          </cell>
          <cell r="C5" t="str">
            <v>你是否知悉謊報刑案與使公務員登載不實須負相關責任?</v>
          </cell>
          <cell r="D5" t="str">
            <v>妳與涉嫌人是否認識？何種關係？有無任何仇恨、糾紛？</v>
          </cell>
          <cell r="E5" t="str">
            <v>當時為何人駕駛？車號車種為何？你車上共乘幾人？對方駕駛為何人？車號車種為何？對方車上共乘幾人？</v>
          </cell>
          <cell r="F5" t="str">
            <v>有無其他物品遭毀損？</v>
          </cell>
          <cell r="G5" t="str">
            <v>承上述，你是否有上鎖？該竊嫌是否有使用工具破壞你的你的保管箱？</v>
          </cell>
          <cell r="H5" t="str">
            <v>你是否清楚侵占你物品的人使用何交通工具？往何處逃逸？</v>
          </cell>
          <cell r="I5" t="str">
            <v>該名犯嫌是以何種方式毀損你之財物？有無使用工具？何種工具？逃逸時，有無使用交通工具？</v>
          </cell>
          <cell r="J5" t="str">
            <v>你們本次的交易內容是？你是否知道他們的交易商品為何？金額為何？</v>
          </cell>
          <cell r="K5" t="str">
            <v>你是否如何知悉他所罵是你？</v>
          </cell>
          <cell r="L5" t="str">
            <v>看到對方傳送的文字及照片與言詞你有何感受？</v>
          </cell>
          <cell r="M5" t="str">
            <v>警方於113年04月02日23時23分在/N-IADDR發現贓證物，是否為妳遭竊之物品？</v>
          </cell>
          <cell r="N5" t="str">
            <v>案件發生時，是否為你工作時間？問你當時穿著服裝特徵為何？</v>
          </cell>
          <cell r="O5" t="str">
            <v>警方對你實施酒測酒精測定值0.38mg/l,酒測單案號號、酒測器編號,是否為你本人親自簽名的？是否為你本人親自吹測無誤？</v>
          </cell>
          <cell r="P5" t="str">
            <v>你於發布通緝日之後，有無再犯其他案件？</v>
          </cell>
          <cell r="Q5" t="str">
            <v>你是否知道如主動供出毒品之上游來源，使警方因而破獲者，依法可獲得減刑？</v>
          </cell>
          <cell r="R5" t="str">
            <v>你於碰觸到被害人(代號楊妍煦)前喝了多少酒？</v>
          </cell>
          <cell r="S5" t="str">
            <v>你是逃逸外勞依法須遣送離台有無意見？</v>
          </cell>
          <cell r="T5" t="str">
            <v>經該男子送台北馬偕醫院，經醫生於113年1月10日8時30分宣告不治死亡，你是否為真?</v>
          </cell>
        </row>
        <row r="6">
          <cell r="A6" t="str">
            <v>現任何職？是否有公司授權委託書？</v>
          </cell>
          <cell r="B6" t="str">
            <v>現在時間113年04月02日時分許，依刑事訴訟法為夜間偵訊時間，警方不得對你詢問製作筆錄，你是否知悉？</v>
          </cell>
          <cell r="C6" t="str">
            <v>現場有無監視器或有無其他目擊者或證人？時間有無誤差？有無聯絡方式？</v>
          </cell>
          <cell r="D6" t="str">
            <v>你是否知悉使公務員登載不實須負相關責任?</v>
          </cell>
          <cell r="E6" t="str">
            <v>車禍當時有無向警方報案？警方有無到場處理？對方是否有留在現場或逃逸？現場是否有移動？有無拍照或標繪？</v>
          </cell>
          <cell r="F6" t="str">
            <v>你還記得傷害你的那個男子的特徵、外貌？</v>
          </cell>
          <cell r="G6" t="str">
            <v>該竊嫌竊取物品時的裝扮、特徵？</v>
          </cell>
          <cell r="I6" t="str">
            <v>妳是否認識上述毀損妳物品的犯嫌？有無糾紛或仇恨？</v>
          </cell>
          <cell r="J6" t="str">
            <v>你為何會幫同崴股份有限公司進行交易？同崴股份有限公司的詳細資料是？你與同崴股份有限公司共進行過幾次交易？</v>
          </cell>
          <cell r="K6" t="str">
            <v>他是否有對你使用強制力（強暴手段）做出妨害名譽的行為？</v>
          </cell>
          <cell r="L6" t="str">
            <v>有無證據可提供員警偵辦？</v>
          </cell>
          <cell r="M6" t="str">
            <v>贓物認領保管單是否為妳本人確認無誤後親自簽名?</v>
          </cell>
          <cell r="N6" t="str">
            <v>你於何時、何地遭何人性騷擾，請詳述過程？</v>
          </cell>
          <cell r="O6" t="str">
            <v>因你觸犯刑法公共危險案，警方依法對你代保管車輛，1(2)，該告發單,及移置車輛保管單號是否都有交給你？</v>
          </cell>
          <cell r="Q6" t="str">
            <v>你於何時？何地？因何事為警方查獲？現場尚有何人？</v>
          </cell>
          <cell r="R6" t="str">
            <v>你使用何種方式對被害人(代號楊妍煦)實施性騷擾之行為？性騷擾何部位？性騷擾幾次？</v>
          </cell>
          <cell r="S6" t="str">
            <v>你目前身上有多少現金？你的護照目前在何處?</v>
          </cell>
          <cell r="T6" t="str">
            <v>現場是否留有凶器或打鬥之痕跡？死者身上及現場周遭是否有外傷等明顯非自然痕跡（身上勒痕、環境鞋痕、車痕等）？有無遭翻動財物痕跡？現場是否有監視器？</v>
          </cell>
        </row>
        <row r="7">
          <cell r="A7" t="str">
            <v>你於113年03月26日第一次警詢筆錄的陳述是否實在?</v>
          </cell>
          <cell r="B7" t="str">
            <v>妳今(02)日因何事接受警方製作筆錄？</v>
          </cell>
          <cell r="C7" t="str">
            <v>你是否知悉依刑訴法第237條告訴期為六個月？是否曾經提告此案過？或是否曾經撤回告訴過？</v>
          </cell>
          <cell r="D7" t="str">
            <v>你有無為自己或他人推卸刑責而向警方為不實陳述?</v>
          </cell>
          <cell r="E7" t="str">
            <v>車禍當時有無人員受傷？受傷情形為何？當時有沒有叫救護車？有無前往醫院就醫並開立診斷證明？</v>
          </cell>
          <cell r="G7" t="str">
            <v>該竊嫌有無使用交通工具？使用交通工具後，往何處逃逸？</v>
          </cell>
          <cell r="J7" t="str">
            <v>你與你的海峽國際私人有限公司共使用電子郵件進行了幾次交易？</v>
          </cell>
          <cell r="K7" t="str">
            <v>請問他是否故意去散播會損害你的名譽的評價真偽具體事件或事實，而不只是單純的辱罵而已？使用何種方式(敘述、文字、圖像)？其內容為何？</v>
          </cell>
          <cell r="M7" t="str">
            <v>為何你要撤回告訴？請詳述原因。撤回告訴狀與和解書是否由你親自填寫？是否能提供給警方？</v>
          </cell>
          <cell r="N7" t="str">
            <v>你遭受性騷擾時當時心裡感受如何？</v>
          </cell>
          <cell r="O7" t="str">
            <v>你於何時、何地與何人一同喝酒？是飲用何種酒？共喝多少？你於何時結束飲酒？飲酒後騎乘何駕駛工具？車號？該車主為何人？</v>
          </cell>
          <cell r="Q7" t="str">
            <v>你當場為警方查獲何物？係何人所有？有何用途？</v>
          </cell>
          <cell r="R7" t="str">
            <v>承上，你性騷擾被害人(代號楊妍煦)的意圖為何？</v>
          </cell>
          <cell r="S7" t="str">
            <v>你是否可以備妥金錢、機票及護照？警方將把你移交內政部移民署遣返回國，是否清楚？</v>
          </cell>
          <cell r="T7" t="str">
            <v>你與張煜杰是什麼關係？張煜杰之年籍資料、聯絡方式為何？張煜杰有無使用交通工具？使用何交通工具？你瞭解張煜杰生活狀況如何？最近生活有無異常？交友狀況如何？有無與人糾紛或結怨？你瞭解張煜杰家庭狀況如何？</v>
          </cell>
        </row>
        <row r="8">
          <cell r="B8" t="str">
            <v>你是否知悉於警詢筆錄中做不實陳述須負法律責任?</v>
          </cell>
          <cell r="C8" t="str">
            <v>你是否要提出告訴？提出何種告訴？是否附帶民事求償？</v>
          </cell>
          <cell r="D8" t="str">
            <v>請問你是否現為或曾為犯罪嫌疑人之配偶、直系血親、三親等內之旁系血親、二親等內之姻親或家長、家屬者？</v>
          </cell>
          <cell r="E8" t="str">
            <v>有無開立交通事故登記聯單？有無核發交通事故初步分析研判表？肇事原因為何？有無申請鑑定？</v>
          </cell>
          <cell r="J8" t="str">
            <v>你公司的電子郵件遭冒用的帳號是？</v>
          </cell>
          <cell r="K8" t="str">
            <v>他所使你損害名譽是否出於自衛、自辯或保護合法之利益或可受公評之事，而為適當之評論？</v>
          </cell>
          <cell r="M8" t="str">
            <v>依刑事訴訟法第 238 條 告訴乃論之罪，告訴人於第一審辯論終結前，得撤回其告訴。撤回告訴之人，不得再為同一件事提出告訴。你是否確定要撤回告訴？</v>
          </cell>
          <cell r="N8" t="str">
            <v>加害人如何對你性騷擾？其方式？撫摸何部位？次數？</v>
          </cell>
          <cell r="O8" t="str">
            <v>你從何時、何地開始駕駛1(2)？行駛的距離？欲前往何處？</v>
          </cell>
          <cell r="Q8" t="str">
            <v>你以何方式施用毒品安非他命？有無以扣案之物品作為施用之器具？多久施用1次？數量為何？</v>
          </cell>
          <cell r="R8" t="str">
            <v>你對被害人(代號楊妍煦)之性騷擾的行為是否經過他本人意識同意？如何表示同意？</v>
          </cell>
          <cell r="S8" t="str">
            <v>依就業服務法第60條規定，若查無非法容留、聘僱或媒介外國
人從事工作者及遣送事由可歸責之雇主者，其收容費用應由被
遣送之外國人負擔，你是否清楚？</v>
          </cell>
          <cell r="T8" t="str">
            <v>是否知悉張煜杰有無投保保險？張煜杰經濟來源為何？有無工作？</v>
          </cell>
        </row>
        <row r="9">
          <cell r="B9" t="str">
            <v>你有無為自己或他人推卸刑責而向警方為不實陳述？</v>
          </cell>
          <cell r="C9" t="str">
            <v>你是否知悉，依刑訴法第238條，若欲撤回告訴，應於第一審辯論終結前為之，且不得再次提告？</v>
          </cell>
          <cell r="D9" t="str">
            <v>請問你是否與犯罪嫌疑人訂有婚約者？</v>
          </cell>
          <cell r="E9" t="str">
            <v>你車禍發生時有無服用酒類或其他含有酒精成分之飲品或食品？有無實施酒精濃度測試？</v>
          </cell>
          <cell r="J9" t="str">
            <v>你是否清楚共有幾人，接收到假冒你公司的名義所發出之電子郵件詐騙訊息？相關資料為何？</v>
          </cell>
          <cell r="K9" t="str">
            <v>他所使你損害名譽是否能證明其為真實？</v>
          </cell>
          <cell r="N9" t="str">
            <v>你遭受性騷擾時有無遭受脅迫或任何使自身不能抵抗之情事？</v>
          </cell>
          <cell r="O9" t="str">
            <v>你於108年7月1日酒駕新法上路後是否有因酒後駕車遭警方查獲？</v>
          </cell>
          <cell r="Q9" t="str">
            <v>你(於前案後)於何時、何地施用毒品安非他命？</v>
          </cell>
          <cell r="R9" t="str">
            <v>你對被害人(代號楊妍煦)之性騷擾的行為被害人有無抗拒？如何抗拒？</v>
          </cell>
          <cell r="S9" t="str">
            <v>遭警方逮捕時有無受傷？逃逸期間有無遭人虐待？</v>
          </cell>
          <cell r="T9" t="str">
            <v>張煜杰身體健康狀況如何？有無疾病纏身？有無生前就醫紀錄？</v>
          </cell>
        </row>
        <row r="10">
          <cell r="B10" t="str">
            <v>警方製作警詢筆錄時，有無全程錄音錄影？</v>
          </cell>
          <cell r="C10" t="str">
            <v>如警方通知涉嫌人後，你是否同意與對方和解？</v>
          </cell>
          <cell r="D10" t="str">
            <v>請問你是否現為或曾為犯罪嫌疑人之法定代理人或現由或曾由犯罪嫌疑人為其法定代理人者？</v>
          </cell>
          <cell r="E10" t="str">
            <v>你當下行駛過程中是否有在車上使用行動電話或其他足以造成行車安全之行為?對方是否有使用？</v>
          </cell>
          <cell r="J10" t="str">
            <v>你公司的電子郵件，使用平台為何？有無裝設防毒軟體？你公司是否有資管相關設備？</v>
          </cell>
          <cell r="K10" t="str">
            <v>你是否要請求依民法第18條或民法第184、195條的損害賠償或回復名譽？</v>
          </cell>
          <cell r="N10" t="str">
            <v>你遭受性騷擾時有無反抗或制止？如何反抗或制止？對方有何反應？</v>
          </cell>
          <cell r="O10" t="str">
            <v>店家是否有告知酒後不能駕車，或是提供勿酒後駕車之標語，標示?請問你為何會有酒後駕車的行為？</v>
          </cell>
          <cell r="Q10" t="str">
            <v>你所施用之毒品安非他命係於何時、何地、向何人取得？價格、數量為何？</v>
          </cell>
          <cell r="T10" t="str">
            <v>張煜杰曾有無表示想輕生念頭？有無留下遺書？現場是否留有遺書？</v>
          </cell>
        </row>
        <row r="11">
          <cell r="B11" t="str">
            <v>警方於偵訊時你所陳述之事實是否為你自由意識下所陳述？警方有無以強暴脅迫等不正方法對你取供？警方在逮捕你時，有無使你受傷？</v>
          </cell>
          <cell r="E11" t="str">
            <v>你是否有裝設行車紀錄器?是否知悉對方有無裝設?你是否清楚案發地有無監視器的設置?</v>
          </cell>
          <cell r="J11" t="str">
            <v>你公司的電子郵件帳號是否有借予他人使用過？是否有其他人知道你公司的電子郵件帳號及密碼？</v>
          </cell>
          <cell r="N11" t="str">
            <v>加害人當時穿著服裝特徵為何？你是否認識加害人？與加害人為何種關係？是否知悉加害人的人之年籍資料、聯絡方式？是否知悉加害人所屬機關(公司)為何？擔任何職位？</v>
          </cell>
          <cell r="O11" t="str">
            <v>你酒後駕車期間是否有與人發生交通事故？</v>
          </cell>
          <cell r="Q11" t="str">
            <v>你最後一次施用毒品係於何時、何地、如何施用？</v>
          </cell>
          <cell r="T11" t="str">
            <v>張煜杰大體目前放置於何處？</v>
          </cell>
        </row>
        <row r="12">
          <cell r="B12" t="str">
            <v>警方於偵訊時你所陳述之事實是否為你自由意識下所陳述？警方有無以強暴脅迫等不正方法對你取供？</v>
          </cell>
          <cell r="E12" t="str">
            <v>事後你與對方有無商談相關賠償事宜?是否有達成和解？</v>
          </cell>
          <cell r="J12" t="str">
            <v>你是否清楚是何人冒用你的名義？你是否清楚犯嫌是如何得知你與你的客戶使用電子郵件進行交易的？你是否清楚犯嫌是如何得知你公司的電子郵件帳戶的？你都在何處使用電腦上網並使用電子郵件的？</v>
          </cell>
          <cell r="N12" t="str">
            <v>你被性騷擾時有無其他證人在場？是否認識？</v>
          </cell>
          <cell r="O12" t="str">
            <v>警方於查獲你時，妳車上是否有附載未滿12歲之人或其他乘客？</v>
          </cell>
          <cell r="Q12" t="str">
            <v>你使用之電話號碼？其申登人為何？開機密碼？鎖屏密碼？</v>
          </cell>
          <cell r="T12" t="str">
            <v>你對於張煜杰之死亡有無任何意見？</v>
          </cell>
        </row>
        <row r="13">
          <cell r="E13" t="str">
            <v>你有無向調解委員會聲請調解程序？調解情形為何？</v>
          </cell>
          <cell r="J13" t="str">
            <v>該犯嫌共假冒你公司的電子郵件帳號幾次？於何時開始假冒你公司的名義？ 到目前為止，是否有因為你公司的電子郵件帳戶遭犯嫌冒用， 而發生任何財物損失？</v>
          </cell>
          <cell r="N13" t="str">
            <v>請問妳是否知悉發生處所附近是否有監視器可供調閱或能提供警方其他資料或線索？</v>
          </cell>
          <cell r="O13" t="str">
            <v>你身體有無任何不適之症狀?如發燒?你於駕車前是否有使用酒精成分物（食）品（如蜂膠、感冒糖漿、漱口水）等物？</v>
          </cell>
          <cell r="Q13" t="str">
            <v>你近日是否有服用其他藥品？</v>
          </cell>
          <cell r="T13" t="str">
            <v>上述所說是否實在？有無其他意見補充？</v>
          </cell>
        </row>
        <row r="14">
          <cell r="E14" t="str">
            <v>你能提供何種資料(事故聯單、初判表、車鑑表、驗傷單)供警方後續偵辦使用?</v>
          </cell>
          <cell r="J14" t="str">
            <v>針對本案，你是否有向交易的對象表示，你的電子郵件遭不明犯嫌冒用？</v>
          </cell>
          <cell r="N14" t="str">
            <v>本事件你是否要提出性騷擾申訴？(如為執行職務中，係屬性別工作平等法範疇，所申訴對象係雇主而非行為人)</v>
          </cell>
          <cell r="O14" t="str">
            <v>你是如何與對方發生車禍？對方車牌為何</v>
          </cell>
          <cell r="Q14" t="str">
            <v>你有無因施用毒品經緩起訴處分、觀察勒戒或強制戒治？</v>
          </cell>
        </row>
        <row r="15">
          <cell r="N15" t="str">
            <v>性騷擾第25條之性騷擾行為為告訴乃論罪，你是否要提出告訴？</v>
          </cell>
          <cell r="O15" t="str">
            <v>你當時行駛之車道為何？車速為何？行經上述肇事路口時路口號誌為何？</v>
          </cell>
          <cell r="Q15" t="str">
            <v>你是否仍在緩起訴期間？(如答是，請續問在哪個地檢署?哪個醫療院所?)</v>
          </cell>
        </row>
        <row r="16">
          <cell r="O16" t="str">
            <v>你是否知悉你碰撞自小客貨6N-5698車體何處？</v>
          </cell>
          <cell r="Q16" t="str">
            <v>你是否知道各地方政府毒品危害防制中心有連結社政、衛政、醫療等資源，為藥癮者本人或家屬提供諮詢服務，包含戒癮治療、愛滋病篩檢、心理輔導、醫療諮詢、社會扶助、職業訓練及就業協助等？</v>
          </cell>
        </row>
        <row r="17">
          <cell r="O17" t="str">
            <v>你是否知悉你酒後駕車肇事後有無造成任何人受傷？</v>
          </cell>
          <cell r="Q17" t="str">
            <v>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ables/table1.xml><?xml version="1.0" encoding="utf-8"?>
<table xmlns="http://schemas.openxmlformats.org/spreadsheetml/2006/main" id="1" name="表格1" displayName="表格1" ref="B16:B26" headerRowCount="1" totalsRowShown="0" headerRowDxfId="4" dataDxfId="2" headerRowBorderDxfId="3" tableBorderDxfId="1">
  <autoFilter ref="B16:B26"/>
  <tableColumns count="1">
    <tableColumn id="1" name="姓名" dataDxfId="0"/>
  </tableColumns>
  <tableStyleInfo name="TableStyleLight16" showFirstColumn="0" showLastColumn="0" showRowStripes="1" showColumnStripes="0"/>
</table>
</file>

<file path=xl/theme/theme1.xml><?xml version="1.0" encoding="utf-8"?>
<a:theme xmlns:a="http://schemas.openxmlformats.org/drawingml/2006/main" name="Office 2013 - 2022 主題">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_rels/sheet27.xml.rels><Relationships xmlns="http://schemas.openxmlformats.org/package/2006/relationships"><Relationship Type="http://schemas.openxmlformats.org/officeDocument/2006/relationships/drawing" Target="/xl/drawings/drawing1.xml" Id="rId1"/></Relationships>
</file>

<file path=xl/worksheets/_rels/sheet37.xml.rels><Relationships xmlns="http://schemas.openxmlformats.org/package/2006/relationships"><Relationship Type="http://schemas.openxmlformats.org/officeDocument/2006/relationships/hyperlink" Target="http://enc.moe.edu.tw/UploadFile/eBook/20160819134838052559/index.html" TargetMode="External" Id="rId1"/></Relationships>
</file>

<file path=xl/worksheets/sheet1.xml><?xml version="1.0" encoding="utf-8"?>
<worksheet xmlns="http://schemas.openxmlformats.org/spreadsheetml/2006/main">
  <sheetPr codeName="工作表1">
    <outlinePr summaryBelow="1" summaryRight="1"/>
    <pageSetUpPr/>
  </sheetPr>
  <dimension ref="A1:AN28"/>
  <sheetViews>
    <sheetView showZeros="0" topLeftCell="B1" zoomScale="70" zoomScaleNormal="70" workbookViewId="0">
      <pane ySplit="1" topLeftCell="A11" activePane="bottomLeft" state="frozen"/>
      <selection activeCell="F17" sqref="F17:L17"/>
      <selection pane="bottomLeft" activeCell="F27" sqref="F27"/>
    </sheetView>
  </sheetViews>
  <sheetFormatPr baseColWidth="8" defaultRowHeight="16.5"/>
  <cols>
    <col hidden="1" width="2.375" customWidth="1" style="592" min="1" max="1"/>
    <col width="16.125" customWidth="1" style="592" min="2" max="2"/>
    <col width="14.375" customWidth="1" style="592" min="3" max="3"/>
    <col width="10" customWidth="1" style="592" min="4" max="4"/>
    <col width="13.75" customWidth="1" style="592" min="5" max="5"/>
    <col width="19.25" customWidth="1" style="592" min="6" max="6"/>
    <col width="23.25" customWidth="1" style="592" min="7" max="7"/>
    <col width="27.5" customWidth="1" style="592" min="8" max="8"/>
    <col width="10.25" customWidth="1" style="592" min="9" max="9"/>
    <col width="11.875" customWidth="1" style="592" min="10" max="10"/>
    <col width="7.125" customWidth="1" style="592" min="11" max="12"/>
    <col width="10.375" customWidth="1" style="592" min="13" max="13"/>
    <col width="12.125" customWidth="1" style="592" min="14" max="14"/>
    <col width="8.875" customWidth="1" style="592" min="15" max="15"/>
    <col width="6.75" customWidth="1" style="592" min="16" max="16"/>
    <col hidden="1" width="11" customWidth="1" style="592" min="17" max="17"/>
    <col width="1.625" customWidth="1" style="592" min="18" max="18"/>
    <col width="14.5" customWidth="1" style="592" min="19" max="19"/>
    <col width="9.875" customWidth="1" style="592" min="20" max="20"/>
    <col width="9.125" customWidth="1" style="592" min="21" max="21"/>
    <col width="9.375" customWidth="1" style="592" min="22" max="23"/>
    <col width="5.125" customWidth="1" style="592" min="24" max="24"/>
    <col width="11.125" customWidth="1" style="592" min="25" max="25"/>
    <col width="8.25" customWidth="1" style="592" min="26" max="26"/>
    <col width="12" customWidth="1" style="592" min="27" max="27"/>
    <col width="7.875" customWidth="1" style="592" min="28" max="28"/>
    <col width="7.375" customWidth="1" style="592" min="29" max="29"/>
    <col width="7.125" customWidth="1" style="592" min="30" max="30"/>
    <col width="6.25" customWidth="1" style="592" min="31" max="31"/>
    <col width="4.625" customWidth="1" style="592" min="32" max="32"/>
    <col width="6.25" customWidth="1" style="592" min="33" max="33"/>
    <col width="4.875" customWidth="1" style="592" min="34" max="34"/>
    <col width="5.875" customWidth="1" style="592" min="35" max="35"/>
    <col width="7.375" customWidth="1" style="592" min="36" max="36"/>
    <col width="9" customWidth="1" style="592" min="37" max="37"/>
    <col width="6.25" customWidth="1" style="592" min="38" max="38"/>
    <col width="9.75" customWidth="1" style="592" min="39" max="39"/>
    <col width="9" customWidth="1" style="592" min="40" max="40"/>
    <col width="9" customWidth="1" style="592" min="41" max="16384"/>
  </cols>
  <sheetData>
    <row r="1" ht="21.75" customHeight="1" s="680">
      <c r="A1" s="592" t="inlineStr">
        <is>
          <t>謝齊叡</t>
        </is>
      </c>
    </row>
    <row r="2" ht="21.75" customHeight="1" s="680">
      <c r="A2" s="592" t="inlineStr">
        <is>
          <t>陳進億</t>
        </is>
      </c>
      <c r="B2" s="38" t="inlineStr">
        <is>
          <t>案由</t>
        </is>
      </c>
      <c r="C2" s="585" t="inlineStr">
        <is>
          <t>毀損</t>
        </is>
      </c>
      <c r="D2" s="577" t="n"/>
      <c r="E2" s="152" t="inlineStr">
        <is>
          <t>無指名</t>
        </is>
      </c>
      <c r="F2" s="91" t="n"/>
      <c r="G2" s="576" t="inlineStr">
        <is>
          <t>通緝案由</t>
        </is>
      </c>
      <c r="H2" s="575" t="n"/>
      <c r="I2" s="36" t="n"/>
      <c r="J2" s="38" t="inlineStr">
        <is>
          <t>勤務</t>
        </is>
      </c>
      <c r="K2" s="586" t="n"/>
      <c r="L2" s="574" t="n"/>
      <c r="N2" s="576" t="inlineStr">
        <is>
          <t>呼氣酒精測試檢定合格證書</t>
        </is>
      </c>
      <c r="O2" s="577" t="n"/>
      <c r="P2" s="574" t="n"/>
      <c r="Q2" s="91" t="n"/>
      <c r="R2" s="91" t="n"/>
      <c r="S2" s="35" t="inlineStr">
        <is>
          <t>違反事實</t>
        </is>
      </c>
      <c r="T2" s="589">
        <f>IF($E$2=下拉用!$D$3,下拉用!$B$2,下拉用!$A$2)</f>
        <v/>
      </c>
      <c r="U2" s="580" t="n"/>
      <c r="V2" s="580" t="n"/>
      <c r="W2" s="580" t="n"/>
      <c r="X2" s="581" t="n"/>
      <c r="Y2" s="428" t="n"/>
      <c r="Z2" s="1175" t="n"/>
      <c r="AA2" s="1175" t="n"/>
      <c r="AB2" s="1175" t="n"/>
      <c r="AC2" s="430" t="n"/>
      <c r="AD2" s="430" t="n"/>
      <c r="AE2" s="430" t="n"/>
    </row>
    <row r="3" ht="63.75" customHeight="1" s="680">
      <c r="A3" s="592" t="inlineStr">
        <is>
          <t>楊子慶</t>
        </is>
      </c>
      <c r="B3" s="596">
        <f>IF($C$2="刑事相驗","110報案內容與現場狀況","犯嫌自述")</f>
        <v/>
      </c>
      <c r="C3" s="587" t="n"/>
      <c r="D3" s="580" t="n"/>
      <c r="E3" s="581" t="n"/>
      <c r="F3" s="239" t="n"/>
      <c r="G3" s="576" t="inlineStr">
        <is>
          <t>攔查理由</t>
        </is>
      </c>
      <c r="H3" s="587" t="n"/>
      <c r="J3" s="576" t="inlineStr">
        <is>
          <t>車種</t>
        </is>
      </c>
      <c r="K3" s="586" t="inlineStr">
        <is>
          <t>輕機</t>
        </is>
      </c>
      <c r="L3" s="574" t="n"/>
      <c r="N3" s="321" t="inlineStr">
        <is>
          <t>檢定合格單號碼</t>
        </is>
      </c>
      <c r="O3" s="575" t="inlineStr">
        <is>
          <t>j0ja1300812</t>
        </is>
      </c>
      <c r="P3" s="574" t="n"/>
      <c r="Q3" s="239" t="n"/>
      <c r="R3" s="430" t="n"/>
      <c r="T3" s="582" t="n"/>
      <c r="U3" s="583" t="n"/>
      <c r="V3" s="583" t="n"/>
      <c r="W3" s="583" t="n"/>
      <c r="X3" s="584" t="n"/>
      <c r="Y3" s="428" t="n"/>
      <c r="Z3" s="1175" t="n"/>
      <c r="AA3" s="1175" t="n"/>
      <c r="AB3" s="1175" t="n"/>
      <c r="AH3" s="663" t="n"/>
    </row>
    <row r="4" ht="45" customHeight="1" s="680">
      <c r="A4" s="592" t="inlineStr">
        <is>
          <t>黃聖文</t>
        </is>
      </c>
      <c r="B4" s="588" t="n"/>
      <c r="C4" s="582" t="n"/>
      <c r="D4" s="583" t="n"/>
      <c r="E4" s="584" t="n"/>
      <c r="F4" s="447" t="n"/>
      <c r="G4" s="588" t="n"/>
      <c r="H4" s="588" t="n"/>
      <c r="I4" s="36" t="n"/>
      <c r="J4" s="576" t="inlineStr">
        <is>
          <t>車牌</t>
        </is>
      </c>
      <c r="K4" s="594" t="inlineStr">
        <is>
          <t>ewj-8123</t>
        </is>
      </c>
      <c r="L4" s="574" t="n"/>
      <c r="N4" s="322" t="inlineStr">
        <is>
          <t>酒測器編號</t>
        </is>
      </c>
      <c r="O4" s="573" t="inlineStr">
        <is>
          <t>a191245</t>
        </is>
      </c>
      <c r="P4" s="574" t="n"/>
      <c r="Q4" s="447" t="n"/>
      <c r="R4" s="447" t="n"/>
      <c r="S4" s="35" t="inlineStr">
        <is>
          <t>犯嫌自述</t>
        </is>
      </c>
      <c r="T4" s="589">
        <f>下拉用!$A$3</f>
        <v/>
      </c>
      <c r="U4" s="580" t="n"/>
      <c r="V4" s="580" t="n"/>
      <c r="W4" s="580" t="n"/>
      <c r="X4" s="581" t="n"/>
      <c r="Y4" s="428" t="n"/>
      <c r="Z4" s="1175" t="n"/>
      <c r="AA4" s="1175" t="n"/>
      <c r="AB4" s="1175" t="n"/>
    </row>
    <row r="5" ht="29.25" customHeight="1" s="680">
      <c r="A5" s="592" t="inlineStr">
        <is>
          <t>吳彥翔</t>
        </is>
      </c>
      <c r="B5" s="575">
        <f>IF($C$2="刑事相驗","發現人自述","被害自述")</f>
        <v/>
      </c>
      <c r="C5" s="579" t="inlineStr">
        <is>
          <t>報案人稱於115年09月12日12時18分載乘客至臺北市信義區吳興街206號，遭不知名民眾敲擊自小營(TDW-2575)右後側板金，並造成凹陷，故至所報案。</t>
        </is>
      </c>
      <c r="D5" s="580" t="n"/>
      <c r="E5" s="581" t="n"/>
      <c r="F5" s="430" t="n"/>
      <c r="G5" s="238">
        <f>HLOOKUP($H$14,調閱用!$1:$1048576,2,0)</f>
        <v/>
      </c>
      <c r="H5" s="1299" t="n">
        <v>11405050505</v>
      </c>
      <c r="N5" s="322" t="inlineStr">
        <is>
          <t>酒測單案號</t>
        </is>
      </c>
      <c r="O5" s="573" t="n">
        <v>125</v>
      </c>
      <c r="P5" s="574" t="n"/>
      <c r="Q5" s="430" t="n"/>
      <c r="R5" s="430" t="n"/>
      <c r="T5" s="582" t="n"/>
      <c r="U5" s="583" t="n"/>
      <c r="V5" s="583" t="n"/>
      <c r="W5" s="583" t="n"/>
      <c r="X5" s="584" t="n"/>
      <c r="Y5" s="428" t="n"/>
      <c r="Z5" s="1175" t="n"/>
      <c r="AA5" s="1175" t="n"/>
      <c r="AB5" s="1175" t="n"/>
    </row>
    <row r="6" ht="45.75" customHeight="1" s="680">
      <c r="A6" s="592" t="inlineStr">
        <is>
          <t>陳志偉</t>
        </is>
      </c>
      <c r="B6" s="588" t="n"/>
      <c r="C6" s="582" t="n"/>
      <c r="D6" s="583" t="n"/>
      <c r="E6" s="584" t="n"/>
      <c r="F6" s="430" t="n"/>
      <c r="G6" s="238">
        <f>HLOOKUP($H$14,調閱用!$1:$1048576,3,0)</f>
        <v/>
      </c>
      <c r="H6" s="1300" t="n"/>
      <c r="I6" s="1301" t="n"/>
      <c r="N6" s="322" t="inlineStr">
        <is>
          <t>告發單</t>
        </is>
      </c>
      <c r="O6" s="573" t="inlineStr">
        <is>
          <t>a03h5s314</t>
        </is>
      </c>
      <c r="P6" s="574" t="n"/>
      <c r="Q6" s="430" t="n"/>
      <c r="R6" s="430" t="n"/>
      <c r="S6" s="35" t="inlineStr">
        <is>
          <t>結報</t>
        </is>
      </c>
      <c r="T6" s="589">
        <f>下拉用!$A$5</f>
        <v/>
      </c>
      <c r="U6" s="580" t="n"/>
      <c r="V6" s="580" t="n"/>
      <c r="W6" s="580" t="n"/>
      <c r="X6" s="581" t="n"/>
      <c r="Y6" s="428" t="n"/>
      <c r="Z6" s="1175" t="n"/>
      <c r="AA6" s="1175" t="n"/>
      <c r="AB6" s="1175" t="n"/>
    </row>
    <row r="7" ht="38.25" customHeight="1" s="680">
      <c r="A7" s="592" t="inlineStr">
        <is>
          <t>楊帆婷</t>
        </is>
      </c>
      <c r="B7" s="596" t="inlineStr">
        <is>
          <t>發生(攔查)地點</t>
        </is>
      </c>
      <c r="C7" s="579" t="inlineStr">
        <is>
          <t>臺北市信義區吳興街206號</t>
        </is>
      </c>
      <c r="D7" s="577" t="n"/>
      <c r="E7" s="574" t="n"/>
      <c r="G7" s="238">
        <f>HLOOKUP($H$14,調閱用!$1:$1048576,4,0)</f>
        <v/>
      </c>
      <c r="H7" s="575" t="n">
        <v>0.67</v>
      </c>
      <c r="N7" s="323" t="inlineStr">
        <is>
          <t>移置車輛保管單號</t>
        </is>
      </c>
      <c r="O7" s="573" t="inlineStr">
        <is>
          <t>24ah5s00e</t>
        </is>
      </c>
      <c r="P7" s="574" t="n"/>
      <c r="T7" s="582" t="n"/>
      <c r="U7" s="583" t="n"/>
      <c r="V7" s="583" t="n"/>
      <c r="W7" s="583" t="n"/>
      <c r="X7" s="584" t="n"/>
      <c r="Y7" s="428" t="n"/>
      <c r="Z7" s="1175" t="n"/>
      <c r="AA7" s="1175" t="n"/>
      <c r="AB7" s="1175" t="n"/>
      <c r="AL7" s="599" t="n"/>
      <c r="AM7" s="599" t="n"/>
      <c r="AN7" s="599" t="n"/>
    </row>
    <row r="8" ht="30.75" customHeight="1" s="680">
      <c r="A8" s="592" t="inlineStr">
        <is>
          <t>楊妍煦</t>
        </is>
      </c>
      <c r="B8" s="576" t="inlineStr">
        <is>
          <t>發生日期</t>
        </is>
      </c>
      <c r="C8" s="1302" t="n">
        <v>11509121218</v>
      </c>
      <c r="D8" s="577" t="n"/>
      <c r="E8" s="574" t="n"/>
      <c r="G8" s="238">
        <f>HLOOKUP($H$14,調閱用!$1:$1048576,5,0)</f>
        <v/>
      </c>
      <c r="H8" s="579" t="n">
        <v>400</v>
      </c>
      <c r="I8" s="151" t="n"/>
      <c r="N8" s="576" t="inlineStr">
        <is>
          <t>查獲人員</t>
        </is>
      </c>
      <c r="O8" s="575" t="inlineStr">
        <is>
          <t>蘇詠棠</t>
        </is>
      </c>
      <c r="P8" s="574" t="n"/>
      <c r="S8" s="35" t="inlineStr">
        <is>
          <t>違反事實</t>
        </is>
      </c>
      <c r="T8" s="579">
        <f>IFERROR(IF(輸入!$C$2="","",HLOOKUP(輸入!$C$2,調閱用!$I$1:$K$11,11,0)),"")</f>
        <v/>
      </c>
      <c r="U8" s="580" t="n"/>
      <c r="V8" s="580" t="n"/>
      <c r="W8" s="580" t="n"/>
      <c r="X8" s="581" t="n"/>
      <c r="Y8" s="429" t="n"/>
      <c r="Z8" s="1144" t="n"/>
      <c r="AA8" s="1144" t="n"/>
      <c r="AB8" s="1144" t="n"/>
    </row>
    <row r="9" ht="40.5" customHeight="1" s="680">
      <c r="A9" s="592" t="inlineStr">
        <is>
          <t>施善為</t>
        </is>
      </c>
      <c r="B9" s="38" t="inlineStr">
        <is>
          <t>發現日期</t>
        </is>
      </c>
      <c r="C9" s="1300" t="n"/>
      <c r="D9" s="577" t="n"/>
      <c r="E9" s="574" t="n"/>
      <c r="G9" s="238">
        <f>HLOOKUP($H$14,調閱用!$1:$1048576,6,0)</f>
        <v/>
      </c>
      <c r="H9" s="579" t="n"/>
      <c r="N9" s="36" t="n"/>
      <c r="O9" s="591" t="n"/>
      <c r="T9" s="582" t="n"/>
      <c r="U9" s="583" t="n"/>
      <c r="V9" s="583" t="n"/>
      <c r="W9" s="583" t="n"/>
      <c r="X9" s="584" t="n"/>
      <c r="Y9" s="429" t="n"/>
      <c r="Z9" s="1144" t="n"/>
      <c r="AA9" s="1144" t="n"/>
      <c r="AB9" s="1144" t="n"/>
    </row>
    <row r="10" ht="39" customHeight="1" s="680">
      <c r="A10" s="592" t="inlineStr">
        <is>
          <t>林士閔</t>
        </is>
      </c>
      <c r="B10" s="576" t="inlineStr">
        <is>
          <t>報案日期</t>
        </is>
      </c>
      <c r="C10" s="1300" t="n">
        <v>11509121330</v>
      </c>
      <c r="D10" s="577" t="n"/>
      <c r="E10" s="574" t="n"/>
      <c r="G10" s="238">
        <f>HLOOKUP($H$14,調閱用!$1:$1048576,7,0)</f>
        <v/>
      </c>
      <c r="H10" s="575" t="n"/>
    </row>
    <row r="11" ht="39" customHeight="1" s="680">
      <c r="B11" s="576" t="inlineStr">
        <is>
          <t>查獲日期</t>
        </is>
      </c>
      <c r="C11" s="1300" t="n"/>
      <c r="D11" s="577" t="n"/>
      <c r="E11" s="574" t="n"/>
      <c r="G11" s="238">
        <f>HLOOKUP($H$14,調閱用!$1:$1048576,8,0)</f>
        <v/>
      </c>
      <c r="H11" s="575" t="inlineStr">
        <is>
          <t>自小客</t>
        </is>
      </c>
      <c r="V11" s="1144" t="n"/>
    </row>
    <row r="12" ht="31.5" customHeight="1" s="680">
      <c r="B12" s="576" t="inlineStr">
        <is>
          <t>證明單編號</t>
        </is>
      </c>
      <c r="C12" s="575" t="inlineStr">
        <is>
          <t>Z115099AWBN1NGL</t>
        </is>
      </c>
      <c r="D12" s="577" t="n"/>
      <c r="E12" s="574" t="n"/>
      <c r="G12" s="238">
        <f>HLOOKUP($H$14,調閱用!$1:$1048576,9,0)</f>
        <v/>
      </c>
      <c r="H12" s="575" t="inlineStr">
        <is>
          <t>abc-123</t>
        </is>
      </c>
      <c r="V12" s="1144" t="n"/>
    </row>
    <row r="13" ht="27.75" customHeight="1" s="680">
      <c r="B13" s="576" t="inlineStr">
        <is>
          <t>查獲地址</t>
        </is>
      </c>
      <c r="C13" s="1303" t="n"/>
      <c r="D13" s="577" t="n"/>
      <c r="E13" s="574" t="n"/>
      <c r="F13" s="1304" t="n"/>
      <c r="G13" s="238">
        <f>HLOOKUP($H$14,調閱用!$1:$1048576,10,0)</f>
        <v/>
      </c>
      <c r="H13" s="180" t="n"/>
      <c r="Q13" s="1304" t="n"/>
      <c r="R13" s="1304" t="n"/>
      <c r="V13" s="1144" t="n"/>
      <c r="X13" s="48" t="n"/>
      <c r="Y13" s="48" t="n"/>
      <c r="Z13" s="48" t="n"/>
      <c r="AA13" s="48" t="n"/>
      <c r="AB13" s="48" t="n"/>
      <c r="AC13" s="48" t="n"/>
      <c r="AD13" s="48" t="n"/>
      <c r="AE13" s="48" t="n"/>
    </row>
    <row r="14" ht="26.25" customHeight="1" s="680">
      <c r="A14" s="36" t="n"/>
      <c r="B14" s="593" t="inlineStr">
        <is>
          <t>公文文號：</t>
        </is>
      </c>
      <c r="C14" s="593" t="n"/>
      <c r="D14" s="577" t="n"/>
      <c r="E14" s="574" t="n"/>
      <c r="F14" s="46" t="n"/>
      <c r="G14" s="400" t="inlineStr">
        <is>
          <t>調閱種類</t>
        </is>
      </c>
      <c r="H14" s="399" t="inlineStr">
        <is>
          <t>監視器</t>
        </is>
      </c>
      <c r="Q14" s="46" t="n"/>
      <c r="R14" s="46" t="n"/>
      <c r="V14" s="1144" t="n"/>
      <c r="X14" s="36" t="n"/>
      <c r="Y14" s="1305" t="n"/>
      <c r="Z14" s="1305" t="n"/>
      <c r="AA14" s="1305" t="n"/>
      <c r="AB14" s="1305" t="n"/>
      <c r="AC14" s="1305" t="n"/>
      <c r="AD14" s="1305" t="n"/>
      <c r="AE14" s="1305" t="n"/>
      <c r="AG14" s="150" t="n"/>
      <c r="AH14" s="36" t="n"/>
    </row>
    <row r="15" ht="21.75" customHeight="1" s="680">
      <c r="A15" s="36" t="n"/>
      <c r="B15" s="36" t="n"/>
      <c r="C15" s="36" t="n"/>
      <c r="D15" s="1306" t="n"/>
      <c r="E15" s="36" t="n"/>
      <c r="F15" s="36" t="n"/>
      <c r="Q15" s="36" t="n"/>
      <c r="R15" s="36" t="n"/>
      <c r="V15" s="1144" t="n"/>
      <c r="X15" s="36" t="n"/>
      <c r="Y15" s="1307" t="n"/>
      <c r="Z15" s="1307" t="n"/>
      <c r="AA15" s="1307" t="n"/>
      <c r="AB15" s="1307" t="n"/>
      <c r="AC15" s="1307" t="n"/>
      <c r="AD15" s="1307" t="n"/>
      <c r="AE15" s="1307" t="n"/>
      <c r="AG15" s="150" t="n"/>
      <c r="AH15" s="36" t="n"/>
    </row>
    <row r="16" ht="33.75" customFormat="1" customHeight="1" s="663">
      <c r="A16" s="591" t="n"/>
      <c r="B16" s="344" t="inlineStr">
        <is>
          <t>姓名</t>
        </is>
      </c>
      <c r="C16" s="317" t="inlineStr">
        <is>
          <t>身分證字號</t>
        </is>
      </c>
      <c r="D16" s="34" t="inlineStr">
        <is>
          <t>出生地</t>
        </is>
      </c>
      <c r="E16" s="34" t="inlineStr">
        <is>
          <t>電話號碼</t>
        </is>
      </c>
      <c r="F16" s="34" t="inlineStr">
        <is>
          <t>出生年月日</t>
        </is>
      </c>
      <c r="G16" s="34" t="inlineStr">
        <is>
          <t>戶籍地</t>
        </is>
      </c>
      <c r="H16" s="34" t="inlineStr">
        <is>
          <t>現住地</t>
        </is>
      </c>
      <c r="I16" s="34" t="inlineStr">
        <is>
          <t>職業</t>
        </is>
      </c>
      <c r="J16" s="34" t="inlineStr">
        <is>
          <t>教育程度</t>
        </is>
      </c>
      <c r="K16" s="163" t="inlineStr">
        <is>
          <t>年齡</t>
        </is>
      </c>
      <c r="L16" s="163" t="inlineStr">
        <is>
          <t>姓別</t>
        </is>
      </c>
      <c r="M16" s="39" t="inlineStr">
        <is>
          <t>關係人</t>
        </is>
      </c>
      <c r="N16" s="34" t="inlineStr">
        <is>
          <t>國籍</t>
        </is>
      </c>
      <c r="O16" s="34" t="inlineStr">
        <is>
          <t>移送書號</t>
        </is>
      </c>
      <c r="Q16" s="431" t="n"/>
      <c r="R16" s="434" t="n"/>
      <c r="S16" s="576" t="inlineStr">
        <is>
          <t>毒品試劑公司</t>
        </is>
      </c>
      <c r="T16" s="579" t="inlineStr">
        <is>
          <t>臺灣尖端先進生技醫藥股份有限公司</t>
        </is>
      </c>
      <c r="U16" s="574" t="n"/>
      <c r="V16" s="1144" t="n"/>
      <c r="X16" s="46" t="n"/>
      <c r="Y16" s="591" t="n"/>
      <c r="Z16" s="591" t="n"/>
      <c r="AA16" s="591" t="n"/>
      <c r="AB16" s="591" t="n"/>
      <c r="AC16" s="591" t="n"/>
      <c r="AD16" s="591" t="n"/>
      <c r="AE16" s="591" t="n"/>
      <c r="AF16" s="591" t="n"/>
      <c r="AG16" s="591" t="n"/>
      <c r="AH16" s="591" t="n"/>
      <c r="AI16" s="591" t="n"/>
      <c r="AJ16" s="591" t="n"/>
      <c r="AK16" s="591" t="n"/>
      <c r="AL16" s="591" t="n"/>
      <c r="AM16" s="591" t="n"/>
      <c r="AN16" s="591" t="n"/>
    </row>
    <row r="17" ht="42.75" customHeight="1" s="680">
      <c r="A17" s="592">
        <f>IF(COUNTIF('呈報單 多人'!$B$7:$E$41,B18)&gt;0,"",MAX(輸入!$A$16:A16)+1)</f>
        <v/>
      </c>
      <c r="B17" s="349" t="inlineStr">
        <is>
          <t>黃軾錦</t>
        </is>
      </c>
      <c r="C17" s="346" t="inlineStr">
        <is>
          <t>C121205026</t>
        </is>
      </c>
      <c r="D17" s="346" t="inlineStr">
        <is>
          <t>基隆市</t>
        </is>
      </c>
      <c r="E17" s="1308" t="n">
        <v>989987244</v>
      </c>
      <c r="F17" s="1309" t="n">
        <v>740911</v>
      </c>
      <c r="G17" s="397" t="inlineStr">
        <is>
          <t>基隆市七堵區百一街149號</t>
        </is>
      </c>
      <c r="H17" s="443" t="inlineStr">
        <is>
          <t>基隆市七堵區百一街149號</t>
        </is>
      </c>
      <c r="I17" s="347" t="inlineStr">
        <is>
          <t>司機</t>
        </is>
      </c>
      <c r="J17" s="347" t="inlineStr">
        <is>
          <t>大學畢業</t>
        </is>
      </c>
      <c r="K17" s="1310">
        <f>IF(ISBLANK($C17),"",下拉用!$R2)</f>
        <v/>
      </c>
      <c r="L17" s="1310">
        <f>IF(ISBLANK($C17),"",下拉用!$S2)</f>
        <v/>
      </c>
      <c r="M17" s="347" t="inlineStr">
        <is>
          <t>被害人</t>
        </is>
      </c>
      <c r="N17" s="348" t="n"/>
      <c r="O17" s="348" t="n"/>
      <c r="Q17" s="1311">
        <f>CONCATENATE(LEFT(F17,2),".",MID(F17,3,2),".",RIGHT(F17,2),)</f>
        <v/>
      </c>
      <c r="R17" s="1312" t="n"/>
      <c r="S17" s="432" t="inlineStr">
        <is>
          <t>單位</t>
        </is>
      </c>
      <c r="T17" s="47" t="n">
        <v>115</v>
      </c>
      <c r="U17" s="47" t="inlineStr">
        <is>
          <t>年</t>
        </is>
      </c>
      <c r="X17" s="36" t="n"/>
      <c r="Y17" s="591" t="n"/>
    </row>
    <row r="18" ht="45.75" customHeight="1" s="680">
      <c r="A18" s="592">
        <f>IF(COUNTIF('呈報單 多人'!$B$7:$E$41,#REF!)&gt;0,"",MAX(輸入!$A$16:A17)+1)</f>
        <v/>
      </c>
      <c r="B18" s="342" t="inlineStr">
        <is>
          <t>顏文祥</t>
        </is>
      </c>
      <c r="C18" s="337" t="inlineStr">
        <is>
          <t>A126819564</t>
        </is>
      </c>
      <c r="D18" s="337" t="inlineStr">
        <is>
          <t>臺北市</t>
        </is>
      </c>
      <c r="E18" s="1313" t="n">
        <v>935680306</v>
      </c>
      <c r="F18" s="1314" t="n">
        <v>840306</v>
      </c>
      <c r="G18" s="398" t="inlineStr">
        <is>
          <t>臺北市信義區信義路五段150巷477號</t>
        </is>
      </c>
      <c r="H18" s="353" t="inlineStr">
        <is>
          <t>臺北市信義區信義路五段150巷477號</t>
        </is>
      </c>
      <c r="I18" s="168" t="inlineStr">
        <is>
          <t>收銀員</t>
        </is>
      </c>
      <c r="J18" s="661" t="inlineStr">
        <is>
          <t>大學畢業</t>
        </is>
      </c>
      <c r="K18" s="163">
        <f>IF(ISBLANK($C18),"",下拉用!$R3)</f>
        <v/>
      </c>
      <c r="L18" s="1315">
        <f>IF(ISBLANK($C18),"",下拉用!$S3)</f>
        <v/>
      </c>
      <c r="M18" s="34" t="n"/>
      <c r="N18" s="338" t="n"/>
      <c r="O18" s="143" t="n"/>
      <c r="Q18" s="1311">
        <f>CONCATENATE(LEFT(F18,2),".",MID(F18,3,2),".",RIGHT(F18,2),)</f>
        <v/>
      </c>
      <c r="R18" s="1312" t="n"/>
      <c r="S18" s="586" t="inlineStr">
        <is>
          <t>臺北市</t>
        </is>
      </c>
      <c r="T18" s="575" t="inlineStr">
        <is>
          <t>政府警察局</t>
        </is>
      </c>
      <c r="U18" s="574" t="n"/>
      <c r="X18" s="36" t="n"/>
      <c r="Y18" s="591" t="n"/>
    </row>
    <row r="19" ht="42.75" customHeight="1" s="680">
      <c r="A19" s="592">
        <f>IF(COUNTIF('呈報單 多人'!$B$7:$E$41,B19)&gt;0,"",MAX(輸入!$A$16:A18)+1)</f>
        <v/>
      </c>
      <c r="B19" s="350" t="inlineStr">
        <is>
          <t>張鈞揮</t>
        </is>
      </c>
      <c r="C19" s="347" t="inlineStr">
        <is>
          <t>A125142591</t>
        </is>
      </c>
      <c r="D19" s="347" t="inlineStr">
        <is>
          <t>臺北市</t>
        </is>
      </c>
      <c r="E19" s="1316" t="n">
        <v>921053420</v>
      </c>
      <c r="F19" s="1317" t="n">
        <v>700131</v>
      </c>
      <c r="G19" s="397" t="inlineStr">
        <is>
          <t>臺北市內湖區康樂街125巷4號5樓</t>
        </is>
      </c>
      <c r="H19" s="348" t="inlineStr">
        <is>
          <t>臺北市信義區信義路五段150巷487號</t>
        </is>
      </c>
      <c r="I19" s="168" t="inlineStr">
        <is>
          <t>收銀員</t>
        </is>
      </c>
      <c r="J19" s="661" t="inlineStr">
        <is>
          <t>高職畢業</t>
        </is>
      </c>
      <c r="K19" s="1310">
        <f>IF(ISBLANK($C19),"",下拉用!$R4)</f>
        <v/>
      </c>
      <c r="L19" s="1310">
        <f>IF(ISBLANK($C19),"",下拉用!$S4)</f>
        <v/>
      </c>
      <c r="M19" s="347" t="n"/>
      <c r="N19" s="348" t="n"/>
      <c r="O19" s="348" t="n"/>
      <c r="Q19" s="1311">
        <f>CONCATENATE(LEFT(F19,2),".",MID(F19,3,2),".",RIGHT(F19,2),)</f>
        <v/>
      </c>
      <c r="R19" s="1312" t="n"/>
      <c r="S19" s="586" t="inlineStr">
        <is>
          <t>信義</t>
        </is>
      </c>
      <c r="T19" s="575" t="inlineStr">
        <is>
          <t>分局</t>
        </is>
      </c>
      <c r="U19" s="574" t="n"/>
      <c r="X19" s="36" t="n"/>
      <c r="Y19" s="591" t="n"/>
    </row>
    <row r="20" ht="51.75" customHeight="1" s="680">
      <c r="A20" s="592">
        <f>IF(COUNTIF('呈報單 多人'!$B$7:$E$41,B20)&gt;0,"",MAX(輸入!$A$16:A19)+1)</f>
        <v/>
      </c>
      <c r="B20" s="342" t="inlineStr">
        <is>
          <t>陳之浩</t>
        </is>
      </c>
      <c r="C20" s="337" t="inlineStr">
        <is>
          <t>A125985630</t>
        </is>
      </c>
      <c r="D20" s="337" t="inlineStr">
        <is>
          <t>高雄市</t>
        </is>
      </c>
      <c r="E20" s="1313" t="n">
        <v>933891280</v>
      </c>
      <c r="F20" s="1314" t="n">
        <v>530823</v>
      </c>
      <c r="G20" s="398" t="inlineStr">
        <is>
          <t>臺北市文山區福興路99號7樓</t>
        </is>
      </c>
      <c r="H20" s="353" t="inlineStr">
        <is>
          <t>臺北市文山區福興路99號7樓</t>
        </is>
      </c>
      <c r="I20" s="168" t="inlineStr">
        <is>
          <t>服務業</t>
        </is>
      </c>
      <c r="J20" s="661" t="inlineStr">
        <is>
          <t>大學畢業</t>
        </is>
      </c>
      <c r="K20" s="1315">
        <f>IF(ISBLANK($C20),"",下拉用!$R5)</f>
        <v/>
      </c>
      <c r="L20" s="1315">
        <f>IF(ISBLANK($C20),"",下拉用!$S5)</f>
        <v/>
      </c>
      <c r="M20" s="37" t="n"/>
      <c r="N20" s="661" t="n"/>
      <c r="O20" s="661" t="n"/>
      <c r="Q20" s="1318">
        <f>CONCATENATE(LEFT(F20,2),".",MID(F20,3,2),".",RIGHT(F20,2),)</f>
        <v/>
      </c>
      <c r="R20" s="1312" t="n"/>
      <c r="S20" s="586" t="inlineStr">
        <is>
          <t>吳興街</t>
        </is>
      </c>
      <c r="T20" s="575" t="inlineStr">
        <is>
          <t>派出所</t>
        </is>
      </c>
      <c r="U20" s="574" t="n"/>
      <c r="Y20" s="591" t="n"/>
    </row>
    <row r="21" ht="48" customHeight="1" s="680">
      <c r="A21" s="592">
        <f>IF(COUNTIF('呈報單 多人'!$B$7:$E$41,B21)&gt;0,"",MAX(輸入!$A$16:A20)+1)</f>
        <v/>
      </c>
      <c r="B21" s="350" t="inlineStr">
        <is>
          <t>楊子慶</t>
        </is>
      </c>
      <c r="C21" s="347" t="inlineStr">
        <is>
          <t>A130510449</t>
        </is>
      </c>
      <c r="D21" s="347" t="inlineStr">
        <is>
          <t>基隆市</t>
        </is>
      </c>
      <c r="E21" s="1316" t="n">
        <v>921332553</v>
      </c>
      <c r="F21" s="1317" t="n">
        <v>871015</v>
      </c>
      <c r="G21" s="397" t="inlineStr">
        <is>
          <t>臺北市松山區民生東路五段229號</t>
        </is>
      </c>
      <c r="H21" s="348" t="inlineStr">
        <is>
          <t>臺北市松山區民生東路五段229號</t>
        </is>
      </c>
      <c r="I21" s="168" t="inlineStr">
        <is>
          <t>服務業</t>
        </is>
      </c>
      <c r="J21" s="661" t="inlineStr">
        <is>
          <t>大學畢業</t>
        </is>
      </c>
      <c r="K21" s="1310">
        <f>IF(ISBLANK($C21),"",下拉用!$R6)</f>
        <v/>
      </c>
      <c r="L21" s="1310">
        <f>IF(ISBLANK($C21),"",下拉用!$S6)</f>
        <v/>
      </c>
      <c r="M21" s="347" t="n"/>
      <c r="N21" s="348" t="n"/>
      <c r="O21" s="348" t="n"/>
      <c r="Q21" s="1311">
        <f>CONCATENATE(LEFT(F21,2),".",MID(F21,3,2),".",RIGHT(F21,2),)</f>
        <v/>
      </c>
      <c r="R21" s="1312" t="n"/>
      <c r="S21" s="586" t="inlineStr">
        <is>
          <t>單位電話</t>
        </is>
      </c>
      <c r="T21" s="575" t="inlineStr">
        <is>
          <t>(02)27398997</t>
        </is>
      </c>
      <c r="U21" s="574" t="n"/>
      <c r="X21" s="36" t="n"/>
      <c r="Y21" s="591" t="n"/>
    </row>
    <row r="22" ht="57" customHeight="1" s="680">
      <c r="A22" s="592">
        <f>IF(COUNTIF('呈報單 多人'!$B$7:$E$41,B22)&gt;0,"",MAX(輸入!$A$16:A21)+1)</f>
        <v/>
      </c>
      <c r="B22" s="343" t="inlineStr">
        <is>
          <t>陳志偉</t>
        </is>
      </c>
      <c r="C22" s="168" t="inlineStr">
        <is>
          <t>F128549435</t>
        </is>
      </c>
      <c r="D22" s="168" t="inlineStr">
        <is>
          <t>臺北市</t>
        </is>
      </c>
      <c r="E22" s="1319" t="n"/>
      <c r="F22" s="1320" t="n">
        <v>821203</v>
      </c>
      <c r="G22" s="992" t="inlineStr">
        <is>
          <t>新北市板橋區中山路二段412巷29弄22之1號四樓</t>
        </is>
      </c>
      <c r="H22" s="661" t="inlineStr">
        <is>
          <t>新北市板橋區中山路二段412巷29弄22之1號四樓</t>
        </is>
      </c>
      <c r="I22" s="168" t="inlineStr">
        <is>
          <t>服務業</t>
        </is>
      </c>
      <c r="J22" s="661" t="inlineStr">
        <is>
          <t>大學畢業</t>
        </is>
      </c>
      <c r="K22" s="1315">
        <f>IF(ISBLANK($C22),"",下拉用!$R7)</f>
        <v/>
      </c>
      <c r="L22" s="1315">
        <f>IF(ISBLANK($C22),"",下拉用!$S7)</f>
        <v/>
      </c>
      <c r="M22" s="37" t="n"/>
      <c r="N22" s="661" t="n"/>
      <c r="O22" s="661" t="n"/>
      <c r="Q22" s="1318">
        <f>CONCATENATE(LEFT(F22,2),".",MID(F22,3,2),".",RIGHT(F22,2),)</f>
        <v/>
      </c>
      <c r="R22" s="1312" t="n"/>
      <c r="S22" s="586" t="inlineStr">
        <is>
          <t>單位傳真</t>
        </is>
      </c>
      <c r="T22" s="575" t="inlineStr">
        <is>
          <t>(02)27398997</t>
        </is>
      </c>
      <c r="U22" s="574" t="n"/>
      <c r="Y22" s="591" t="n"/>
    </row>
    <row r="23" ht="47.25" customHeight="1" s="680">
      <c r="A23" s="592">
        <f>IF(COUNTIF('呈報單 多人'!$B$7:$E$41,B23)&gt;0,"",MAX(輸入!$A$16:A22)+1)</f>
        <v/>
      </c>
      <c r="B23" s="350" t="inlineStr">
        <is>
          <t>楊帆婷</t>
        </is>
      </c>
      <c r="C23" s="347" t="inlineStr">
        <is>
          <t>A226266850</t>
        </is>
      </c>
      <c r="D23" s="347" t="inlineStr">
        <is>
          <t>臺北市</t>
        </is>
      </c>
      <c r="E23" s="1316" t="n">
        <v>953515594</v>
      </c>
      <c r="F23" s="1317" t="n">
        <v>780817</v>
      </c>
      <c r="G23" s="397" t="inlineStr">
        <is>
          <t>臺北市信義區松山路650巷15弄26號</t>
        </is>
      </c>
      <c r="H23" s="348" t="inlineStr">
        <is>
          <t>臺北市信義區松山路650巷15弄26號</t>
        </is>
      </c>
      <c r="I23" s="168" t="inlineStr">
        <is>
          <t>服務業</t>
        </is>
      </c>
      <c r="J23" s="661" t="inlineStr">
        <is>
          <t>大學畢業</t>
        </is>
      </c>
      <c r="K23" s="1310">
        <f>IF(ISBLANK($C23),"",下拉用!$R8)</f>
        <v/>
      </c>
      <c r="L23" s="1310">
        <f>IF(ISBLANK($C23),"",下拉用!$S8)</f>
        <v/>
      </c>
      <c r="M23" s="347" t="n"/>
      <c r="N23" s="348" t="n"/>
      <c r="O23" s="348" t="n"/>
      <c r="Q23" s="1311">
        <f>CONCATENATE(LEFT(F23,2),".",MID(F23,3,2),".",RIGHT(F23,2),)</f>
        <v/>
      </c>
      <c r="R23" s="1312" t="n"/>
      <c r="S23" s="578" t="inlineStr">
        <is>
          <t>台北市信義區吳興街262號</t>
        </is>
      </c>
      <c r="T23" s="577" t="n"/>
      <c r="U23" s="574" t="n"/>
      <c r="Y23" s="591" t="n"/>
    </row>
    <row r="24" ht="51.75" customHeight="1" s="680">
      <c r="A24" s="592">
        <f>IF(COUNTIF('呈報單 多人'!$B$7:$E$41,B24)&gt;0,"",MAX(輸入!$A$16:A23)+1)</f>
        <v/>
      </c>
      <c r="B24" s="342" t="inlineStr">
        <is>
          <t>楊妍煦</t>
        </is>
      </c>
      <c r="C24" s="337" t="inlineStr">
        <is>
          <t>a226168126</t>
        </is>
      </c>
      <c r="D24" s="337" t="inlineStr">
        <is>
          <t>臺北市</t>
        </is>
      </c>
      <c r="E24" s="1313" t="n">
        <v>935119410</v>
      </c>
      <c r="F24" s="1314" t="n">
        <v>751008</v>
      </c>
      <c r="G24" s="398" t="inlineStr">
        <is>
          <t>臺北市士林區中社路一段80號三樓</t>
        </is>
      </c>
      <c r="H24" s="353" t="inlineStr">
        <is>
          <t>臺北市士林區中社路一段80號三樓</t>
        </is>
      </c>
      <c r="I24" s="337" t="inlineStr">
        <is>
          <t>服務業</t>
        </is>
      </c>
      <c r="J24" s="353" t="inlineStr">
        <is>
          <t>高中畢業</t>
        </is>
      </c>
      <c r="K24" s="1315">
        <f>IF(ISBLANK($C24),"",下拉用!$R9)</f>
        <v/>
      </c>
      <c r="L24" s="1315">
        <f>IF(ISBLANK($C24),"",下拉用!$S9)</f>
        <v/>
      </c>
      <c r="M24" s="37" t="n"/>
      <c r="N24" s="661" t="n"/>
      <c r="O24" s="661" t="n"/>
      <c r="Q24" s="1318">
        <f>CONCATENATE(LEFT(F24,2),".",MID(F24,3,2),".",RIGHT(F24,2),)</f>
        <v/>
      </c>
      <c r="R24" s="1312" t="n"/>
      <c r="S24" s="433" t="inlineStr">
        <is>
          <t>拍照人</t>
        </is>
      </c>
      <c r="T24" s="585" t="inlineStr">
        <is>
          <t>警員</t>
        </is>
      </c>
      <c r="U24" s="586" t="inlineStr">
        <is>
          <t>蘇詠棠</t>
        </is>
      </c>
      <c r="Y24" s="591" t="n"/>
    </row>
    <row r="25" ht="56.25" customHeight="1" s="680">
      <c r="A25" s="592">
        <f>IF(COUNTIF('呈報單 多人'!$B$7:$E$41,B25)&gt;0,"",MAX(輸入!$A$16:A24)+1)</f>
        <v/>
      </c>
      <c r="B25" s="350" t="inlineStr">
        <is>
          <t>施善為</t>
        </is>
      </c>
      <c r="C25" s="347" t="inlineStr">
        <is>
          <t>F131189498</t>
        </is>
      </c>
      <c r="D25" s="347" t="inlineStr">
        <is>
          <t>新北市</t>
        </is>
      </c>
      <c r="E25" s="1316" t="n">
        <v>958579134</v>
      </c>
      <c r="F25" s="1317" t="n">
        <v>910304</v>
      </c>
      <c r="G25" s="397" t="inlineStr">
        <is>
          <t>新北市永和區文化路101號三樓</t>
        </is>
      </c>
      <c r="H25" s="348" t="inlineStr">
        <is>
          <t>新北市永和區文化路101號三樓</t>
        </is>
      </c>
      <c r="I25" s="168" t="inlineStr">
        <is>
          <t>服務業</t>
        </is>
      </c>
      <c r="J25" s="661" t="inlineStr">
        <is>
          <t>大學畢業</t>
        </is>
      </c>
      <c r="K25" s="1310">
        <f>IF(ISBLANK($C25),"",下拉用!$R10)</f>
        <v/>
      </c>
      <c r="L25" s="1310">
        <f>IF(ISBLANK($C25),"",下拉用!$S10)</f>
        <v/>
      </c>
      <c r="M25" s="347" t="n"/>
      <c r="N25" s="348" t="n"/>
      <c r="O25" s="348" t="n"/>
      <c r="Q25" s="1311">
        <f>CONCATENATE(LEFT(F25,2),".",MID(F25,3,2),".",RIGHT(F25,2),)</f>
        <v/>
      </c>
      <c r="R25" s="1312" t="n"/>
      <c r="S25" s="586" t="inlineStr">
        <is>
          <t>um1520@gov.taipei</t>
        </is>
      </c>
      <c r="T25" s="577" t="n"/>
      <c r="U25" s="574" t="n"/>
      <c r="Y25" s="591" t="n"/>
    </row>
    <row r="26" ht="52.5" customHeight="1" s="680">
      <c r="A26" s="592">
        <f>IF(COUNTIF('呈報單 多人'!$B$7:$E$41,B26)&gt;0,"",MAX(輸入!$A$16:A25)+1)</f>
        <v/>
      </c>
      <c r="B26" s="345" t="inlineStr">
        <is>
          <t>林士閔</t>
        </is>
      </c>
      <c r="C26" s="168" t="inlineStr">
        <is>
          <t>g121610156</t>
        </is>
      </c>
      <c r="D26" s="168" t="inlineStr">
        <is>
          <t>臺北市</t>
        </is>
      </c>
      <c r="E26" s="1319" t="n">
        <v>938451126</v>
      </c>
      <c r="F26" s="1320" t="n">
        <v>721126</v>
      </c>
      <c r="G26" s="992" t="inlineStr">
        <is>
          <t>桃園市八德區永福街132-3號</t>
        </is>
      </c>
      <c r="H26" s="661" t="inlineStr">
        <is>
          <t>桃園市八德區永福街132-3號</t>
        </is>
      </c>
      <c r="I26" s="168" t="inlineStr">
        <is>
          <t>服務業</t>
        </is>
      </c>
      <c r="J26" s="661" t="inlineStr">
        <is>
          <t>高職畢業</t>
        </is>
      </c>
      <c r="K26" s="1315">
        <f>IF(ISBLANK($C26),"",下拉用!$R11)</f>
        <v/>
      </c>
      <c r="L26" s="1315">
        <f>IF(ISBLANK($C26),"",下拉用!$S11)</f>
        <v/>
      </c>
      <c r="M26" s="37" t="n"/>
      <c r="N26" s="661" t="n"/>
      <c r="O26" s="661" t="n"/>
      <c r="Q26" s="1318">
        <f>CONCATENATE(LEFT(F26,2),".",MID(F26,3,2),".",RIGHT(F26,2),)</f>
        <v/>
      </c>
      <c r="R26" s="1321" t="n"/>
      <c r="S26" s="414" t="n"/>
      <c r="U26" s="780" t="n"/>
      <c r="Y26" s="591" t="n"/>
    </row>
    <row r="27" ht="24.75" customHeight="1" s="680">
      <c r="N27" s="663" t="n"/>
      <c r="O27" s="663" t="n"/>
    </row>
    <row r="28">
      <c r="AD28" s="36" t="n"/>
      <c r="AE28" s="36" t="n"/>
      <c r="AF28" s="36" t="n"/>
      <c r="AG28" s="36" t="n"/>
      <c r="AH28" s="36" t="n"/>
      <c r="AI28" s="36" t="n"/>
      <c r="AJ28" s="36" t="n"/>
      <c r="AK28" s="591" t="n"/>
      <c r="AL28" s="36" t="n"/>
      <c r="AM28" s="36" t="n"/>
      <c r="AN28" s="36" t="n"/>
    </row>
    <row r="32" ht="18" customHeight="1" s="680"/>
    <row r="41" ht="42" customHeight="1" s="680"/>
    <row r="42" ht="45" customHeight="1" s="680"/>
  </sheetData>
  <mergeCells count="38">
    <mergeCell ref="O7:P7"/>
    <mergeCell ref="O3:P3"/>
    <mergeCell ref="N2:P2"/>
    <mergeCell ref="S23:U23"/>
    <mergeCell ref="T8:X9"/>
    <mergeCell ref="B3:B4"/>
    <mergeCell ref="T2:X3"/>
    <mergeCell ref="T20:U20"/>
    <mergeCell ref="O6:P6"/>
    <mergeCell ref="C9:E9"/>
    <mergeCell ref="C3:E4"/>
    <mergeCell ref="O9:P9"/>
    <mergeCell ref="C12:E12"/>
    <mergeCell ref="C11:E11"/>
    <mergeCell ref="O5:P5"/>
    <mergeCell ref="C5:E6"/>
    <mergeCell ref="T6:X7"/>
    <mergeCell ref="G3:G4"/>
    <mergeCell ref="C8:E8"/>
    <mergeCell ref="C7:E7"/>
    <mergeCell ref="O4:P4"/>
    <mergeCell ref="T21:U21"/>
    <mergeCell ref="C13:E13"/>
    <mergeCell ref="C2:D2"/>
    <mergeCell ref="K2:L2"/>
    <mergeCell ref="H3:H4"/>
    <mergeCell ref="T22:U22"/>
    <mergeCell ref="S25:U25"/>
    <mergeCell ref="B5:B6"/>
    <mergeCell ref="T4:X5"/>
    <mergeCell ref="O8:P8"/>
    <mergeCell ref="T16:U16"/>
    <mergeCell ref="C14:E14"/>
    <mergeCell ref="T19:U19"/>
    <mergeCell ref="T18:U18"/>
    <mergeCell ref="K4:L4"/>
    <mergeCell ref="K3:L3"/>
    <mergeCell ref="C10:E10"/>
  </mergeCells>
  <conditionalFormatting sqref="M17:M26">
    <cfRule type="containsText" priority="14" operator="containsText" dxfId="8" text="證人">
      <formula>NOT(ISERROR(SEARCH("證人",M17)))</formula>
    </cfRule>
    <cfRule type="containsText" priority="15" operator="containsText" dxfId="5" text="涉嫌人">
      <formula>NOT(ISERROR(SEARCH("涉嫌人",M17)))</formula>
    </cfRule>
    <cfRule type="containsText" priority="16" operator="containsText" dxfId="6" text="被害人">
      <formula>NOT(ISERROR(SEARCH("被害人",M17)))</formula>
    </cfRule>
  </conditionalFormatting>
  <conditionalFormatting sqref="M18">
    <cfRule type="containsText" priority="18" operator="containsText" dxfId="5" text="涉嫌人">
      <formula>NOT(ISERROR(SEARCH("涉嫌人",M18)))</formula>
    </cfRule>
  </conditionalFormatting>
  <dataValidations count="6">
    <dataValidation sqref="M17:M26 AM8:XFD8" showDropDown="0" showInputMessage="1" showErrorMessage="1" allowBlank="1" type="list">
      <formula1>人別</formula1>
    </dataValidation>
    <dataValidation sqref="E18 E22 E25" showDropDown="0" showInputMessage="1" showErrorMessage="1" allowBlank="0" operator="equal"/>
    <dataValidation sqref="C17:C26" showDropDown="0" showInputMessage="1" showErrorMessage="1" allowBlank="1" operator="equal"/>
    <dataValidation sqref="E2" showDropDown="0" showInputMessage="1" showErrorMessage="1" allowBlank="1" type="list">
      <formula1>有無涉嫌人</formula1>
    </dataValidation>
    <dataValidation sqref="B17:B26" showDropDown="0" showInputMessage="1" showErrorMessage="1" allowBlank="1" type="list">
      <formula1>$B$17:$B$26</formula1>
    </dataValidation>
    <dataValidation sqref="T26" showDropDown="0" showInputMessage="1" showErrorMessage="1" allowBlank="0"/>
  </dataValidations>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工作表2">
    <outlinePr summaryBelow="1" summaryRight="1"/>
    <pageSetUpPr/>
  </sheetPr>
  <dimension ref="A1:DB18"/>
  <sheetViews>
    <sheetView zoomScaleNormal="100" workbookViewId="0">
      <selection activeCell="H2" sqref="H2"/>
    </sheetView>
  </sheetViews>
  <sheetFormatPr baseColWidth="8" defaultRowHeight="16.5"/>
  <cols>
    <col width="8.375" customWidth="1" style="599" min="1" max="1"/>
    <col width="6.125" customWidth="1" style="599" min="2" max="2"/>
    <col width="6" customWidth="1" style="599" min="3" max="3"/>
    <col width="5.25" customWidth="1" style="599" min="4" max="4"/>
    <col width="6.75" customWidth="1" style="599" min="5" max="5"/>
    <col width="5.375" customWidth="1" style="599" min="6" max="6"/>
    <col width="5.75" customWidth="1" style="599" min="7" max="7"/>
    <col width="6.5" customWidth="1" style="599" min="8" max="8"/>
    <col width="7.125" customWidth="1" style="599" min="9" max="9"/>
    <col width="7.875" customWidth="1" style="599" min="10" max="10"/>
    <col width="8.75" customWidth="1" style="599" min="11" max="11"/>
    <col width="6.75" customWidth="1" style="599" min="12" max="12"/>
    <col width="7.625" customWidth="1" style="599" min="13" max="13"/>
    <col width="8.125" customWidth="1" style="599" min="14" max="14"/>
    <col width="5.125" customWidth="1" style="599" min="15" max="15"/>
    <col width="5.75" customWidth="1" style="599" min="16" max="16"/>
    <col width="5.25" customWidth="1" style="599" min="17" max="17"/>
    <col width="5.625" customWidth="1" style="599" min="18" max="18"/>
    <col width="6.75" customWidth="1" style="599" min="19" max="19"/>
    <col width="5.25" customWidth="1" style="599" min="20" max="20"/>
    <col width="8.25" customWidth="1" style="599" min="21" max="21"/>
    <col width="6.25" customWidth="1" style="599" min="22" max="22"/>
    <col width="6.875" customWidth="1" style="599" min="23" max="23"/>
    <col width="8.875" customWidth="1" style="599" min="24" max="24"/>
    <col width="5.25" customWidth="1" style="599" min="25" max="25"/>
    <col width="6" customWidth="1" style="599" min="26" max="26"/>
    <col width="6.75" customWidth="1" style="599" min="27" max="27"/>
    <col width="5.375" customWidth="1" style="599" min="28" max="30"/>
    <col width="6.625" customWidth="1" style="599" min="31" max="31"/>
    <col width="6.75" customWidth="1" style="599" min="32" max="32"/>
    <col width="6.625" customWidth="1" style="599" min="33" max="33"/>
    <col width="7.25" customWidth="1" style="599" min="34" max="34"/>
    <col width="6.875" customWidth="1" style="599" min="35" max="35"/>
    <col width="5.375" customWidth="1" style="599" min="36" max="36"/>
    <col width="9.125" customWidth="1" style="599" min="37" max="37"/>
    <col width="6.625" customWidth="1" style="599" min="38" max="39"/>
    <col width="6.75" customWidth="1" style="599" min="40" max="40"/>
    <col width="9.375" customWidth="1" style="599" min="41" max="41"/>
    <col width="5.625" customWidth="1" style="599" min="42" max="42"/>
    <col width="6" customWidth="1" style="599" min="43" max="43"/>
    <col width="9" customWidth="1" style="599" min="44" max="64"/>
    <col width="7.125" customWidth="1" style="599" min="65" max="65"/>
    <col width="11.625" customWidth="1" style="599" min="66" max="66"/>
    <col width="9" customWidth="1" style="599" min="67" max="73"/>
    <col width="9.375" customWidth="1" style="599" min="74" max="75"/>
    <col width="9.75" customWidth="1" style="599" min="76" max="76"/>
    <col width="9" customWidth="1" style="599" min="77" max="81"/>
    <col width="9.5" bestFit="1" customWidth="1" style="599" min="82" max="82"/>
    <col width="9" customWidth="1" style="599" min="83" max="83"/>
    <col width="9" customWidth="1" style="599" min="84" max="16384"/>
  </cols>
  <sheetData>
    <row r="1" ht="36" customFormat="1" customHeight="1" s="334">
      <c r="A1" s="170" t="inlineStr">
        <is>
          <t>地點1</t>
        </is>
      </c>
      <c r="B1" s="170" t="inlineStr">
        <is>
          <t>地點2</t>
        </is>
      </c>
      <c r="C1" s="171">
        <f>輸入!$S$21</f>
        <v/>
      </c>
      <c r="D1" s="247">
        <f>輸入!$S$22</f>
        <v/>
      </c>
      <c r="E1" s="364">
        <f>輸入!$B$2</f>
        <v/>
      </c>
      <c r="F1" s="171" t="inlineStr">
        <is>
          <t>現在時間</t>
        </is>
      </c>
      <c r="G1" s="171" t="inlineStr">
        <is>
          <t>日(現在)</t>
        </is>
      </c>
      <c r="H1" s="170" t="inlineStr">
        <is>
          <t>姓名</t>
        </is>
      </c>
      <c r="I1" s="170">
        <f>輸入!$C$16</f>
        <v/>
      </c>
      <c r="J1" s="170">
        <f>輸入!$D$16</f>
        <v/>
      </c>
      <c r="K1" s="170">
        <f>輸入!$E$16</f>
        <v/>
      </c>
      <c r="L1" s="171">
        <f>輸入!$F$16</f>
        <v/>
      </c>
      <c r="M1" s="171">
        <f>輸入!$G$16</f>
        <v/>
      </c>
      <c r="N1" s="171">
        <f>輸入!$H$16</f>
        <v/>
      </c>
      <c r="O1" s="171">
        <f>輸入!$I$16</f>
        <v/>
      </c>
      <c r="P1" s="171">
        <f>輸入!$J$16</f>
        <v/>
      </c>
      <c r="Q1" s="171">
        <f>輸入!$K$16</f>
        <v/>
      </c>
      <c r="R1" s="170">
        <f>輸入!$L$16</f>
        <v/>
      </c>
      <c r="S1" s="171">
        <f>輸入!$M$16</f>
        <v/>
      </c>
      <c r="T1" s="170">
        <f>輸入!$N$16</f>
        <v/>
      </c>
      <c r="U1" s="170">
        <f>輸入!$B$12</f>
        <v/>
      </c>
      <c r="V1" s="170">
        <f>輸入!$O$16</f>
        <v/>
      </c>
      <c r="W1" s="170">
        <f>輸入!$B$10</f>
        <v/>
      </c>
      <c r="X1" s="170">
        <f>輸入!$G$3</f>
        <v/>
      </c>
      <c r="Y1" s="170" t="inlineStr">
        <is>
          <t>攔查地點</t>
        </is>
      </c>
      <c r="Z1" s="170">
        <f>輸入!$J$3</f>
        <v/>
      </c>
      <c r="AA1" s="170">
        <f>輸入!$J$4</f>
        <v/>
      </c>
      <c r="AB1" s="170">
        <f>HLOOKUP(輸入!$H$14,調閱用!$I:$K,2,0)</f>
        <v/>
      </c>
      <c r="AC1" s="170">
        <f>HLOOKUP(輸入!$H$14,調閱用!$I:$K,3,0)</f>
        <v/>
      </c>
      <c r="AD1" s="170">
        <f>HLOOKUP(輸入!$H$14,調閱用!$I:$K,4,0)</f>
        <v/>
      </c>
      <c r="AE1" s="170">
        <f>HLOOKUP(輸入!$H$14,調閱用!$I:$K,5,0)</f>
        <v/>
      </c>
      <c r="AF1" s="170">
        <f>HLOOKUP(輸入!$H$14,調閱用!$I:$K,6,0)</f>
        <v/>
      </c>
      <c r="AG1" s="170">
        <f>HLOOKUP(輸入!$H$14,調閱用!$I:$K,7,0)</f>
        <v/>
      </c>
      <c r="AH1" s="170">
        <f>HLOOKUP(輸入!$H$14,調閱用!$I:$K,8,0)</f>
        <v/>
      </c>
      <c r="AI1" s="170">
        <f>HLOOKUP(輸入!$H$14,調閱用!$I:$K,9,0)</f>
        <v/>
      </c>
      <c r="AJ1" s="170">
        <f>HLOOKUP(輸入!$H$14,調閱用!$I:$K,10,0)</f>
        <v/>
      </c>
      <c r="AK1" s="171">
        <f>輸入!$N$3</f>
        <v/>
      </c>
      <c r="AL1" s="171">
        <f>輸入!$N$4</f>
        <v/>
      </c>
      <c r="AM1" s="171">
        <f>輸入!$N$5</f>
        <v/>
      </c>
      <c r="AN1" s="171">
        <f>輸入!$N$6</f>
        <v/>
      </c>
      <c r="AO1" s="171">
        <f>輸入!$N$7</f>
        <v/>
      </c>
      <c r="AP1" s="333" t="inlineStr">
        <is>
          <t>發生時間</t>
        </is>
      </c>
      <c r="AQ1" s="333">
        <f>輸入!$N$8</f>
        <v/>
      </c>
      <c r="AR1" s="333" t="inlineStr">
        <is>
          <t>問(1.非本國人)</t>
        </is>
      </c>
      <c r="AS1" s="333" t="inlineStr">
        <is>
          <t>問(2.委託書)</t>
        </is>
      </c>
      <c r="AT1" s="333" t="inlineStr">
        <is>
          <t>問(2.搜索扣押)</t>
        </is>
      </c>
      <c r="AU1" s="333" t="inlineStr">
        <is>
          <t>問(2.年籍資料)</t>
        </is>
      </c>
      <c r="AV1" s="333" t="inlineStr">
        <is>
          <t>問(3.認識仇糾)</t>
        </is>
      </c>
      <c r="AW1" s="333" t="inlineStr">
        <is>
          <t>問(4.實在補充)</t>
        </is>
      </c>
      <c r="AX1" s="333" t="inlineStr">
        <is>
          <t>問嫌(2.罪名及權利)</t>
        </is>
      </c>
      <c r="AY1" s="333" t="inlineStr">
        <is>
          <t>問嫌(3.法扶身份)</t>
        </is>
      </c>
      <c r="AZ1" s="333" t="inlineStr">
        <is>
          <t>問嫌(4.提審)</t>
        </is>
      </c>
      <c r="BA1" s="333" t="inlineStr">
        <is>
          <t>問嫌(4.夜間偵訊)</t>
        </is>
      </c>
      <c r="BB1" s="333" t="inlineStr">
        <is>
          <t>問嫌(5.夜間不偵訊)</t>
        </is>
      </c>
      <c r="BC1" s="333" t="inlineStr">
        <is>
          <t>問嫌(6.何事來所)</t>
        </is>
      </c>
      <c r="BD1" s="333" t="inlineStr">
        <is>
          <t>問嫌(7.不實陳述)</t>
        </is>
      </c>
      <c r="BE1" s="333" t="inlineStr">
        <is>
          <t>問嫌(8.推缷)</t>
        </is>
      </c>
      <c r="BF1" s="333" t="inlineStr">
        <is>
          <t>問嫌(9.錄影音)</t>
        </is>
      </c>
      <c r="BG1" s="333" t="inlineStr">
        <is>
          <t>問嫌(10.自由意識)</t>
        </is>
      </c>
      <c r="BH1" s="333" t="inlineStr">
        <is>
          <t>問嫌(11.搜索扣押)</t>
        </is>
      </c>
      <c r="BI1" s="333" t="inlineStr">
        <is>
          <t>問被(3.何事來所)</t>
        </is>
      </c>
      <c r="BJ1" s="333" t="inlineStr">
        <is>
          <t>問被(5.登載)</t>
        </is>
      </c>
      <c r="BK1" s="333" t="inlineStr">
        <is>
          <t>問被(7.指認)</t>
        </is>
      </c>
      <c r="BL1" s="333" t="inlineStr">
        <is>
          <t>問被(8.監視器)</t>
        </is>
      </c>
      <c r="BM1" s="333" t="inlineStr">
        <is>
          <t>問被(14.鑑識)</t>
        </is>
      </c>
      <c r="BN1" s="333" t="inlineStr">
        <is>
          <t>問被(9.提告)</t>
        </is>
      </c>
      <c r="BO1" s="333" t="inlineStr">
        <is>
          <t>問被(10.特徵)</t>
        </is>
      </c>
      <c r="BP1" s="333" t="inlineStr">
        <is>
          <t>問被(11.告訴期)</t>
        </is>
      </c>
      <c r="BQ1" s="333" t="inlineStr">
        <is>
          <t>問被(12.撤回告訴)</t>
        </is>
      </c>
      <c r="BR1" s="333" t="inlineStr">
        <is>
          <t>問被(13.為何撤回)</t>
        </is>
      </c>
      <c r="BS1" s="333" t="inlineStr">
        <is>
          <t>問被(13.和解)</t>
        </is>
      </c>
      <c r="BT1" s="333" t="inlineStr">
        <is>
          <t>問被(14.司法文書)</t>
        </is>
      </c>
      <c r="BU1" s="333" t="inlineStr">
        <is>
          <t>問被(14.第二次筆錄)</t>
        </is>
      </c>
      <c r="BV1" s="333" t="inlineStr">
        <is>
          <t>問被(14.犯嫌交出贓物領回)</t>
        </is>
      </c>
      <c r="BW1" s="333" t="inlineStr">
        <is>
          <t>問被(14.警方找到贓物領回)</t>
        </is>
      </c>
      <c r="BX1" s="333" t="inlineStr">
        <is>
          <t>問證(1.被關係)</t>
        </is>
      </c>
      <c r="BY1" s="333" t="inlineStr">
        <is>
          <t>問證(2.事由)</t>
        </is>
      </c>
      <c r="BZ1" s="333" t="inlineStr">
        <is>
          <t>問證(6.登載)</t>
        </is>
      </c>
      <c r="CA1" s="333" t="inlineStr">
        <is>
          <t>問證(7.推卸)</t>
        </is>
      </c>
      <c r="CB1" s="333" t="inlineStr">
        <is>
          <t>問證(8.何事來所)</t>
        </is>
      </c>
      <c r="CC1" s="333" t="inlineStr">
        <is>
          <t>問證(9.涉關係)</t>
        </is>
      </c>
      <c r="CD1" s="333" t="inlineStr">
        <is>
          <t>問專(1.事由)</t>
        </is>
      </c>
      <c r="CE1" s="333" t="inlineStr">
        <is>
          <t>問專(2.)</t>
        </is>
      </c>
      <c r="CF1" s="333" t="inlineStr">
        <is>
          <t>問專(3.)</t>
        </is>
      </c>
      <c r="CG1" s="333" t="inlineStr">
        <is>
          <t>問專(4.)</t>
        </is>
      </c>
      <c r="CH1" s="333" t="inlineStr">
        <is>
          <t>問專(5.)</t>
        </is>
      </c>
      <c r="CI1" s="333" t="inlineStr">
        <is>
          <t>問專(6.)</t>
        </is>
      </c>
      <c r="CJ1" s="333" t="inlineStr">
        <is>
          <t>問專(7.)</t>
        </is>
      </c>
      <c r="CK1" s="333" t="inlineStr">
        <is>
          <t>問專(8.)</t>
        </is>
      </c>
      <c r="CL1" s="333" t="inlineStr">
        <is>
          <t>問專(9.)</t>
        </is>
      </c>
      <c r="CM1" s="333" t="inlineStr">
        <is>
          <t>問專(10.)</t>
        </is>
      </c>
      <c r="CN1" s="333" t="inlineStr">
        <is>
          <t>問專(11.)</t>
        </is>
      </c>
      <c r="CO1" s="333" t="inlineStr">
        <is>
          <t>問專(12.)</t>
        </is>
      </c>
      <c r="CP1" s="333" t="inlineStr">
        <is>
          <t>問專(13.)</t>
        </is>
      </c>
      <c r="CQ1" s="333" t="inlineStr">
        <is>
          <t>問專(14.)</t>
        </is>
      </c>
      <c r="CR1" s="333" t="inlineStr">
        <is>
          <t>問專(15.)</t>
        </is>
      </c>
      <c r="CS1" s="333" t="inlineStr">
        <is>
          <t>問專(16.)</t>
        </is>
      </c>
      <c r="CT1" s="333" t="inlineStr">
        <is>
          <t>問專(17.)</t>
        </is>
      </c>
      <c r="CU1" s="333" t="inlineStr">
        <is>
          <t>問專(18.)</t>
        </is>
      </c>
      <c r="CV1" s="333" t="inlineStr">
        <is>
          <t>問專(19.)</t>
        </is>
      </c>
      <c r="CW1" s="333" t="inlineStr">
        <is>
          <t>問專(20.)</t>
        </is>
      </c>
      <c r="CX1" s="333" t="inlineStr">
        <is>
          <t>問專(21.)</t>
        </is>
      </c>
      <c r="CY1" s="333" t="inlineStr">
        <is>
          <t>問專(22.)</t>
        </is>
      </c>
      <c r="CZ1" s="333" t="inlineStr">
        <is>
          <t>問專(23.)</t>
        </is>
      </c>
      <c r="DA1" s="334" t="inlineStr">
        <is>
          <t>問專(24.案情)</t>
        </is>
      </c>
      <c r="DB1" s="334" t="inlineStr">
        <is>
          <t>問專(25.二次筆錄答)</t>
        </is>
      </c>
    </row>
    <row r="2" ht="80.25" customFormat="1" customHeight="1" s="1144">
      <c r="A2" s="579">
        <f>CONCATENATE(輸入!$S$18,輸入!$T$18,輸入!$S$19,輸入!$T$19)</f>
        <v/>
      </c>
      <c r="B2" s="579">
        <f>CONCATENATE(輸入!$S$20,輸入!$T$20)</f>
        <v/>
      </c>
      <c r="C2" s="579">
        <f>輸入!$T$21</f>
        <v/>
      </c>
      <c r="D2" s="579">
        <f>輸入!$T$22</f>
        <v/>
      </c>
      <c r="E2" s="579">
        <f>呈報單!$G$15</f>
        <v/>
      </c>
      <c r="F2" s="579">
        <f>IF($S$2=下拉用!$C$2,LEFT(下拉用!$J$5,10),LEFT(下拉用!$J$4,10))</f>
        <v/>
      </c>
      <c r="G2" s="579">
        <f>IF($S$2=下拉用!$C$2,MID(輸入!$C$11,6,2),MID(輸入!$C$10,6,2))</f>
        <v/>
      </c>
      <c r="H2" s="575" t="inlineStr">
        <is>
          <t>顏文祥</t>
        </is>
      </c>
      <c r="I2" s="579">
        <f>UPPER(VLOOKUP(word用!$H$2,個資,2,FALSE))</f>
        <v/>
      </c>
      <c r="J2" s="579">
        <f>VLOOKUP(word用!$H$2,個資,3,FALSE)</f>
        <v/>
      </c>
      <c r="K2" s="579">
        <f>CONCATENATE("0",VLOOKUP(word用!$H$2,個資,4,FALSE))</f>
        <v/>
      </c>
      <c r="L2" s="579">
        <f>VLOOKUP(word用!$H$2,個資,16,FALSE)</f>
        <v/>
      </c>
      <c r="M2" s="579">
        <f>VLOOKUP(word用!$H$2,個資,6,FALSE)</f>
        <v/>
      </c>
      <c r="N2" s="579">
        <f>VLOOKUP(word用!$H$2,個資,7,FALSE)</f>
        <v/>
      </c>
      <c r="O2" s="579">
        <f>VLOOKUP(word用!$H$2,個資,8,FALSE)</f>
        <v/>
      </c>
      <c r="P2" s="579">
        <f>VLOOKUP(word用!$H$2,個資,9,FALSE)</f>
        <v/>
      </c>
      <c r="Q2" s="579">
        <f>VLOOKUP(word用!$H$2,個資,10,FALSE)</f>
        <v/>
      </c>
      <c r="R2" s="579">
        <f>VLOOKUP(word用!$H$2,個資,11,FALSE)</f>
        <v/>
      </c>
      <c r="S2" s="579">
        <f>VLOOKUP(word用!$H$2,個資,12,FALSE)</f>
        <v/>
      </c>
      <c r="T2" s="579">
        <f>VLOOKUP(word用!$H$2,個資,13,FALSE)</f>
        <v/>
      </c>
      <c r="U2" s="579">
        <f>UPPER(輸入!$C$12)</f>
        <v/>
      </c>
      <c r="V2" s="579">
        <f>VLOOKUP(word用!$H$2,個資,14,FALSE)</f>
        <v/>
      </c>
      <c r="W2" s="579">
        <f>LEFT(下拉用!$J$9,10)</f>
        <v/>
      </c>
      <c r="X2" s="579">
        <f>輸入!$H$3</f>
        <v/>
      </c>
      <c r="Y2" s="579">
        <f>輸入!$C$7</f>
        <v/>
      </c>
      <c r="Z2" s="579">
        <f>輸入!$K$3</f>
        <v/>
      </c>
      <c r="AA2" s="579">
        <f>UPPER(輸入!$K$4)</f>
        <v/>
      </c>
      <c r="AB2" s="579">
        <f>下拉用!$J$2</f>
        <v/>
      </c>
      <c r="AC2" s="1322">
        <f>輸入!$H$6</f>
        <v/>
      </c>
      <c r="AD2" s="579">
        <f>輸入!$H$7</f>
        <v/>
      </c>
      <c r="AE2" s="579">
        <f>輸入!$H$8</f>
        <v/>
      </c>
      <c r="AF2" s="579">
        <f>輸入!$H$9</f>
        <v/>
      </c>
      <c r="AG2" s="579">
        <f>輸入!$H$10</f>
        <v/>
      </c>
      <c r="AH2" s="579">
        <f>輸入!$H$11</f>
        <v/>
      </c>
      <c r="AI2" s="579">
        <f>輸入!$H$12</f>
        <v/>
      </c>
      <c r="AJ2" s="579">
        <f>輸入!$H$13</f>
        <v/>
      </c>
      <c r="AK2" s="579">
        <f>UPPER(輸入!$O$3)</f>
        <v/>
      </c>
      <c r="AL2" s="579">
        <f>UPPER(輸入!$O$4)</f>
        <v/>
      </c>
      <c r="AM2" s="579">
        <f>UPPER(輸入!$O$5)</f>
        <v/>
      </c>
      <c r="AN2" s="579">
        <f>UPPER(輸入!$O$6)</f>
        <v/>
      </c>
      <c r="AO2" s="496">
        <f>UPPER(輸入!$O$7)</f>
        <v/>
      </c>
      <c r="AP2" s="579">
        <f>RIGHT(下拉用!$J$6,6)</f>
        <v/>
      </c>
      <c r="AQ2" s="579">
        <f>輸入!$U$24</f>
        <v/>
      </c>
      <c r="AR2" s="579">
        <f>證人筆錄!$A$2</f>
        <v/>
      </c>
      <c r="AS2" s="1148">
        <f>證人筆錄!$A$6</f>
        <v/>
      </c>
      <c r="AT2" s="1148">
        <f>涉嫌人筆錄!$A$13</f>
        <v/>
      </c>
      <c r="AU2" s="1148">
        <f>證人筆錄!$A$3</f>
        <v/>
      </c>
      <c r="AV2" s="1148">
        <f>證人筆錄!$A4</f>
        <v/>
      </c>
      <c r="AW2" s="1148">
        <f>證人筆錄!$A$5</f>
        <v/>
      </c>
      <c r="AX2" s="1148">
        <f>涉嫌人筆錄!$A$2</f>
        <v/>
      </c>
      <c r="AY2" s="1148">
        <f>涉嫌人筆錄!$A$3</f>
        <v/>
      </c>
      <c r="AZ2" s="1148">
        <f>涉嫌人筆錄!$A$4</f>
        <v/>
      </c>
      <c r="BA2" s="1148">
        <f>涉嫌人筆錄!$A$5</f>
        <v/>
      </c>
      <c r="BB2" s="1148">
        <f>涉嫌人筆錄!$A$6</f>
        <v/>
      </c>
      <c r="BC2" s="1148">
        <f>涉嫌人筆錄!$A$7</f>
        <v/>
      </c>
      <c r="BD2" s="1148">
        <f>涉嫌人筆錄!$A$8</f>
        <v/>
      </c>
      <c r="BE2" s="1148">
        <f>涉嫌人筆錄!$A$9</f>
        <v/>
      </c>
      <c r="BF2" s="1148">
        <f>涉嫌人筆錄!$A$10</f>
        <v/>
      </c>
      <c r="BG2" s="1148">
        <f>IF(ISBLANK(輸入!$C$10),涉嫌人筆錄!$A$11,涉嫌人筆錄!$A$12)</f>
        <v/>
      </c>
      <c r="BH2" s="1148">
        <f>涉嫌人筆錄!$A$13</f>
        <v/>
      </c>
      <c r="BI2" s="1148">
        <f>被害人筆錄!$A$2</f>
        <v/>
      </c>
      <c r="BJ2" s="1148">
        <f>被害人筆錄!$A$5</f>
        <v/>
      </c>
      <c r="BK2" s="1148">
        <f>被害人筆錄!$A$4</f>
        <v/>
      </c>
      <c r="BL2" s="1148">
        <f>被害人筆錄!$A$6</f>
        <v/>
      </c>
      <c r="BM2" s="1148">
        <f>被害人筆錄!$A$11</f>
        <v/>
      </c>
      <c r="BN2" s="1148">
        <f>被害人筆錄!$A$8</f>
        <v/>
      </c>
      <c r="BO2" s="1148">
        <f>被害人筆錄!$A$3</f>
        <v/>
      </c>
      <c r="BP2" s="1148">
        <f>被害人筆錄!$A$7</f>
        <v/>
      </c>
      <c r="BQ2" s="1148">
        <f>被害人筆錄!$A$9</f>
        <v/>
      </c>
      <c r="BR2" s="1148">
        <f>被害人筆錄!$A$13</f>
        <v/>
      </c>
      <c r="BS2" s="1148">
        <f>被害人筆錄!$A$10</f>
        <v/>
      </c>
      <c r="BT2" s="1148">
        <f>被害人筆錄!$A$12</f>
        <v/>
      </c>
      <c r="BU2" s="1148">
        <f>被害人筆錄!$A$14</f>
        <v/>
      </c>
      <c r="BV2" s="1148">
        <f>被害人筆錄!$A$15</f>
        <v/>
      </c>
      <c r="BW2" s="1148">
        <f>被害人筆錄!$A$16</f>
        <v/>
      </c>
      <c r="BX2" s="1148">
        <f>證人筆錄!$B$2</f>
        <v/>
      </c>
      <c r="BY2" s="1148">
        <f>證人筆錄!$B$3</f>
        <v/>
      </c>
      <c r="BZ2" s="1148">
        <f>證人筆錄!$B$6</f>
        <v/>
      </c>
      <c r="CA2" s="1148">
        <f>證人筆錄!$B$7</f>
        <v/>
      </c>
      <c r="CB2" s="1148">
        <f>證人筆錄!$B$4</f>
        <v/>
      </c>
      <c r="CC2" s="1148">
        <f>證人筆錄!$B$5</f>
        <v/>
      </c>
      <c r="CD2" s="1148">
        <f>IF(AND(COUNTIF(涉嫌人筆錄,輸入!$C$2)&gt;0,$S$2=下拉用!$C$2),HLOOKUP(輸入!$C$2,涉嫌人筆錄,2,FALSE),HLOOKUP(輸入!$C$2,被害人筆錄,2,FALSE))</f>
        <v/>
      </c>
      <c r="CE2" s="1148">
        <f>IF(AND(COUNTIF(涉嫌人筆錄,輸入!$C$2)&gt;0,$S$2=下拉用!$C$2),HLOOKUP(輸入!$C$2,涉嫌人筆錄,3,FALSE),HLOOKUP(輸入!$C$2,被害人筆錄,3,FALSE))</f>
        <v/>
      </c>
      <c r="CF2" s="1148">
        <f>IF(AND(COUNTIF(涉嫌人筆錄!$1:$1,輸入!$C$2)&gt;0,$S$2=下拉用!$C$2),HLOOKUP(輸入!$C$2,涉嫌人筆錄,4,FALSE),HLOOKUP(輸入!$C$2,被害人筆錄,4,FALSE))</f>
        <v/>
      </c>
      <c r="CG2" s="1148">
        <f>IF(AND(COUNTIF(涉嫌人筆錄!$1:$1,輸入!$C$2)&gt;0,$S$2=下拉用!$C$2),HLOOKUP(輸入!$C$2,涉嫌人筆錄,5,FALSE),HLOOKUP(輸入!$C$2,被害人筆錄,5,FALSE))</f>
        <v/>
      </c>
      <c r="CH2" s="1148">
        <f>IF(AND(COUNTIF(涉嫌人筆錄!$1:$1,輸入!$C$2)&gt;0,$S$2=下拉用!$C$2),HLOOKUP(輸入!$C$2,涉嫌人筆錄,6,FALSE),HLOOKUP(輸入!$C$2,被害人筆錄,6,FALSE))</f>
        <v/>
      </c>
      <c r="CI2" s="1148">
        <f>IF(AND(COUNTIF(涉嫌人筆錄!$1:$1,輸入!$C$2)&gt;0,$S$2=下拉用!$C$2),HLOOKUP(輸入!$C$2,涉嫌人筆錄,7,FALSE),HLOOKUP(輸入!$C$2,被害人筆錄,7,FALSE))</f>
        <v/>
      </c>
      <c r="CJ2" s="1148">
        <f>IF(AND(COUNTIF(涉嫌人筆錄!$1:$1,輸入!$C$2)&gt;0,$S$2=下拉用!$C$2),HLOOKUP(輸入!$C$2,涉嫌人筆錄,8,FALSE),HLOOKUP(輸入!$C$2,被害人筆錄,8,FALSE))</f>
        <v/>
      </c>
      <c r="CK2" s="1148">
        <f>IF(AND(COUNTIF(涉嫌人筆錄!$1:$1,輸入!$C$2)&gt;0,$S$2=下拉用!$C$2),HLOOKUP(輸入!$C$2,涉嫌人筆錄,9,FALSE),HLOOKUP(輸入!$C$2,被害人筆錄,9,FALSE))</f>
        <v/>
      </c>
      <c r="CL2" s="1148">
        <f>IF(AND(COUNTIF(涉嫌人筆錄!$1:$1,輸入!$C$2)&gt;0,$S$2=下拉用!$C$2),HLOOKUP(輸入!$C$2,涉嫌人筆錄,10,FALSE),HLOOKUP(輸入!$C$2,被害人筆錄,10,FALSE))</f>
        <v/>
      </c>
      <c r="CM2" s="1148">
        <f>IF(AND(COUNTIF(涉嫌人筆錄!$1:$1,輸入!$C$2)&gt;0,$S$2=下拉用!$C$2),HLOOKUP(輸入!$C$2,涉嫌人筆錄,11,FALSE),HLOOKUP(輸入!$C$2,被害人筆錄,11,FALSE))</f>
        <v/>
      </c>
      <c r="CN2" s="1148">
        <f>IF(AND(COUNTIF(涉嫌人筆錄!$1:$1,輸入!$C$2)&gt;0,$S$2=下拉用!$C$2),HLOOKUP(輸入!$C$2,涉嫌人筆錄,12,FALSE),HLOOKUP(輸入!$C$2,被害人筆錄,12,FALSE))</f>
        <v/>
      </c>
      <c r="CO2" s="1148">
        <f>IF(AND(COUNTIF(涉嫌人筆錄!$1:$1,輸入!$C$2)&gt;0,$S$2=下拉用!$C$2),HLOOKUP(輸入!$C$2,涉嫌人筆錄,13,FALSE),HLOOKUP(輸入!$C$2,被害人筆錄,13,FALSE))</f>
        <v/>
      </c>
      <c r="CP2" s="1148">
        <f>IF(AND(COUNTIF(涉嫌人筆錄!$1:$1,輸入!$C$2)&gt;0,$S$2=下拉用!$C$2),HLOOKUP(輸入!$C$2,涉嫌人筆錄,14,FALSE),HLOOKUP(輸入!$C$2,被害人筆錄,14,FALSE))</f>
        <v/>
      </c>
      <c r="CQ2" s="1148">
        <f>IF(AND(COUNTIF(涉嫌人筆錄!$1:$1,輸入!$C$2)&gt;0,$S$2=下拉用!$C$2),HLOOKUP(輸入!$C$2,涉嫌人筆錄,15,FALSE),HLOOKUP(輸入!$C$2,被害人筆錄,15,FALSE))</f>
        <v/>
      </c>
      <c r="CR2" s="1148">
        <f>IF(AND(COUNTIF(涉嫌人筆錄!$1:$1,輸入!$C$2)&gt;0,$S$2=下拉用!$C$2),HLOOKUP(輸入!$C$2,涉嫌人筆錄,16,FALSE),HLOOKUP(輸入!$C$2,被害人筆錄,16,FALSE))</f>
        <v/>
      </c>
      <c r="CS2" s="1148">
        <f>IF(AND(COUNTIF(涉嫌人筆錄!$1:$1,輸入!$C$2)&gt;0,$S$2=下拉用!$C$2),HLOOKUP(輸入!$C$2,涉嫌人筆錄,17,FALSE),HLOOKUP(輸入!$C$2,被害人筆錄,17,FALSE))</f>
        <v/>
      </c>
      <c r="CT2" s="1148">
        <f>IF(AND(COUNTIF(涉嫌人筆錄!$1:$1,輸入!$C$2)&gt;0,$S$2=下拉用!$C$2),HLOOKUP(輸入!$C$2,涉嫌人筆錄,18,FALSE),HLOOKUP(輸入!$C$2,被害人筆錄,18,FALSE))</f>
        <v/>
      </c>
      <c r="CU2" s="1148">
        <f>IF(AND(COUNTIF(涉嫌人筆錄!$1:$1,輸入!$C$2)&gt;0,$S$2=下拉用!$C$2),HLOOKUP(輸入!$C$2,涉嫌人筆錄,19,FALSE),HLOOKUP(輸入!$C$2,被害人筆錄,19,FALSE))</f>
        <v/>
      </c>
      <c r="CV2" s="1148">
        <f>IF(AND(COUNTIF(涉嫌人筆錄!$1:$1,輸入!$C$2)&gt;0,$S$2=下拉用!$C$2),HLOOKUP(輸入!$C$2,涉嫌人筆錄,20,FALSE),HLOOKUP(輸入!$C$2,被害人筆錄,20,FALSE))</f>
        <v/>
      </c>
      <c r="CW2" s="1148">
        <f>IF(AND(COUNTIF(涉嫌人筆錄!$1:$1,輸入!$C$2)&gt;0,$S$2=下拉用!$C$2),HLOOKUP(輸入!$C$2,涉嫌人筆錄,21,FALSE),HLOOKUP(輸入!$C$2,被害人筆錄,21,FALSE))</f>
        <v/>
      </c>
      <c r="CX2" s="1148">
        <f>IF(AND(COUNTIF(涉嫌人筆錄!$1:$1,輸入!$C$2)&gt;0,$S$2=下拉用!$C$2),HLOOKUP(輸入!$C$2,涉嫌人筆錄,22,FALSE),HLOOKUP(輸入!$C$2,被害人筆錄,22,FALSE))</f>
        <v/>
      </c>
      <c r="CY2" s="1148">
        <f>IF(AND(COUNTIF(涉嫌人筆錄!$1:$1,輸入!$C$2)&gt;0,$S$2=下拉用!$C$2),HLOOKUP(輸入!$C$2,涉嫌人筆錄,23,FALSE),HLOOKUP(輸入!$C$2,被害人筆錄,23,FALSE))</f>
        <v/>
      </c>
      <c r="CZ2" s="1148">
        <f>IF(AND(COUNTIF(涉嫌人筆錄!$1:$1,輸入!$C$2)&gt;0,$S$2=下拉用!$C$2),HLOOKUP(輸入!$C$2,涉嫌人筆錄,24,FALSE),HLOOKUP(輸入!$C$2,被害人筆錄,24,FALSE))</f>
        <v/>
      </c>
      <c r="DA2" s="1144">
        <f>輸入!$C$5</f>
        <v/>
      </c>
      <c r="DB2" s="1144">
        <f>被害人筆錄!$A$20</f>
        <v/>
      </c>
    </row>
    <row r="3" ht="22.5" customHeight="1" s="680">
      <c r="A3" s="592" t="n"/>
      <c r="B3" s="592" t="n"/>
      <c r="C3" s="592" t="n"/>
      <c r="D3" s="592" t="n"/>
      <c r="F3" s="592" t="n"/>
      <c r="G3" s="334" t="n"/>
      <c r="H3" s="334" t="n"/>
      <c r="I3" s="592" t="n"/>
      <c r="J3" s="592" t="n"/>
      <c r="K3" s="592" t="n"/>
      <c r="L3" s="592" t="n"/>
      <c r="M3" s="592" t="n"/>
      <c r="N3" s="592" t="n"/>
      <c r="O3" s="592" t="n"/>
      <c r="P3" s="592" t="n"/>
      <c r="Q3" s="592" t="n"/>
      <c r="R3" s="592" t="n"/>
      <c r="S3" s="592" t="n"/>
      <c r="T3" s="592" t="n"/>
      <c r="X3" s="592" t="n"/>
      <c r="Y3" s="592" t="n"/>
      <c r="Z3" s="592" t="n"/>
      <c r="AA3" s="592" t="n"/>
      <c r="AB3" s="592" t="n"/>
      <c r="AC3" s="592" t="n"/>
      <c r="AD3" s="592" t="n"/>
      <c r="AE3" s="592" t="n"/>
      <c r="AF3" s="592" t="n"/>
      <c r="AG3" s="592" t="n"/>
      <c r="AH3" s="592" t="n"/>
      <c r="AI3" s="592" t="n"/>
      <c r="AJ3" s="592" t="n"/>
      <c r="AK3" s="592" t="n"/>
      <c r="AL3" s="592" t="n"/>
      <c r="AM3" s="592" t="n"/>
      <c r="AN3" s="592" t="n"/>
      <c r="AO3" s="592" t="n"/>
      <c r="AP3" s="592" t="n"/>
      <c r="AQ3" s="592" t="n"/>
    </row>
    <row r="4" ht="25.5" customHeight="1" s="680">
      <c r="A4" s="592" t="n"/>
      <c r="B4" s="592" t="n"/>
      <c r="C4" s="592" t="n"/>
      <c r="D4" s="592" t="n"/>
      <c r="F4" s="592" t="n"/>
      <c r="G4" s="1144" t="n"/>
      <c r="H4" s="1144" t="n"/>
      <c r="I4" s="592" t="n"/>
      <c r="J4" s="592" t="n"/>
      <c r="K4" s="592" t="n"/>
      <c r="L4" s="592" t="n"/>
      <c r="M4" s="592" t="n"/>
      <c r="N4" s="592" t="n"/>
      <c r="O4" s="592" t="n"/>
      <c r="P4" s="592" t="n"/>
      <c r="Q4" s="592" t="n"/>
      <c r="R4" s="592" t="n"/>
      <c r="S4" s="592" t="n"/>
      <c r="T4" s="592" t="n"/>
      <c r="X4" s="592" t="n"/>
      <c r="Y4" s="592" t="n"/>
      <c r="Z4" s="592" t="n"/>
      <c r="AA4" s="592" t="n"/>
      <c r="AB4" s="592" t="n"/>
      <c r="AC4" s="592" t="n"/>
      <c r="AD4" s="592" t="n"/>
      <c r="AE4" s="592" t="n"/>
      <c r="AF4" s="592" t="n"/>
      <c r="AG4" s="592" t="n"/>
      <c r="AH4" s="592" t="n"/>
      <c r="AI4" s="592" t="n"/>
      <c r="AJ4" s="592" t="n"/>
      <c r="AK4" s="592" t="n"/>
      <c r="AL4" s="592" t="n"/>
      <c r="AM4" s="592" t="n"/>
      <c r="AN4" s="592" t="n"/>
      <c r="AO4" s="592" t="n"/>
      <c r="AP4" s="592" t="n"/>
      <c r="AQ4" s="592" t="n"/>
    </row>
    <row r="5">
      <c r="A5" s="592" t="n"/>
      <c r="B5" s="592" t="n"/>
      <c r="C5" s="592" t="n"/>
      <c r="D5" s="592" t="n"/>
      <c r="E5" s="592" t="n"/>
      <c r="F5" s="592" t="n"/>
      <c r="G5" s="592" t="n"/>
      <c r="H5" s="1323" t="n"/>
      <c r="I5" s="592" t="n"/>
      <c r="J5" s="592" t="n"/>
      <c r="K5" s="592" t="n"/>
      <c r="L5" s="592" t="n"/>
      <c r="M5" s="592" t="n"/>
      <c r="N5" s="592" t="n"/>
      <c r="O5" s="592" t="n"/>
      <c r="P5" s="592" t="n"/>
      <c r="Q5" s="592" t="n"/>
      <c r="R5" s="592" t="n"/>
      <c r="S5" s="592" t="n"/>
      <c r="T5" s="592" t="n"/>
      <c r="U5" s="592" t="n"/>
      <c r="V5" s="592" t="n"/>
      <c r="W5" s="592" t="n"/>
      <c r="X5" s="592" t="n"/>
      <c r="Y5" s="592" t="n"/>
      <c r="Z5" s="592" t="n"/>
      <c r="AA5" s="592" t="n"/>
      <c r="AB5" s="592" t="n"/>
      <c r="AC5" s="592" t="n"/>
      <c r="AD5" s="592" t="n"/>
      <c r="AE5" s="592" t="n"/>
      <c r="AF5" s="592" t="n"/>
      <c r="AG5" s="592" t="n"/>
      <c r="AH5" s="592" t="n"/>
      <c r="AI5" s="592" t="n"/>
      <c r="AJ5" s="592" t="n"/>
      <c r="AK5" s="592" t="n"/>
      <c r="AL5" s="592" t="n"/>
      <c r="AM5" s="592" t="n"/>
      <c r="AN5" s="592" t="n"/>
      <c r="AO5" s="592" t="n"/>
      <c r="AP5" s="592" t="n"/>
      <c r="AQ5" s="592" t="n"/>
    </row>
    <row r="6">
      <c r="A6" s="592" t="n"/>
      <c r="B6" s="592" t="n"/>
      <c r="C6" s="592" t="n"/>
      <c r="D6" s="592" t="n"/>
      <c r="E6" s="592" t="n"/>
      <c r="F6" s="592" t="n"/>
      <c r="G6" s="592" t="n"/>
      <c r="H6" s="1323" t="n"/>
      <c r="I6" s="592" t="n"/>
      <c r="J6" s="592" t="n"/>
      <c r="K6" s="592" t="n"/>
      <c r="L6" s="592" t="n"/>
      <c r="M6" s="592" t="n"/>
      <c r="N6" s="592" t="n"/>
      <c r="O6" s="592" t="n"/>
      <c r="P6" s="592" t="n"/>
      <c r="Q6" s="592" t="n"/>
      <c r="R6" s="592" t="n"/>
      <c r="S6" s="592" t="n"/>
      <c r="T6" s="592" t="n"/>
      <c r="U6" s="592" t="n"/>
      <c r="V6" s="592" t="n"/>
      <c r="W6" s="592" t="n"/>
      <c r="X6" s="592" t="n"/>
      <c r="Y6" s="592" t="n"/>
      <c r="Z6" s="592" t="n"/>
      <c r="AA6" s="592" t="n"/>
      <c r="AB6" s="592" t="n"/>
      <c r="AC6" s="592" t="n"/>
      <c r="AD6" s="592" t="n"/>
      <c r="AE6" s="592" t="n"/>
      <c r="AF6" s="592" t="n"/>
      <c r="AG6" s="592" t="n"/>
      <c r="AH6" s="592" t="n"/>
      <c r="AI6" s="592" t="n"/>
      <c r="AJ6" s="592" t="n"/>
      <c r="AK6" s="592" t="n"/>
      <c r="AL6" s="592" t="n"/>
      <c r="AM6" s="592" t="n"/>
      <c r="AN6" s="592" t="n"/>
      <c r="AO6" s="592" t="n"/>
      <c r="AP6" s="592" t="n"/>
      <c r="AQ6" s="592" t="n"/>
    </row>
    <row r="7">
      <c r="A7" s="592" t="n"/>
      <c r="B7" s="592" t="n"/>
      <c r="C7" s="592" t="n"/>
      <c r="D7" s="592" t="n"/>
      <c r="E7" s="592" t="n"/>
      <c r="G7" s="592" t="n"/>
      <c r="H7" s="592" t="n"/>
      <c r="I7" s="592" t="n"/>
      <c r="J7" s="592" t="n"/>
      <c r="K7" s="592" t="n"/>
      <c r="L7" s="592" t="n"/>
      <c r="M7" s="592" t="n"/>
      <c r="N7" s="592" t="n"/>
      <c r="O7" s="592" t="n"/>
      <c r="P7" s="592" t="n"/>
      <c r="Q7" s="592" t="n"/>
      <c r="R7" s="592" t="n"/>
      <c r="S7" s="592" t="n"/>
      <c r="T7" s="592" t="n"/>
      <c r="U7" s="592" t="n"/>
      <c r="V7" s="592" t="n"/>
      <c r="W7" s="592" t="n"/>
      <c r="X7" s="592" t="n"/>
      <c r="Y7" s="592" t="n"/>
      <c r="Z7" s="592" t="n"/>
      <c r="AA7" s="592" t="n"/>
      <c r="AB7" s="592" t="n"/>
      <c r="AC7" s="592" t="n"/>
      <c r="AD7" s="592" t="n"/>
      <c r="AE7" s="592" t="n"/>
      <c r="AF7" s="592" t="n"/>
      <c r="AG7" s="592" t="n"/>
      <c r="AH7" s="592" t="n"/>
      <c r="AI7" s="592" t="n"/>
      <c r="AJ7" s="592" t="n"/>
      <c r="AK7" s="592" t="n"/>
      <c r="AL7" s="592" t="n"/>
      <c r="AM7" s="592" t="n"/>
      <c r="AN7" s="592" t="n"/>
      <c r="AO7" s="592" t="n"/>
      <c r="AP7" s="592" t="n"/>
      <c r="AQ7" s="592" t="n"/>
    </row>
    <row r="8">
      <c r="A8" s="592" t="n"/>
      <c r="B8" s="592" t="n"/>
      <c r="C8" s="592" t="n"/>
      <c r="D8" s="592" t="n"/>
      <c r="E8" s="592" t="n"/>
      <c r="F8" s="592" t="n"/>
      <c r="G8" s="592" t="n"/>
      <c r="H8" s="592" t="n"/>
      <c r="I8" s="592" t="n"/>
      <c r="J8" s="592" t="n"/>
      <c r="K8" s="592" t="n"/>
      <c r="L8" s="592" t="n"/>
      <c r="M8" s="592" t="n"/>
      <c r="N8" s="592" t="n"/>
      <c r="O8" s="592" t="n"/>
      <c r="P8" s="592" t="n"/>
      <c r="Q8" s="592" t="n"/>
      <c r="R8" s="592" t="n"/>
      <c r="S8" s="592" t="n"/>
      <c r="T8" s="592" t="n"/>
      <c r="U8" s="592" t="n"/>
      <c r="V8" s="592" t="n"/>
      <c r="W8" s="592" t="n"/>
      <c r="X8" s="592" t="n"/>
      <c r="Y8" s="592" t="n"/>
      <c r="Z8" s="592" t="n"/>
      <c r="AA8" s="592" t="n"/>
      <c r="AB8" s="592" t="n"/>
      <c r="AC8" s="592" t="n"/>
      <c r="AD8" s="592" t="n"/>
      <c r="AE8" s="592" t="n"/>
      <c r="AF8" s="592" t="n"/>
      <c r="AG8" s="592" t="n"/>
      <c r="AH8" s="592" t="n"/>
      <c r="AI8" s="592" t="n"/>
      <c r="AJ8" s="592" t="n"/>
      <c r="AK8" s="592" t="n"/>
      <c r="AL8" s="592" t="n"/>
      <c r="AM8" s="592" t="n"/>
      <c r="AN8" s="592" t="n"/>
      <c r="AO8" s="592" t="n"/>
      <c r="AP8" s="592" t="n"/>
      <c r="AQ8" s="592" t="n"/>
    </row>
    <row r="9">
      <c r="A9" s="592" t="n"/>
      <c r="B9" s="592" t="n"/>
      <c r="C9" s="592" t="n"/>
      <c r="D9" s="592" t="n"/>
      <c r="E9" s="592" t="n"/>
      <c r="F9" s="592" t="n"/>
      <c r="G9" s="592" t="n"/>
      <c r="H9" s="592" t="n"/>
      <c r="I9" s="592" t="n"/>
      <c r="J9" s="592" t="n"/>
      <c r="K9" s="592" t="n"/>
      <c r="L9" s="592" t="n"/>
      <c r="M9" s="592" t="n"/>
      <c r="N9" s="592" t="n"/>
      <c r="O9" s="592" t="n"/>
      <c r="P9" s="592" t="n"/>
      <c r="Q9" s="592" t="n"/>
      <c r="R9" s="592" t="n"/>
      <c r="S9" s="592" t="n"/>
      <c r="T9" s="592" t="n"/>
      <c r="U9" s="592" t="n"/>
      <c r="V9" s="592" t="n"/>
      <c r="W9" s="592" t="n"/>
      <c r="X9" s="592" t="n"/>
      <c r="Y9" s="592" t="n"/>
      <c r="Z9" s="592" t="n"/>
      <c r="AA9" s="592" t="n"/>
      <c r="AB9" s="592" t="n"/>
      <c r="AC9" s="592" t="n"/>
      <c r="AD9" s="592" t="n"/>
      <c r="AE9" s="592" t="n"/>
      <c r="AF9" s="592" t="n"/>
      <c r="AG9" s="592" t="n"/>
      <c r="AH9" s="592" t="n"/>
      <c r="AI9" s="592" t="n"/>
      <c r="AJ9" s="592" t="n"/>
      <c r="AK9" s="592" t="n"/>
      <c r="AL9" s="592" t="n"/>
      <c r="AM9" s="592" t="n"/>
      <c r="AN9" s="592" t="n"/>
      <c r="AO9" s="592" t="n"/>
      <c r="AP9" s="592" t="n"/>
      <c r="AQ9" s="592" t="n"/>
    </row>
    <row r="10">
      <c r="A10" s="592" t="n"/>
      <c r="B10" s="592" t="n"/>
      <c r="C10" s="592" t="n"/>
      <c r="D10" s="592" t="n"/>
      <c r="E10" s="592" t="n"/>
      <c r="F10" s="592" t="n"/>
      <c r="G10" s="592" t="n"/>
      <c r="H10" s="592" t="n"/>
      <c r="I10" s="592" t="n"/>
      <c r="J10" s="592" t="n"/>
      <c r="K10" s="592" t="n"/>
      <c r="L10" s="592" t="n"/>
      <c r="M10" s="592" t="n"/>
      <c r="N10" s="592" t="n"/>
      <c r="O10" s="592" t="n"/>
      <c r="P10" s="592" t="n"/>
      <c r="Q10" s="592" t="n"/>
      <c r="R10" s="592" t="n"/>
      <c r="S10" s="592" t="n"/>
      <c r="T10" s="592" t="n"/>
      <c r="U10" s="592" t="n"/>
      <c r="V10" s="592" t="n"/>
      <c r="W10" s="592" t="n"/>
      <c r="X10" s="592" t="n"/>
      <c r="Y10" s="592" t="n"/>
      <c r="Z10" s="592" t="n"/>
      <c r="AA10" s="592" t="n"/>
      <c r="AB10" s="592" t="n"/>
      <c r="AC10" s="592" t="n"/>
      <c r="AD10" s="592" t="n"/>
      <c r="AE10" s="592" t="n"/>
      <c r="AF10" s="592" t="n"/>
      <c r="AG10" s="592" t="n"/>
      <c r="AH10" s="592" t="n"/>
      <c r="AI10" s="592" t="n"/>
      <c r="AJ10" s="592" t="n"/>
      <c r="AK10" s="592" t="n"/>
      <c r="AL10" s="592" t="n"/>
      <c r="AM10" s="592" t="n"/>
      <c r="AN10" s="592" t="n"/>
      <c r="AO10" s="592" t="n"/>
      <c r="AP10" s="592" t="n"/>
      <c r="AQ10" s="592" t="n"/>
    </row>
    <row r="11">
      <c r="A11" s="592" t="n"/>
      <c r="B11" s="592" t="n"/>
      <c r="C11" s="592" t="n"/>
      <c r="D11" s="592" t="n"/>
      <c r="E11" s="592" t="n"/>
      <c r="F11" s="592" t="n"/>
      <c r="G11" s="592" t="n"/>
      <c r="H11" s="592" t="n"/>
      <c r="I11" s="592" t="n"/>
      <c r="J11" s="592" t="n"/>
      <c r="K11" s="592" t="n"/>
      <c r="L11" s="592" t="n"/>
      <c r="M11" s="592" t="n"/>
      <c r="N11" s="592" t="n"/>
      <c r="O11" s="592" t="n"/>
      <c r="P11" s="592" t="n"/>
      <c r="Q11" s="592" t="n"/>
      <c r="R11" s="592" t="n"/>
      <c r="S11" s="592" t="n"/>
      <c r="T11" s="592" t="n"/>
      <c r="U11" s="592" t="n"/>
      <c r="V11" s="592" t="n"/>
      <c r="W11" s="592" t="n"/>
      <c r="X11" s="592" t="n"/>
      <c r="Y11" s="592" t="n"/>
      <c r="Z11" s="592" t="n"/>
      <c r="AA11" s="592" t="n"/>
      <c r="AB11" s="592" t="n"/>
      <c r="AC11" s="592" t="n"/>
      <c r="AD11" s="592" t="n"/>
      <c r="AE11" s="592" t="n"/>
      <c r="AF11" s="592" t="n"/>
      <c r="AG11" s="592" t="n"/>
      <c r="AH11" s="592" t="n"/>
      <c r="AI11" s="592" t="n"/>
      <c r="AJ11" s="592" t="n"/>
      <c r="AK11" s="592" t="n"/>
      <c r="AL11" s="592" t="n"/>
      <c r="AM11" s="592" t="n"/>
      <c r="AN11" s="592" t="n"/>
      <c r="AO11" s="592" t="n"/>
      <c r="AP11" s="592" t="n"/>
      <c r="AQ11" s="592" t="n"/>
    </row>
    <row r="12" ht="18" customHeight="1" s="680">
      <c r="A12" s="592" t="n"/>
      <c r="B12" s="592" t="n"/>
      <c r="C12" s="592" t="n"/>
      <c r="D12" s="592" t="n"/>
      <c r="E12" s="592" t="n"/>
      <c r="F12" s="592" t="n"/>
      <c r="G12" s="592" t="n"/>
      <c r="H12" s="592" t="n"/>
      <c r="I12" s="592" t="n"/>
      <c r="J12" s="592" t="n"/>
      <c r="K12" s="592" t="n"/>
      <c r="L12" s="592" t="n"/>
      <c r="M12" s="592" t="n"/>
      <c r="N12" s="592" t="n"/>
      <c r="O12" s="592" t="n"/>
      <c r="P12" s="592" t="n"/>
      <c r="Q12" s="592" t="n"/>
      <c r="R12" s="592" t="n"/>
      <c r="S12" s="592" t="n"/>
      <c r="T12" s="592" t="n"/>
      <c r="U12" s="592" t="n"/>
      <c r="V12" s="592" t="n"/>
      <c r="W12" s="592" t="n"/>
      <c r="X12" s="592" t="n"/>
      <c r="Y12" s="592" t="n"/>
      <c r="Z12" s="592" t="n"/>
      <c r="AA12" s="592" t="n"/>
      <c r="AB12" s="592" t="n"/>
      <c r="AC12" s="592" t="n"/>
      <c r="AD12" s="592" t="n"/>
      <c r="AE12" s="592" t="n"/>
      <c r="AF12" s="592" t="n"/>
      <c r="AG12" s="592" t="n"/>
      <c r="AH12" s="592" t="n"/>
      <c r="AI12" s="592" t="n"/>
      <c r="AJ12" s="592" t="n"/>
      <c r="AK12" s="592" t="n"/>
      <c r="AL12" s="592" t="n"/>
      <c r="AM12" s="592" t="n"/>
      <c r="AN12" s="592" t="n"/>
      <c r="AO12" s="592" t="n"/>
      <c r="AP12" s="592" t="n"/>
      <c r="AQ12" s="592" t="n"/>
    </row>
    <row r="13">
      <c r="A13" s="592" t="n"/>
      <c r="B13" s="592" t="n"/>
      <c r="C13" s="592" t="n"/>
      <c r="D13" s="592" t="n"/>
      <c r="E13" s="592" t="n"/>
      <c r="F13" s="592" t="n"/>
      <c r="G13" s="592" t="n"/>
      <c r="H13" s="592" t="n"/>
      <c r="I13" s="592" t="n"/>
      <c r="J13" s="592" t="n"/>
      <c r="K13" s="592" t="n"/>
      <c r="L13" s="592" t="n"/>
      <c r="M13" s="592" t="n"/>
      <c r="N13" s="592" t="n"/>
      <c r="O13" s="592" t="n"/>
      <c r="P13" s="592" t="n"/>
      <c r="Q13" s="592" t="n"/>
      <c r="R13" s="592" t="n"/>
      <c r="S13" s="592" t="n"/>
      <c r="T13" s="592" t="n"/>
      <c r="U13" s="592" t="n"/>
      <c r="V13" s="592" t="n"/>
      <c r="W13" s="592" t="n"/>
      <c r="X13" s="592" t="n"/>
      <c r="Y13" s="592" t="n"/>
      <c r="Z13" s="592" t="n"/>
      <c r="AA13" s="592" t="n"/>
      <c r="AB13" s="592" t="n"/>
      <c r="AC13" s="592" t="n"/>
      <c r="AD13" s="592" t="n"/>
      <c r="AE13" s="592" t="n"/>
      <c r="AF13" s="592" t="n"/>
      <c r="AG13" s="592" t="n"/>
      <c r="AH13" s="592" t="n"/>
      <c r="AI13" s="592" t="n"/>
      <c r="AJ13" s="592" t="n"/>
      <c r="AK13" s="592" t="n"/>
      <c r="AL13" s="592" t="n"/>
      <c r="AM13" s="592" t="n"/>
      <c r="AN13" s="592" t="n"/>
      <c r="AO13" s="592" t="n"/>
      <c r="AP13" s="592" t="n"/>
      <c r="AQ13" s="592" t="n"/>
    </row>
    <row r="14">
      <c r="A14" s="592" t="n"/>
      <c r="B14" s="592" t="n"/>
      <c r="C14" s="592" t="n"/>
      <c r="D14" s="592" t="n"/>
      <c r="E14" s="592" t="n"/>
      <c r="F14" s="592" t="n"/>
      <c r="G14" s="592" t="n"/>
      <c r="H14" s="592" t="n"/>
      <c r="I14" s="592" t="n"/>
      <c r="J14" s="592" t="n"/>
      <c r="K14" s="592" t="n"/>
      <c r="L14" s="592" t="n"/>
      <c r="M14" s="592" t="n"/>
      <c r="N14" s="592" t="n"/>
      <c r="O14" s="592" t="n"/>
      <c r="P14" s="592" t="n"/>
      <c r="Q14" s="592" t="n"/>
      <c r="R14" s="592" t="n"/>
      <c r="S14" s="592" t="n"/>
      <c r="T14" s="592" t="n"/>
      <c r="U14" s="592" t="n"/>
      <c r="V14" s="592" t="n"/>
      <c r="W14" s="592" t="n"/>
      <c r="X14" s="592" t="n"/>
      <c r="Y14" s="592" t="n"/>
      <c r="Z14" s="592" t="n"/>
      <c r="AA14" s="592" t="n"/>
      <c r="AB14" s="592" t="n"/>
      <c r="AC14" s="592" t="n"/>
      <c r="AD14" s="592" t="n"/>
      <c r="AE14" s="592" t="n"/>
      <c r="AF14" s="592" t="n"/>
      <c r="AG14" s="592" t="n"/>
      <c r="AH14" s="592" t="n"/>
      <c r="AI14" s="592" t="n"/>
      <c r="AJ14" s="592" t="n"/>
      <c r="AK14" s="592" t="n"/>
      <c r="AL14" s="592" t="n"/>
      <c r="AM14" s="592" t="n"/>
      <c r="AN14" s="592" t="n"/>
      <c r="AO14" s="592" t="n"/>
      <c r="AP14" s="592" t="n"/>
      <c r="AQ14" s="592" t="n"/>
    </row>
    <row r="15">
      <c r="A15" s="592" t="n"/>
      <c r="B15" s="592" t="n"/>
      <c r="C15" s="592" t="n"/>
      <c r="D15" s="592" t="n"/>
      <c r="E15" s="592" t="n"/>
      <c r="F15" s="592" t="n"/>
      <c r="G15" s="592" t="n"/>
      <c r="H15" s="592" t="n"/>
      <c r="I15" s="592" t="n"/>
      <c r="J15" s="592" t="n"/>
      <c r="K15" s="592" t="n"/>
      <c r="L15" s="592" t="n"/>
      <c r="M15" s="592" t="n"/>
      <c r="N15" s="592" t="n"/>
      <c r="O15" s="592" t="n"/>
      <c r="P15" s="592" t="n"/>
      <c r="Q15" s="592" t="n"/>
      <c r="R15" s="592" t="n"/>
      <c r="S15" s="592" t="n"/>
      <c r="T15" s="592" t="n"/>
      <c r="U15" s="592" t="n"/>
      <c r="V15" s="592" t="n"/>
      <c r="W15" s="592" t="n"/>
      <c r="X15" s="592" t="n"/>
      <c r="Y15" s="592" t="n"/>
      <c r="Z15" s="592" t="n"/>
      <c r="AA15" s="592" t="n"/>
      <c r="AB15" s="592" t="n"/>
      <c r="AC15" s="592" t="n"/>
      <c r="AD15" s="592" t="n"/>
      <c r="AE15" s="592" t="n"/>
      <c r="AF15" s="592" t="n"/>
      <c r="AG15" s="592" t="n"/>
      <c r="AH15" s="592" t="n"/>
      <c r="AI15" s="592" t="n"/>
      <c r="AJ15" s="592" t="n"/>
      <c r="AK15" s="592" t="n"/>
      <c r="AL15" s="592" t="n"/>
      <c r="AM15" s="592" t="n"/>
      <c r="AN15" s="592" t="n"/>
      <c r="AO15" s="592" t="n"/>
      <c r="AP15" s="592" t="n"/>
      <c r="AQ15" s="592" t="n"/>
    </row>
    <row r="16">
      <c r="A16" s="592" t="n"/>
      <c r="B16" s="592" t="n"/>
      <c r="C16" s="592" t="n"/>
      <c r="D16" s="592" t="n"/>
      <c r="E16" s="592" t="n"/>
      <c r="F16" s="592" t="n"/>
      <c r="G16" s="592" t="n"/>
      <c r="H16" s="592" t="n"/>
      <c r="I16" s="592" t="n"/>
      <c r="J16" s="592" t="n"/>
      <c r="K16" s="592" t="n"/>
      <c r="L16" s="592" t="n"/>
      <c r="M16" s="592" t="n"/>
      <c r="N16" s="592" t="n"/>
      <c r="O16" s="592" t="n"/>
      <c r="P16" s="592" t="n"/>
      <c r="Q16" s="592" t="n"/>
      <c r="R16" s="592" t="n"/>
      <c r="S16" s="592" t="n"/>
      <c r="T16" s="592" t="n"/>
      <c r="U16" s="592" t="n"/>
      <c r="V16" s="592" t="n"/>
      <c r="W16" s="592" t="n"/>
      <c r="X16" s="592" t="n"/>
      <c r="Y16" s="592" t="n"/>
      <c r="Z16" s="592" t="n"/>
      <c r="AA16" s="592" t="n"/>
      <c r="AB16" s="592" t="n"/>
      <c r="AC16" s="592" t="n"/>
      <c r="AD16" s="592" t="n"/>
      <c r="AE16" s="592" t="n"/>
      <c r="AF16" s="592" t="n"/>
      <c r="AG16" s="592" t="n"/>
      <c r="AH16" s="592" t="n"/>
      <c r="AI16" s="592" t="n"/>
      <c r="AJ16" s="592" t="n"/>
      <c r="AK16" s="592" t="n"/>
      <c r="AL16" s="592" t="n"/>
      <c r="AM16" s="592" t="n"/>
      <c r="AN16" s="592" t="n"/>
      <c r="AO16" s="592" t="n"/>
      <c r="AP16" s="592" t="n"/>
      <c r="AQ16" s="592" t="n"/>
    </row>
    <row r="17">
      <c r="E17" s="592" t="n"/>
      <c r="G17" s="592" t="n"/>
      <c r="H17" s="592" t="n"/>
    </row>
    <row r="18">
      <c r="E18" s="592" t="n"/>
      <c r="G18" s="592" t="n"/>
      <c r="H18" s="592" t="n"/>
    </row>
  </sheetData>
  <pageMargins left="0.7" right="0.7" top="0.75" bottom="0.75" header="0.3" footer="0.3"/>
  <pageSetup orientation="portrait" paperSize="9"/>
</worksheet>
</file>

<file path=xl/worksheets/sheet3.xml><?xml version="1.0" encoding="utf-8"?>
<worksheet xmlns="http://schemas.openxmlformats.org/spreadsheetml/2006/main">
  <sheetPr codeName="工作表8">
    <outlinePr summaryBelow="1" summaryRight="1"/>
    <pageSetUpPr/>
  </sheetPr>
  <dimension ref="A1:AC42"/>
  <sheetViews>
    <sheetView zoomScale="90" zoomScaleNormal="90" workbookViewId="0">
      <selection activeCell="J2" sqref="J2"/>
    </sheetView>
  </sheetViews>
  <sheetFormatPr baseColWidth="8" defaultColWidth="23.125" defaultRowHeight="16.5"/>
  <cols>
    <col width="35.875" customWidth="1" style="599" min="1" max="1"/>
    <col width="46.25" customWidth="1" style="599" min="2" max="2"/>
    <col width="8" customWidth="1" style="599" min="3" max="3"/>
    <col width="9.75" customWidth="1" style="599" min="4" max="4"/>
    <col width="10.5" customWidth="1" style="599" min="5" max="5"/>
    <col width="9.75" customWidth="1" style="599" min="6" max="6"/>
    <col width="8.75" customWidth="1" style="599" min="7" max="7"/>
    <col width="9.625" customWidth="1" style="599" min="8" max="8"/>
    <col width="9.375" customWidth="1" style="599" min="9" max="9"/>
    <col width="23.125" customWidth="1" style="592" min="10" max="10"/>
    <col width="7.5" customWidth="1" style="592" min="11" max="11"/>
    <col width="7.75" customWidth="1" style="592" min="12" max="12"/>
    <col width="7.5" customWidth="1" style="592" min="13" max="13"/>
    <col width="9.75" customWidth="1" style="592" min="14" max="14"/>
    <col width="5" customWidth="1" style="592" min="15" max="15"/>
    <col width="5.625" customWidth="1" style="592" min="16" max="26"/>
    <col width="23.125" customWidth="1" style="592" min="27" max="27"/>
    <col width="5.125" customWidth="1" style="592" min="28" max="28"/>
    <col width="8.375" customWidth="1" style="592" min="29" max="29"/>
    <col width="23.125" customWidth="1" style="592" min="30" max="30"/>
    <col width="23.125" customWidth="1" style="592" min="31" max="16384"/>
  </cols>
  <sheetData>
    <row r="1" ht="39" customFormat="1" customHeight="1" s="913">
      <c r="A1" s="483" t="inlineStr">
        <is>
          <t>指名</t>
        </is>
      </c>
      <c r="B1" s="483" t="inlineStr">
        <is>
          <t>無指名</t>
        </is>
      </c>
      <c r="C1" s="483" t="inlineStr">
        <is>
          <t>關係人</t>
        </is>
      </c>
      <c r="D1" s="483" t="inlineStr">
        <is>
          <t>有無涉嫌人</t>
        </is>
      </c>
      <c r="E1" s="483" t="inlineStr">
        <is>
          <t>性別</t>
        </is>
      </c>
      <c r="F1" s="483" t="inlineStr">
        <is>
          <t>毒品種類</t>
        </is>
      </c>
      <c r="G1" s="599" t="n"/>
      <c r="H1" s="483" t="inlineStr">
        <is>
          <t>刑事相驗</t>
        </is>
      </c>
      <c r="I1" s="483" t="n"/>
    </row>
    <row r="2" ht="76.5" customHeight="1" s="680">
      <c r="A2" s="1144">
        <f>CONCATENATE("一、",輸入!$S$20,"所",輸入!$T$24,輸入!$O$8,"擔服",輸入!$K$2,"勤務，受理民眾",$D$11,"於",$J$4,"在",輸入!$C$7,"所報",輸入!$C$2,"案(",word用!$U$1,"：",word用!$U$2,")，經報案人筆錄中所稱嫌疑人為",$D$10,"，故通知涉嫌人",$E$10,"至所說明，通知嫌疑人製作筆錄。")</f>
        <v/>
      </c>
      <c r="B2" s="599">
        <f>CONCATENATE("一、",輸入!$S$20,"所",輸入!$T$24,輸入!$O$8,"受理民眾",$D$11,"報案，於",$J$4,"在",輸入!$C$7,"稱有",輸入!$C$2,"案件(",word用!$U$1,"：",word用!$U$2,")。警方依規定受理後，調閱店家及公家道路監視器影像，尋線找到嫌疑人",$E$10,"並通知到案說明。")</f>
        <v/>
      </c>
      <c r="C2" s="599" t="inlineStr">
        <is>
          <t>涉嫌人</t>
        </is>
      </c>
      <c r="D2" s="599" t="inlineStr">
        <is>
          <t>指名</t>
        </is>
      </c>
      <c r="E2" s="599" t="inlineStr">
        <is>
          <t>男</t>
        </is>
      </c>
      <c r="F2" s="599" t="inlineStr">
        <is>
          <t>海洛因</t>
        </is>
      </c>
      <c r="H2" s="1144" t="inlineStr">
        <is>
          <t xml:space="preserve">一、	死者上司劉竹超於今（3）日15時48分至死者蘇信宜家（臺北市中山區新生北路三段62巷23號）欲探訪時，在門口處發現屋內傳出屍體腐爛之氣味，遂報警處理。經警方到場由屋主龔書平協助開門後，發現死者於家中死亡多時、身體明顯發黑。
三、	警方於109年06月27日07時18分接獲110通報稱大佳河濱公園保全孫昭仁在上址發現疑似漂浮屍體，經通知消防人員打撈上岸無呼吸心跳明顯死亡，遂通知鑑識人員到場並以隨身證件通知同居家屬蔡竫瑋、血親家屬郭君文到場確認死者身分確為郭君武，並係同居家屬於109年06月25日在寧夏路派出所所報之緊急協尋失蹤人口。
</t>
        </is>
      </c>
      <c r="I2" s="599">
        <f>輸入!$B8</f>
        <v/>
      </c>
      <c r="J2" s="1144">
        <f>CONCATENATE(LEFT(輸入!$C$8,3),"年",MID(輸入!$C$8,4,2),"月",MID(輸入!$C$8,6,2),"日",MID(輸入!$C$8,8,2),"時",RIGHT(輸入!$C$8,2),"分")</f>
        <v/>
      </c>
      <c r="L2" s="592">
        <f>IF(輸入!$M17&lt;&gt;下拉用!$C$2,"",CONCATENATE(輸入!$B17))</f>
        <v/>
      </c>
      <c r="M2" s="592">
        <f>IF(輸入!$M17&lt;&gt;下拉用!$C$2,"",CONCATENATE(輸入!$B17,"(",輸入!$L17,"、",LEFT(輸入!$F17,2),"年次)"))</f>
        <v/>
      </c>
      <c r="N2" s="592">
        <f>IF(輸入!$M17&lt;&gt;下拉用!$C$2,"",CONCATENATE(輸入!$B17,"(",UPPER(輸入!$C17),"、",輸入!$Q17,")"))</f>
        <v/>
      </c>
      <c r="O2" s="591">
        <f>IF(輸入!$M17&lt;&gt;下拉用!$C$3,"",CONCATENATE(輸入!$B17))</f>
        <v/>
      </c>
      <c r="P2" s="591">
        <f>IF(輸入!$M17&lt;&gt;下拉用!$C$3,"",CONCATENATE(輸入!$B17,"(",輸入!$L17,"、",LEFT(輸入!$F17,2),"年次)"))</f>
        <v/>
      </c>
      <c r="Q2" s="36">
        <f>IF(輸入!$M$17&lt;&gt;下拉用!$C$2,"",REPLACE(輸入!$B$17,2,1,"O"))</f>
        <v/>
      </c>
      <c r="R2" s="1324">
        <f>輸入!$T$17-LEFT(輸入!$F17,2)</f>
        <v/>
      </c>
      <c r="S2" s="1324">
        <f>IF(ISEVEN(MID(輸入!$C17,2,1)),"女","男")</f>
        <v/>
      </c>
      <c r="T2" s="36" t="n"/>
      <c r="U2" s="414" t="n"/>
      <c r="V2" s="414" t="n"/>
      <c r="W2" s="591" t="inlineStr">
        <is>
          <t>判斷號</t>
        </is>
      </c>
      <c r="X2" s="36" t="inlineStr">
        <is>
          <t>原選單</t>
        </is>
      </c>
      <c r="Y2" s="415" t="inlineStr">
        <is>
          <t>清單</t>
        </is>
      </c>
      <c r="Z2" s="36" t="inlineStr">
        <is>
          <t>選單</t>
        </is>
      </c>
      <c r="AB2" s="436" t="n"/>
      <c r="AC2" s="436" t="n"/>
    </row>
    <row r="3" ht="76.5" customHeight="1" s="680">
      <c r="A3" s="599">
        <f>IF(ISBLANK(輸入!$C$11),下拉用!$B$4,下拉用!$A$4)</f>
        <v/>
      </c>
      <c r="C3" s="599" t="inlineStr">
        <is>
          <t>被害人</t>
        </is>
      </c>
      <c r="D3" s="599" t="inlineStr">
        <is>
          <t>無指名</t>
        </is>
      </c>
      <c r="E3" s="599" t="inlineStr">
        <is>
          <t>女</t>
        </is>
      </c>
      <c r="F3" s="599" t="inlineStr">
        <is>
          <t>安非他命</t>
        </is>
      </c>
      <c r="H3" s="599" t="inlineStr">
        <is>
          <t>二、	全案通知血親家屬、同居家屬、發現人至所製作筆錄並由鑑識人員採證後，報請刑事相驗。</t>
        </is>
      </c>
      <c r="I3" s="599">
        <f>輸入!$B9</f>
        <v/>
      </c>
      <c r="J3" s="1144">
        <f>CONCATENATE(LEFT(輸入!$C$9,3),"年",MID(輸入!$C$9,4,2),"月",MID(輸入!$C$9,6,2),"日",MID(輸入!$C$9,8,2),"時",RIGHT(輸入!$C$9,2),"分")</f>
        <v/>
      </c>
      <c r="L3" s="592">
        <f>IF(輸入!$M18&lt;&gt;下拉用!$C$2,"",CONCATENATE(輸入!$B18))</f>
        <v/>
      </c>
      <c r="M3" s="592">
        <f>IF(輸入!$M18&lt;&gt;下拉用!$C$2,"",CONCATENATE(輸入!$B18,"(",輸入!$L18,"、",LEFT(輸入!$F18,2),"年次)"))</f>
        <v/>
      </c>
      <c r="N3" s="592">
        <f>IF(輸入!$M18&lt;&gt;下拉用!$C$2,"",CONCATENATE(輸入!$B18,"(",UPPER(輸入!$C18),"、",輸入!$Q18,")"))</f>
        <v/>
      </c>
      <c r="O3" s="591">
        <f>IF(輸入!$M18&lt;&gt;下拉用!$C$3,"",CONCATENATE(輸入!$B18))</f>
        <v/>
      </c>
      <c r="P3" s="591">
        <f>IF(輸入!$M18&lt;&gt;下拉用!$C$3,"",CONCATENATE(輸入!$B18,"(",輸入!$L18,"、",LEFT(輸入!$F18,2),"年次)"))</f>
        <v/>
      </c>
      <c r="Q3" s="36">
        <f>IF(輸入!$M$18&lt;&gt;下拉用!$C$2,"",REPLACE(輸入!$B$18,2,1,"O"))</f>
        <v/>
      </c>
      <c r="R3" s="1324">
        <f>輸入!$T$17-LEFT(輸入!$F18,2)</f>
        <v/>
      </c>
      <c r="S3" s="1324">
        <f>IF(ISEVEN(MID(輸入!$C18,2,1)),"女","男")</f>
        <v/>
      </c>
      <c r="T3" s="36" t="n"/>
      <c r="U3" s="414" t="n"/>
      <c r="V3" s="414">
        <f>IF(COUNTIF(入出所!$B$8:$B$12,X3)&gt;0,"",MAX($W$2:W2)+1)</f>
        <v/>
      </c>
      <c r="W3" s="591">
        <f>IF(COUNTIF('呈報單 多人'!$B$7:$E$41,X3)&gt;0,"",MAX($W$2:W2)+1)</f>
        <v/>
      </c>
      <c r="X3" s="36">
        <f>輸入!B17</f>
        <v/>
      </c>
      <c r="Y3" s="415">
        <f>VLOOKUP(ROW(輸入!A1),W3:X11,2,0)</f>
        <v/>
      </c>
      <c r="Z3" s="36" t="n"/>
      <c r="AB3" s="436" t="n"/>
      <c r="AC3" s="436" t="n"/>
    </row>
    <row r="4" ht="49.5" customHeight="1" s="680">
      <c r="A4" s="599">
        <f>CONCATENATE("二、警方聯繫嫌疑人",$F$10,"，",LEFT(下拉用!$C$10,1),"嫌於",$J$5,"至所說明，",LEFT(下拉用!$C$10,1),"嫌於警詢筆錄中表示",輸入!$C$3,"，其他內容詳如筆錄，全案製作筆錄與相關附件為證。")</f>
        <v/>
      </c>
      <c r="B4" s="599">
        <f>CONCATENATE("二、警方聯繫嫌疑人",$F$10,"於",$J$13,"至所說明，但",LEFT(下拉用!$C$10,1),"嫌於通知日期仍未至所說明，全案提供相關附件為證。")</f>
        <v/>
      </c>
      <c r="C4" s="599" t="inlineStr">
        <is>
          <t>證人</t>
        </is>
      </c>
      <c r="E4" s="599">
        <f>IF(ISBLANK(輸入!$K$3),"",CONCATENATE("駕駛",輸入!$K$3,"(",UPPER(輸入!$K$4),")"))</f>
        <v/>
      </c>
      <c r="F4" s="599" t="inlineStr">
        <is>
          <t>愷他命</t>
        </is>
      </c>
      <c r="I4" s="599">
        <f>輸入!$B10</f>
        <v/>
      </c>
      <c r="J4" s="1144">
        <f>CONCATENATE(LEFT(輸入!$C$10,3),"年",MID(輸入!$C$10,4,2),"月",MID(輸入!$C$10,6,2),"日",MID(輸入!$C$10,8,2),"時",RIGHT(輸入!$C$10,2),"分")</f>
        <v/>
      </c>
      <c r="L4" s="592">
        <f>IF(輸入!$M19&lt;&gt;下拉用!$C$2,"",CONCATENATE(輸入!$B19))</f>
        <v/>
      </c>
      <c r="M4" s="592">
        <f>IF(輸入!$M19&lt;&gt;下拉用!$C$2,"",CONCATENATE(輸入!$B19,"(",輸入!$L19,"、",LEFT(輸入!$F19,2),"年次)"))</f>
        <v/>
      </c>
      <c r="N4" s="592">
        <f>IF(輸入!$M19&lt;&gt;下拉用!$C$2,"",CONCATENATE(輸入!$B19,"(",UPPER(輸入!$C19),"、",輸入!$Q19,")"))</f>
        <v/>
      </c>
      <c r="O4" s="591">
        <f>IF(輸入!$M19&lt;&gt;下拉用!$C$3,"",CONCATENATE(輸入!$B19))</f>
        <v/>
      </c>
      <c r="P4" s="591">
        <f>IF(輸入!$M19&lt;&gt;下拉用!$C$3,"",CONCATENATE(輸入!$B19,"(",輸入!$L19,"、",LEFT(輸入!$F19,2),"年次)"))</f>
        <v/>
      </c>
      <c r="Q4" s="36">
        <f>IF(輸入!$M$19&lt;&gt;下拉用!$C$2,"",REPLACE(輸入!$B$19,2,1,"O"))</f>
        <v/>
      </c>
      <c r="R4" s="1324">
        <f>輸入!$T$17-LEFT(輸入!$F19,2)</f>
        <v/>
      </c>
      <c r="S4" s="1324">
        <f>IF(ISEVEN(MID(輸入!$C19,2,1)),"女","男")</f>
        <v/>
      </c>
      <c r="T4" s="36" t="n"/>
      <c r="U4" s="414" t="n"/>
      <c r="V4" s="414">
        <f>IF(COUNTIF(入出所!$B$8:$B$12,X4)&gt;0,"",MAX($W$2:W3)+1)</f>
        <v/>
      </c>
      <c r="W4" s="591">
        <f>IF(COUNTIF('呈報單 多人'!$B$7:$E$41,X4)&gt;0,"",MAX($W$2:W3)+1)</f>
        <v/>
      </c>
      <c r="X4" s="36">
        <f>輸入!B18</f>
        <v/>
      </c>
      <c r="Y4" s="415">
        <f>VLOOKUP(ROW(輸入!A2),W4:X12,2,0)</f>
        <v/>
      </c>
      <c r="Z4" s="36" t="n"/>
      <c r="AB4" s="436" t="n"/>
      <c r="AC4" s="436" t="n"/>
    </row>
    <row r="5" ht="47.25" customHeight="1" s="680">
      <c r="A5" s="599">
        <f>CONCATENATE("三、依",呈報單!$G$15,"罪嫌，函送  偵查隊  續辦。")</f>
        <v/>
      </c>
      <c r="C5" s="599" t="inlineStr">
        <is>
          <t>關係人</t>
        </is>
      </c>
      <c r="F5" s="599" t="inlineStr">
        <is>
          <t>一粒眠</t>
        </is>
      </c>
      <c r="I5" s="599">
        <f>輸入!$B11</f>
        <v/>
      </c>
      <c r="J5" s="1144">
        <f>CONCATENATE(LEFT(輸入!$C$11,3),"年",MID(輸入!$C$11,4,2),"月",MID(輸入!$C$11,6,2),"日",MID(輸入!$C$11,8,2),"時",RIGHT(輸入!$C$11,2),"分")</f>
        <v/>
      </c>
      <c r="L5" s="592">
        <f>IF(輸入!$M20&lt;&gt;下拉用!$C$2,"",CONCATENATE(輸入!$B20))</f>
        <v/>
      </c>
      <c r="M5" s="592">
        <f>IF(輸入!$M20&lt;&gt;下拉用!$C$2,"",CONCATENATE(輸入!$B20,"(",輸入!$L20,"、",LEFT(輸入!$F20,2),"年次)"))</f>
        <v/>
      </c>
      <c r="N5" s="592">
        <f>IF(輸入!$M20&lt;&gt;下拉用!$C$2,"",CONCATENATE(輸入!$B20,"(",UPPER(輸入!$C20),"、",輸入!$Q20,")"))</f>
        <v/>
      </c>
      <c r="O5" s="591">
        <f>IF(輸入!$M20&lt;&gt;下拉用!$C$3,"",CONCATENATE(輸入!$B20))</f>
        <v/>
      </c>
      <c r="P5" s="591">
        <f>IF(輸入!$M20&lt;&gt;下拉用!$C$3,"",CONCATENATE(輸入!$B20,"(",輸入!$L20,"、",LEFT(輸入!$F20,2),"年次)"))</f>
        <v/>
      </c>
      <c r="Q5" s="36">
        <f>IF(輸入!$M$20&lt;&gt;下拉用!$C$2,"",REPLACE(輸入!$B$20,2,1,"O"))</f>
        <v/>
      </c>
      <c r="R5" s="1324">
        <f>輸入!$T$17-LEFT(輸入!$F20,2)</f>
        <v/>
      </c>
      <c r="S5" s="1324">
        <f>IF(ISEVEN(MID(輸入!$C20,2,1)),"女","男")</f>
        <v/>
      </c>
      <c r="T5" s="36" t="n"/>
      <c r="U5" s="414" t="n"/>
      <c r="V5" s="414">
        <f>IF(COUNTIF(入出所!$B$8:$B$12,X5)&gt;0,"",MAX($W$2:W4)+1)</f>
        <v/>
      </c>
      <c r="W5" s="591">
        <f>IF(COUNTIF('呈報單 多人'!$B$7:$E$41,X5)&gt;0,"",MAX($W$2:W4)+1)</f>
        <v/>
      </c>
      <c r="X5" s="36">
        <f>輸入!B19</f>
        <v/>
      </c>
      <c r="Y5" s="415">
        <f>VLOOKUP(ROW(輸入!A3),W5:X12,2,0)</f>
        <v/>
      </c>
      <c r="Z5" s="36" t="n"/>
      <c r="AB5" s="436" t="n"/>
      <c r="AC5" s="436" t="n"/>
    </row>
    <row r="6" ht="75" customHeight="1" s="680">
      <c r="A6" s="599">
        <f>CONCATENATE("本所為偵辦",$D$11,"所報",呈報單!$G$15,"案(",word用!$U$1,"：",word用!$U$2,")，警方經被害人",$D$11,"筆錄中稱該",word用!$R$2,"子為",word用!$H$2,"(",UPPER(word用!$I$2),"、",word用!$L$2,")","，職試圖與",LEFT(word用!$H$2,1),"民聯絡，但",LEFT(word用!$H$2,1),"民一直不到案說明，為使偵查順遂惠予協助，以利案件之偵辦，煩請偵查隊協助發立通知書，通知關係人",word用!$H$2,"到案說明。")</f>
        <v/>
      </c>
      <c r="B6" s="599">
        <f>CONCATENATE("本所為偵辦",$D$11,"所報",呈報單!$G$15,"案(",word用!$U$1,"：",word用!$U$2,")，警方調閱監視器及比對嫌疑人使用之交通工具後，發現該",word用!$R$2,"子為",word用!$H$2,"(",word用!$I$2,"、",word用!$L$2,")","，職試圖與",LEFT(word用!$H$2,1),"民聯絡，但",LEFT(word用!$H$2,1),"民一直不到案說明，為使偵查順遂惠予協助，以利案件之偵辦，煩請偵查隊協助發立通知書，通知關係人",word用!$H$2,"到案說明。")</f>
        <v/>
      </c>
      <c r="C6" s="599" t="inlineStr">
        <is>
          <t>發現人</t>
        </is>
      </c>
      <c r="J6" s="435">
        <f>CONCATENATE(LEFT(輸入!$H$5,3),"年",MID(輸入!$H$5,4,2),"月",MID(輸入!$H$5,6,2),"日",MID(輸入!$H$5,8,2),"時",RIGHT(輸入!$H$5,2),"分")</f>
        <v/>
      </c>
      <c r="L6" s="592">
        <f>IF(輸入!$M21&lt;&gt;下拉用!$C$2,"",CONCATENATE(輸入!$B21))</f>
        <v/>
      </c>
      <c r="M6" s="592">
        <f>IF(輸入!$M21&lt;&gt;下拉用!$C$2,"",CONCATENATE(輸入!$B21,"(",輸入!$L21,"、",LEFT(輸入!$F21,2),"年次)"))</f>
        <v/>
      </c>
      <c r="N6" s="592">
        <f>IF(輸入!$M21&lt;&gt;下拉用!$C$2,"",CONCATENATE(輸入!$B21,"(",UPPER(輸入!$C21),"、",輸入!$Q21,")"))</f>
        <v/>
      </c>
      <c r="O6" s="591">
        <f>IF(輸入!$M21&lt;&gt;下拉用!$C$3,"",CONCATENATE(輸入!$B21))</f>
        <v/>
      </c>
      <c r="P6" s="591">
        <f>IF(輸入!$M21&lt;&gt;下拉用!$C$3,"",CONCATENATE(輸入!$B21,"(",輸入!$L21,"、",LEFT(輸入!$F21,2),"年次)"))</f>
        <v/>
      </c>
      <c r="Q6" s="36">
        <f>IF(輸入!$M$21&lt;&gt;下拉用!$C$2,"",REPLACE(輸入!$B$21,2,1,"O"))</f>
        <v/>
      </c>
      <c r="R6" s="1324">
        <f>輸入!$T$17-LEFT(輸入!$F21,2)</f>
        <v/>
      </c>
      <c r="S6" s="1324">
        <f>IF(ISEVEN(MID(輸入!$C21,2,1)),"女","男")</f>
        <v/>
      </c>
      <c r="T6" s="36" t="n"/>
      <c r="U6" s="414" t="n"/>
      <c r="V6" s="414">
        <f>IF(COUNTIF(入出所!$B$8:$B$12,X6)&gt;0,"",MAX($W$2:W5)+1)</f>
        <v/>
      </c>
      <c r="W6" s="591">
        <f>IF(COUNTIF('呈報單 多人'!$B$7:$E$41,X6)&gt;0,"",MAX($W$2:W5)+1)</f>
        <v/>
      </c>
      <c r="X6" s="36">
        <f>輸入!B20</f>
        <v/>
      </c>
      <c r="Y6" s="415">
        <f>VLOOKUP(ROW(輸入!A4),W6:X12,2,0)</f>
        <v/>
      </c>
      <c r="Z6" s="36" t="n"/>
      <c r="AB6" s="436" t="n"/>
      <c r="AC6" s="436" t="n"/>
    </row>
    <row r="7" ht="93" customHeight="1" s="680">
      <c r="A7" s="599">
        <f>CONCATENATE(輸入!$S$20,"所",輸入!$T$24,輸入!$O$8,"擔服",輸入!$K$2,"勤務，受理民眾",$D$11,"於",$J$4,"所報",輸入!$C$2,"案(",word用!$U$1,"：",word用!$U$2,")，警方經被害人",$D$11,"筆錄中稱該",word用!$R$2,"子為",$D$10,"，查嫌疑人",$F$10,"涉有重嫌，故通知犯嫌於並",$J$5,"至所說明，犯嫌於筆錄中",輸入!$C$3,"，內容詳如筆錄，全案依",輸入!$C$2,"罪嫌函送臺灣臺北地方檢察署偵辦。")</f>
        <v/>
      </c>
      <c r="B7" s="599">
        <f>CONCATENATE(輸入!$S$20,"所",輸入!$T$24,輸入!$O$8,"擔服",輸入!$K$2,"勤務，受理民眾",$D$11,"於",$J$4,"所報",輸入!$C$2,"案(",word用!$U$1,"：",word用!$U$2,")，循線調閱監視器及比對嫌疑人使用之交通工具，查嫌疑人",$F$10,"涉有重嫌，故通知犯嫌於並",$J$5,"至所說明，犯嫌於筆錄中",輸入!$C$3,"，內容詳如筆錄，全案依",輸入!$C$2,"罪嫌函送臺灣臺北地方檢察署偵辦。")</f>
        <v/>
      </c>
      <c r="C7" s="599" t="inlineStr">
        <is>
          <t>家屬</t>
        </is>
      </c>
      <c r="J7" s="435">
        <f>CONCATENATE(LEFT(輸入!$H$6,3),"年",MID(輸入!$H$6,4,2),"月",MID(輸入!$H$6,6,2),"日",MID(輸入!$H$6,8,2),"時",RIGHT(輸入!$H$6,2),"分")</f>
        <v/>
      </c>
      <c r="L7" s="592">
        <f>IF(輸入!$M22&lt;&gt;下拉用!$C$2,"",CONCATENATE(輸入!$B22))</f>
        <v/>
      </c>
      <c r="M7" s="592">
        <f>IF(輸入!$M22&lt;&gt;下拉用!$C$2,"",CONCATENATE(輸入!$B22,"(",輸入!$L22,"、",LEFT(輸入!$F22,2),"年次)"))</f>
        <v/>
      </c>
      <c r="N7" s="592">
        <f>IF(輸入!$M22&lt;&gt;下拉用!$C$2,"",CONCATENATE(輸入!$B22,"(",UPPER(輸入!$C22),"、",輸入!$Q22,")"))</f>
        <v/>
      </c>
      <c r="O7" s="591">
        <f>IF(輸入!$M22&lt;&gt;下拉用!$C$3,"",CONCATENATE(輸入!$B22))</f>
        <v/>
      </c>
      <c r="P7" s="591">
        <f>IF(輸入!$M22&lt;&gt;下拉用!$C$3,"",CONCATENATE(輸入!$B22,"(",輸入!$L22,"、",LEFT(輸入!$F22,2),"年次)"))</f>
        <v/>
      </c>
      <c r="Q7" s="36">
        <f>IF(輸入!$M$22&lt;&gt;下拉用!$C$2,"",REPLACE(輸入!$B$22,2,1,"O"))</f>
        <v/>
      </c>
      <c r="R7" s="1324">
        <f>輸入!$T$17-LEFT(輸入!$F22,2)</f>
        <v/>
      </c>
      <c r="S7" s="1324">
        <f>IF(ISEVEN(MID(輸入!$C22,2,1)),"女","男")</f>
        <v/>
      </c>
      <c r="T7" s="36" t="n"/>
      <c r="U7" s="414" t="n"/>
      <c r="V7" s="414">
        <f>IF(COUNTIF(入出所!$B$8:$B$12,X7)&gt;0,"",MAX($W$2:W6)+1)</f>
        <v/>
      </c>
      <c r="W7" s="591">
        <f>IF(COUNTIF('呈報單 多人'!$B$7:$E$41,X7)&gt;0,"",MAX($W$2:W6)+1)</f>
        <v/>
      </c>
      <c r="X7" s="36">
        <f>輸入!B21</f>
        <v/>
      </c>
      <c r="Y7" s="415">
        <f>VLOOKUP(ROW(輸入!A5),W7:X12,2,0)</f>
        <v/>
      </c>
      <c r="Z7" s="36" t="n"/>
      <c r="AB7" s="436" t="n"/>
      <c r="AC7" s="436" t="n"/>
    </row>
    <row r="8" ht="40.5" customHeight="1" s="680">
      <c r="A8" s="599">
        <f>CONCATENATE(輸入!$S$20,"所",輸入!$T$24,輸入!$O$8,"擔服",輸入!$K$2,"勤務，受理民眾",$D$11,"於",$J$4,"所報",輸入!$C$2,"案(",word用!$U$1,"：",word用!$U$2,")，筆錄中稱該嫌疑人",$F$10,"涉有重嫌，故通知犯嫌於",$J$13,"至所說明，但犯嫌於通知日期仍未至所說明，故全案依",輸入!$C$2,"罪嫌函送臺灣臺北地方檢察署偵辦。")</f>
        <v/>
      </c>
      <c r="B8" s="599">
        <f>CONCATENATE(輸入!$S$20,"所",輸入!$T$24,輸入!$O$8,"擔服",輸入!$K$2,"勤務，受理民眾",$D$11,"於",$J$4,"所報",輸入!$C$2,"案(",word用!$U$1,"：",word用!$U$2,")，警方循線調閱監視器及比對嫌疑人使用之交通工具，查嫌疑人",$F$10,"涉有重嫌，故通知犯嫌於",$J$13,"至所說明，但犯嫌於通知日期仍未至所說明，故全案依",輸入!$C$2,"罪嫌函送臺灣臺北地方檢察署偵辦。")</f>
        <v/>
      </c>
      <c r="C8" s="599" t="inlineStr">
        <is>
          <t>指認人</t>
        </is>
      </c>
      <c r="J8" s="435">
        <f>CONCATENATE(LEFT(輸入!$C$9,3),"年",MID(輸入!$C$9,4,2),"月",MID(輸入!$C$9,6,2),"日",MID(輸入!$C$9,8,2),"時",RIGHT(輸入!$C$9,2),"分")</f>
        <v/>
      </c>
      <c r="L8" s="592">
        <f>IF(輸入!$M23&lt;&gt;下拉用!$C$2,"",CONCATENATE(輸入!$B23))</f>
        <v/>
      </c>
      <c r="M8" s="592">
        <f>IF(輸入!$M23&lt;&gt;下拉用!$C$2,"",CONCATENATE(輸入!$B23,"(",輸入!$L23,"、",LEFT(輸入!$F23,2),"年次)"))</f>
        <v/>
      </c>
      <c r="N8" s="592">
        <f>IF(輸入!$M23&lt;&gt;下拉用!$C$2,"",CONCATENATE(輸入!$B23,"(",UPPER(輸入!$C23),"、",輸入!$Q23,")"))</f>
        <v/>
      </c>
      <c r="O8" s="591">
        <f>IF(輸入!$M23&lt;&gt;下拉用!$C$3,"",CONCATENATE(輸入!$B23))</f>
        <v/>
      </c>
      <c r="P8" s="591">
        <f>IF(輸入!$M23&lt;&gt;下拉用!$C$3,"",CONCATENATE(輸入!$B23,"(",輸入!$L23,"、",LEFT(輸入!$F23,2),"年次)"))</f>
        <v/>
      </c>
      <c r="Q8" s="36">
        <f>IF(輸入!$M$23&lt;&gt;下拉用!$C$2,"",REPLACE(輸入!$B$23,2,1,"O"))</f>
        <v/>
      </c>
      <c r="R8" s="1324">
        <f>輸入!$T$17-LEFT(輸入!$F23,2)</f>
        <v/>
      </c>
      <c r="S8" s="1324">
        <f>IF(ISEVEN(MID(輸入!$C23,2,1)),"女","男")</f>
        <v/>
      </c>
      <c r="T8" s="36" t="n"/>
      <c r="U8" s="414" t="n"/>
      <c r="V8" s="414">
        <f>IF(COUNTIF(入出所!$B$8:$B$12,X8)&gt;0,"",MAX($W$2:W7)+1)</f>
        <v/>
      </c>
      <c r="W8" s="591">
        <f>IF(COUNTIF('呈報單 多人'!$B$7:$E$41,X8)&gt;0,"",MAX($W$2:W7)+1)</f>
        <v/>
      </c>
      <c r="X8" s="36">
        <f>輸入!B22</f>
        <v/>
      </c>
      <c r="Y8" s="415">
        <f>VLOOKUP(ROW(輸入!A6),W8:X12,2,0)</f>
        <v/>
      </c>
      <c r="Z8" s="36" t="n"/>
      <c r="AB8" s="436" t="n"/>
      <c r="AC8" s="436" t="n"/>
    </row>
    <row r="9" ht="16.5" customHeight="1" s="680">
      <c r="J9" s="435">
        <f>CONCATENATE(LEFT(輸入!$C$10,3),"年",MID(輸入!$C$10,4,2),"月",MID(輸入!$C$10,6,2),"日",MID(輸入!$C$10,8,2),"時",RIGHT(輸入!$C$10,2),"分")</f>
        <v/>
      </c>
      <c r="L9" s="592">
        <f>IF(輸入!$M24&lt;&gt;下拉用!$C$2,"",CONCATENATE(輸入!$B24))</f>
        <v/>
      </c>
      <c r="M9" s="592">
        <f>IF(輸入!$M24&lt;&gt;下拉用!$C$2,"",CONCATENATE(輸入!$B24,"(",輸入!$L24,"、",LEFT(輸入!$F24,2),"年次)"))</f>
        <v/>
      </c>
      <c r="N9" s="592">
        <f>IF(輸入!$M24&lt;&gt;下拉用!$C$2,"",CONCATENATE(輸入!$B24,"(",UPPER(輸入!$C24),"、",輸入!$Q24,")"))</f>
        <v/>
      </c>
      <c r="O9" s="591">
        <f>IF(輸入!$M24&lt;&gt;下拉用!$C$3,"",CONCATENATE(輸入!$B24))</f>
        <v/>
      </c>
      <c r="P9" s="591">
        <f>IF(輸入!$M24&lt;&gt;下拉用!$C$3,"",CONCATENATE(輸入!$B24,"(",輸入!$L24,"、",LEFT(輸入!$F24,2),"年次)"))</f>
        <v/>
      </c>
      <c r="Q9" s="36">
        <f>IF(輸入!$M$24&lt;&gt;下拉用!$C$2,"",REPLACE(輸入!$B$24,2,1,"O"))</f>
        <v/>
      </c>
      <c r="R9" s="1324">
        <f>輸入!$T$17-LEFT(輸入!$F24,2)</f>
        <v/>
      </c>
      <c r="S9" s="1324">
        <f>IF(ISEVEN(MID(輸入!$C24,2,1)),"女","男")</f>
        <v/>
      </c>
      <c r="T9" s="36" t="n"/>
      <c r="U9" s="414" t="n"/>
      <c r="V9" s="414">
        <f>IF(COUNTIF(入出所!$B$8:$B$12,X9)&gt;0,"",MAX($W$2:W8)+1)</f>
        <v/>
      </c>
      <c r="W9" s="591">
        <f>IF(COUNTIF('呈報單 多人'!$B$7:$E$41,X9)&gt;0,"",MAX($W$2:W8)+1)</f>
        <v/>
      </c>
      <c r="X9" s="36">
        <f>輸入!B23</f>
        <v/>
      </c>
      <c r="Y9" s="415">
        <f>VLOOKUP(ROW(輸入!A7),W9:X12,2,0)</f>
        <v/>
      </c>
      <c r="Z9" s="36" t="n"/>
      <c r="AB9" s="436" t="n"/>
      <c r="AC9" s="436" t="n"/>
    </row>
    <row r="10" ht="40.5" customHeight="1" s="680">
      <c r="A10" s="599">
        <f>CONCATENATE(,LEFT($J$5,10),"查獲",呈報單!$G$15,"犯",_xlfn.TEXTJOIN("、",TRUE,下拉用!$Q$2:$Q$11),"，工作辛勞得力")</f>
        <v/>
      </c>
      <c r="C10" s="599">
        <f>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f>
        <v/>
      </c>
      <c r="D10" s="599">
        <f>_xlfn.TEXTJOIN("、",TRUE,下拉用!$L$2:$L$11)</f>
        <v/>
      </c>
      <c r="E10" s="599">
        <f>_xlfn.TEXTJOIN("、",TRUE,下拉用!$M$2:$M$11)</f>
        <v/>
      </c>
      <c r="F10" s="599">
        <f>_xlfn.TEXTJOIN("、",TRUE,下拉用!$N$2:$N$11)</f>
        <v/>
      </c>
      <c r="J10" s="435">
        <f>CONCATENATE("日期：中華民國 ",LEFT(輸入!$C$11,3),"年",MID(輸入!$C$11,4,2),"月",MID(輸入!$C$11,6,2),"日")</f>
        <v/>
      </c>
      <c r="L10" s="592">
        <f>IF(輸入!$M25&lt;&gt;下拉用!$C$2,"",CONCATENATE(輸入!$B25))</f>
        <v/>
      </c>
      <c r="M10" s="592">
        <f>IF(輸入!$M25&lt;&gt;下拉用!$C$2,"",CONCATENATE(輸入!$B25,"(",輸入!$L25,"、",LEFT(輸入!$F25,2),"年次)"))</f>
        <v/>
      </c>
      <c r="N10" s="592">
        <f>IF(輸入!$M25&lt;&gt;下拉用!$C$2,"",CONCATENATE(輸入!$B25,"(",UPPER(輸入!$C25),"、",輸入!$Q25,")"))</f>
        <v/>
      </c>
      <c r="O10" s="591">
        <f>IF(輸入!$M25&lt;&gt;下拉用!$C$3,"",CONCATENATE(輸入!$B25))</f>
        <v/>
      </c>
      <c r="P10" s="591">
        <f>IF(輸入!$M25&lt;&gt;下拉用!$C$3,"",CONCATENATE(輸入!$B25,"(",輸入!$L25,"、",LEFT(輸入!$F25,2),"年次)"))</f>
        <v/>
      </c>
      <c r="Q10" s="36">
        <f>IF(輸入!$M$25&lt;&gt;下拉用!$C$2,"",REPLACE(輸入!$B$25,2,1,"O"))</f>
        <v/>
      </c>
      <c r="R10" s="1324">
        <f>輸入!$T$17-LEFT(輸入!$F25,2)</f>
        <v/>
      </c>
      <c r="S10" s="1324">
        <f>IF(ISEVEN(MID(輸入!$C25,2,1)),"女","男")</f>
        <v/>
      </c>
      <c r="T10" s="36" t="n"/>
      <c r="U10" s="414" t="n"/>
      <c r="V10" s="414">
        <f>IF(COUNTIF(入出所!$B$8:$B$12,X10)&gt;0,"",MAX($W$2:W9)+1)</f>
        <v/>
      </c>
      <c r="W10" s="591">
        <f>IF(COUNTIF('呈報單 多人'!$B$7:$E$41,X10)&gt;0,"",MAX($W$2:W9)+1)</f>
        <v/>
      </c>
      <c r="X10" s="36">
        <f>輸入!B24</f>
        <v/>
      </c>
      <c r="Y10" s="415">
        <f>VLOOKUP(ROW(輸入!A8),W10:X12,2,0)</f>
        <v/>
      </c>
      <c r="Z10" s="36" t="n"/>
      <c r="AB10" s="436" t="n"/>
      <c r="AC10" s="436" t="n"/>
    </row>
    <row r="11" ht="38.25" customHeight="1" s="680">
      <c r="A11" s="599">
        <f>CONCATENATE(,LEFT($J$13,10),"查獲",呈報單!$G$15,"犯",_xlfn.TEXTJOIN("、",TRUE,下拉用!$Q$2:$Q$11),"，工作辛勞得力")</f>
        <v/>
      </c>
      <c r="C11" s="599">
        <f>CONCATENATE(,IF(ISNUMBER(SEARCH("被害人",輸入!$M$17)),輸入!$B$17,
IF(ISNUMBER(SEARCH("被害人",輸入!$M$18)),輸入!$B$18,
IF(ISNUMBER(SEARCH("被害人",輸入!$M$19)),輸入!$B$19,
IF(ISNUMBER(SEARCH("被害人",輸入!$M$20)),輸入!$B$20,
IF(ISNUMBER(SEARCH("被害人",輸入!$M$21)),輸入!$B$21,
IF(ISNUMBER(SEARCH("被害人",輸入!$M$22)),輸入!$B$22,
IF(ISNUMBER(SEARCH("被害人",輸入!$M$23)),輸入!$B$23,
IF(ISNUMBER(SEARCH("被害人",輸入!$M$24)),輸入!$B$24,
IF(ISNUMBER(SEARCH("被害人",輸入!$M$25)),輸入!$B$25,
IF(ISNUMBER(SEARCH("被害人",輸入!$M$26)),輸入!$B$26,"")))))))))))</f>
        <v/>
      </c>
      <c r="D11" s="599">
        <f>_xlfn.TEXTJOIN("、",TRUE,下拉用!$O$2:$O$11)</f>
        <v/>
      </c>
      <c r="E11" s="599">
        <f>_xlfn.TEXTJOIN("、",TRUE,P2:$P$11)</f>
        <v/>
      </c>
      <c r="J11" s="592">
        <f>CONCATENATE("日期：中華民國 ",LEFT(發傳喚通知!$J$7,3),"年",MID(發傳喚通知!$J$7,4,2),"月",MID(發傳喚通知!$J$7,6,2),"日")</f>
        <v/>
      </c>
      <c r="L11" s="592">
        <f>IF(輸入!$M26&lt;&gt;下拉用!$C$2,"",CONCATENATE(輸入!$B26))</f>
        <v/>
      </c>
      <c r="M11" s="592">
        <f>IF(輸入!$M26&lt;&gt;下拉用!$C$2,"",CONCATENATE(輸入!$B26,"(",輸入!$L26,"、",LEFT(輸入!$F26,2),"年次)"))</f>
        <v/>
      </c>
      <c r="N11" s="592">
        <f>IF(輸入!$M26&lt;&gt;下拉用!$C$2,"",CONCATENATE(輸入!$B26,"(",UPPER(輸入!$C26),"、",輸入!$Q26,")"))</f>
        <v/>
      </c>
      <c r="O11" s="591">
        <f>IF(輸入!$M26&lt;&gt;下拉用!$C$3,"",CONCATENATE(輸入!$B26))</f>
        <v/>
      </c>
      <c r="P11" s="591">
        <f>IF(輸入!$M26&lt;&gt;下拉用!$C$3,"",CONCATENATE(輸入!$B26,"(",輸入!$L26,"、",LEFT(輸入!$F26,2),"年次)"))</f>
        <v/>
      </c>
      <c r="Q11" s="36">
        <f>IF(輸入!$M$26&lt;&gt;下拉用!$C$2,"",REPLACE(輸入!$B$26,2,1,"O"))</f>
        <v/>
      </c>
      <c r="R11" s="1324">
        <f>輸入!$T$17-LEFT(輸入!$F26,2)</f>
        <v/>
      </c>
      <c r="S11" s="1324">
        <f>IF(ISEVEN(MID(輸入!$C26,2,1)),"女","男")</f>
        <v/>
      </c>
      <c r="T11" s="36" t="n"/>
      <c r="U11" s="414" t="n"/>
      <c r="V11" s="414">
        <f>IF(COUNTIF(入出所!$B$8:$B$12,X11)&gt;0,"",MAX($W$2:W10)+1)</f>
        <v/>
      </c>
      <c r="W11" s="591">
        <f>IF(COUNTIF('呈報單 多人'!$B$7:$E$41,X11)&gt;0,"",MAX($W$2:W10)+1)</f>
        <v/>
      </c>
      <c r="X11" s="36">
        <f>輸入!B25</f>
        <v/>
      </c>
      <c r="Y11" s="415">
        <f>VLOOKUP(ROW(輸入!A9),W11:X12,2,0)</f>
        <v/>
      </c>
      <c r="Z11" s="36" t="n"/>
      <c r="AB11" s="436" t="n"/>
      <c r="AC11" s="436" t="n"/>
    </row>
    <row r="12" ht="19.5" customHeight="1" s="680">
      <c r="I12" s="51" t="n"/>
      <c r="J12" s="592">
        <f>CONCATENATE(LEFT(輸入!$C$11,3),"年",MID(輸入!$C$11,4,2),"月",MID(輸入!$C$11,6,2),"日",MID(輸入!$C$11,8,2),"時",RIGHT(輸入!$C$11,2),"分")</f>
        <v/>
      </c>
      <c r="K12" s="251" t="n"/>
      <c r="N12" s="592">
        <f>IF(輸入!$M27&lt;&gt;下拉用!$C$2,"",CONCATENATE(輸入!$B27,"(",UPPER(輸入!$C27),"、",輸入!$Q27,")"))</f>
        <v/>
      </c>
      <c r="P12" s="36" t="n"/>
      <c r="Q12" s="36" t="n"/>
      <c r="R12" s="36" t="n"/>
      <c r="S12" s="36" t="n"/>
      <c r="T12" s="36" t="n"/>
      <c r="U12" s="36" t="n"/>
      <c r="V12" s="36" t="n"/>
      <c r="W12" s="591" t="n"/>
      <c r="X12" s="36" t="n"/>
      <c r="Y12" s="36" t="n"/>
      <c r="Z12" s="36" t="n"/>
      <c r="AB12" s="436" t="n"/>
      <c r="AC12" s="436" t="n"/>
    </row>
    <row r="13" ht="91.5" customHeight="1" s="680">
      <c r="I13" s="51" t="n"/>
      <c r="J13" s="51">
        <f>CONCATENATE(LEFT(發傳喚通知!$J$7,3),"年",MID(發傳喚通知!$J$7,4,2),"月",MID(發傳喚通知!$J$7,6,2),"日",MID(發傳喚通知!$J$7,8,2),"時",RIGHT(發傳喚通知!$J$7,2),"分")</f>
        <v/>
      </c>
      <c r="K13" s="251" t="n"/>
      <c r="AB13" s="436" t="n"/>
      <c r="AC13" s="438" t="n"/>
    </row>
    <row r="14" ht="22.5" customHeight="1" s="680">
      <c r="I14" s="51" t="n"/>
      <c r="J14" s="51" t="n"/>
      <c r="K14" s="251" t="n"/>
      <c r="AB14" s="436" t="n"/>
      <c r="AC14" s="436" t="n"/>
    </row>
    <row r="15" ht="16.5" customHeight="1" s="680">
      <c r="I15" s="51" t="n"/>
      <c r="J15" s="51" t="n"/>
      <c r="K15" s="251" t="n"/>
      <c r="AB15" s="436" t="n"/>
      <c r="AC15" s="436" t="n"/>
    </row>
    <row r="16">
      <c r="I16" s="51" t="n"/>
      <c r="J16" s="51" t="n"/>
      <c r="K16" s="251" t="n"/>
      <c r="AB16" s="436" t="n"/>
      <c r="AC16" s="436" t="n"/>
    </row>
    <row r="17">
      <c r="I17" s="51" t="n"/>
      <c r="J17" s="51" t="n"/>
      <c r="K17" s="251" t="n"/>
      <c r="AB17" s="436" t="n"/>
      <c r="AC17" s="436" t="n"/>
    </row>
    <row r="18">
      <c r="I18" s="51" t="n"/>
      <c r="J18" s="51" t="n"/>
      <c r="K18" s="251" t="n"/>
      <c r="AB18" s="436" t="n"/>
      <c r="AC18" s="436" t="n"/>
    </row>
    <row r="19">
      <c r="I19" s="51" t="n"/>
      <c r="J19" s="51" t="n"/>
      <c r="K19" s="251" t="n"/>
      <c r="AB19" s="436" t="n"/>
      <c r="AC19" s="438" t="n"/>
    </row>
    <row r="20" ht="42" customHeight="1" s="680">
      <c r="I20" s="51" t="n"/>
      <c r="J20" s="51" t="n"/>
      <c r="K20" s="251" t="n"/>
      <c r="AB20" s="436" t="n"/>
      <c r="AC20" s="438" t="n"/>
    </row>
    <row r="21" ht="22.5" customHeight="1" s="680">
      <c r="K21" s="503" t="n"/>
      <c r="AB21" s="436" t="n"/>
      <c r="AC21" s="436" t="n"/>
    </row>
    <row r="22">
      <c r="K22" s="503" t="n"/>
      <c r="AB22" s="436" t="n"/>
      <c r="AC22" s="436" t="n"/>
    </row>
    <row r="23">
      <c r="K23" s="503" t="n"/>
      <c r="AB23" s="436" t="n"/>
      <c r="AC23" s="436" t="n"/>
    </row>
    <row r="24">
      <c r="K24" s="503" t="n"/>
      <c r="S24" s="437" t="n"/>
      <c r="T24" s="437" t="n"/>
      <c r="U24" s="437" t="n"/>
      <c r="V24" s="437" t="n"/>
      <c r="AB24" s="436" t="n"/>
      <c r="AC24" s="436" t="n"/>
    </row>
    <row r="25">
      <c r="K25" s="503" t="n"/>
      <c r="R25" s="780" t="n"/>
      <c r="S25" s="780" t="n"/>
      <c r="T25" s="780" t="n"/>
      <c r="U25" s="780" t="n"/>
      <c r="V25" s="780" t="n"/>
      <c r="AB25" s="436" t="n"/>
      <c r="AC25" s="436" t="n"/>
    </row>
    <row r="26">
      <c r="K26" s="503" t="n"/>
      <c r="AB26" s="436" t="n"/>
      <c r="AC26" s="436" t="n"/>
    </row>
    <row r="27">
      <c r="K27" s="503" t="n"/>
      <c r="AB27" s="436" t="n"/>
      <c r="AC27" s="436" t="n"/>
    </row>
    <row r="42">
      <c r="P42" s="436" t="n"/>
      <c r="Q42" s="436" t="n"/>
    </row>
  </sheetData>
  <dataValidations disablePrompts="1" count="1">
    <dataValidation sqref="Y2:Y11" showDropDown="0" showInputMessage="1" showErrorMessage="0" allowBlank="1"/>
  </dataValidations>
  <pageMargins left="0.7" right="0.7" top="0.75" bottom="0.75" header="0.3" footer="0.3"/>
  <pageSetup orientation="portrait" paperSize="9"/>
</worksheet>
</file>

<file path=xl/worksheets/sheet4.xml><?xml version="1.0" encoding="utf-8"?>
<worksheet xmlns="http://schemas.openxmlformats.org/spreadsheetml/2006/main">
  <sheetPr codeName="工作表27">
    <outlinePr summaryBelow="1" summaryRight="1"/>
    <pageSetUpPr/>
  </sheetPr>
  <dimension ref="A1:K25"/>
  <sheetViews>
    <sheetView zoomScale="85" zoomScaleNormal="85" workbookViewId="0">
      <selection activeCell="I12" sqref="I12"/>
    </sheetView>
  </sheetViews>
  <sheetFormatPr baseColWidth="8" defaultRowHeight="16.5"/>
  <cols>
    <col width="25.5" customWidth="1" style="680" min="1" max="1"/>
    <col width="25.375" customWidth="1" style="680" min="2" max="2"/>
    <col width="25.125" customWidth="1" style="680" min="3" max="3"/>
    <col width="29.125" customWidth="1" style="680" min="4" max="4"/>
    <col width="26.875" customWidth="1" style="680" min="5" max="5"/>
    <col width="29.375" customWidth="1" style="680" min="6" max="6"/>
    <col width="22.875" customWidth="1" style="680" min="7" max="7"/>
    <col width="19" customWidth="1" style="680" min="8" max="8"/>
    <col width="20.75" customWidth="1" style="680" min="9" max="9"/>
    <col width="18.375" customWidth="1" style="680" min="10" max="10"/>
    <col width="18.5" customWidth="1" style="680" min="11" max="11"/>
  </cols>
  <sheetData>
    <row r="1" ht="19.5" customHeight="1" s="680">
      <c r="A1" s="592" t="inlineStr">
        <is>
          <t>監視器</t>
        </is>
      </c>
      <c r="B1" s="592" t="inlineStr">
        <is>
          <t>ATM提款機</t>
        </is>
      </c>
      <c r="C1" s="592" t="inlineStr">
        <is>
          <t>信用卡</t>
        </is>
      </c>
      <c r="D1" s="592" t="inlineStr">
        <is>
          <t>電子載具</t>
        </is>
      </c>
      <c r="E1" s="592" t="inlineStr">
        <is>
          <t>悠遊卡</t>
        </is>
      </c>
      <c r="F1" s="592" t="inlineStr">
        <is>
          <t>敬老卡</t>
        </is>
      </c>
      <c r="G1" s="592" t="inlineStr">
        <is>
          <t>Uber</t>
        </is>
      </c>
      <c r="H1" s="592" t="inlineStr">
        <is>
          <t>會員</t>
        </is>
      </c>
      <c r="I1" s="913" t="inlineStr">
        <is>
          <t>公共危險</t>
        </is>
      </c>
      <c r="J1" s="913" t="inlineStr">
        <is>
          <t>通緝</t>
        </is>
      </c>
      <c r="K1" s="913" t="inlineStr">
        <is>
          <t>毒品危害防制條例</t>
        </is>
      </c>
    </row>
    <row r="2" ht="19.5" customHeight="1" s="680">
      <c r="A2" s="592" t="inlineStr">
        <is>
          <t>調閱時段：</t>
        </is>
      </c>
      <c r="B2" s="592" t="inlineStr">
        <is>
          <t>調閱時段：</t>
        </is>
      </c>
      <c r="C2" s="592" t="inlineStr">
        <is>
          <t>刷卡時段：</t>
        </is>
      </c>
      <c r="D2" s="592" t="inlineStr">
        <is>
          <t>消費時段：</t>
        </is>
      </c>
      <c r="E2" s="592" t="inlineStr">
        <is>
          <t>使用時段：</t>
        </is>
      </c>
      <c r="F2" s="592" t="inlineStr">
        <is>
          <t>調閱時段：</t>
        </is>
      </c>
      <c r="G2" s="592" t="inlineStr">
        <is>
          <t>上車時段：</t>
        </is>
      </c>
      <c r="H2" s="592" t="inlineStr">
        <is>
          <t>調閱時段：</t>
        </is>
      </c>
      <c r="I2" s="237" t="inlineStr">
        <is>
          <t>酒測時間</t>
        </is>
      </c>
      <c r="J2" s="237" t="inlineStr">
        <is>
          <t>通緝日期</t>
        </is>
      </c>
      <c r="K2" s="412" t="inlineStr">
        <is>
          <t>鑑驗時間</t>
        </is>
      </c>
    </row>
    <row r="3">
      <c r="A3" s="592" t="inlineStr">
        <is>
          <t>調閱時段止：</t>
        </is>
      </c>
      <c r="G3" s="592" t="inlineStr">
        <is>
          <t>下車時段：</t>
        </is>
      </c>
      <c r="I3" s="592" t="n"/>
      <c r="J3" s="592" t="n"/>
      <c r="K3" s="592" t="n"/>
    </row>
    <row r="4" ht="21" customHeight="1" s="680">
      <c r="A4" s="592" t="inlineStr">
        <is>
          <t>調閱地址：</t>
        </is>
      </c>
      <c r="B4" s="592" t="inlineStr">
        <is>
          <t>調閱地址：</t>
        </is>
      </c>
      <c r="C4" s="592" t="inlineStr">
        <is>
          <t>刷卡地址：</t>
        </is>
      </c>
      <c r="D4" s="592" t="inlineStr">
        <is>
          <t>消費地址：</t>
        </is>
      </c>
      <c r="E4" s="592" t="inlineStr">
        <is>
          <t>使用地址：</t>
        </is>
      </c>
      <c r="F4" s="592" t="inlineStr">
        <is>
          <t>調閱地址：</t>
        </is>
      </c>
      <c r="G4" s="592" t="inlineStr">
        <is>
          <t>上車地址：</t>
        </is>
      </c>
      <c r="H4" s="592" t="inlineStr">
        <is>
          <t>調閱地址：</t>
        </is>
      </c>
      <c r="I4" s="237" t="inlineStr">
        <is>
          <t>酒測值mg/L</t>
        </is>
      </c>
      <c r="J4" s="237" t="inlineStr">
        <is>
          <t>通緝單位</t>
        </is>
      </c>
      <c r="K4" s="237" t="inlineStr">
        <is>
          <t>鑑驗地點：</t>
        </is>
      </c>
    </row>
    <row r="5">
      <c r="A5" s="592" t="inlineStr">
        <is>
          <t>調閱位置：</t>
        </is>
      </c>
      <c r="B5" s="592" t="inlineStr">
        <is>
          <t>銀行</t>
        </is>
      </c>
      <c r="C5" s="592" t="inlineStr">
        <is>
          <t>卡號：</t>
        </is>
      </c>
      <c r="D5" s="592" t="inlineStr">
        <is>
          <t>電子載具：/</t>
        </is>
      </c>
      <c r="E5" s="592" t="inlineStr">
        <is>
          <t>卡號：</t>
        </is>
      </c>
      <c r="F5" s="592" t="inlineStr">
        <is>
          <t>卡號：</t>
        </is>
      </c>
      <c r="G5" s="592" t="inlineStr">
        <is>
          <t>下車地址：</t>
        </is>
      </c>
      <c r="H5" s="592" t="inlineStr">
        <is>
          <t>店家名稱：</t>
        </is>
      </c>
      <c r="I5" s="413" t="inlineStr">
        <is>
          <t>酒後時間</t>
        </is>
      </c>
      <c r="J5" s="237" t="inlineStr">
        <is>
          <t>通緝文號</t>
        </is>
      </c>
      <c r="K5" s="412" t="inlineStr">
        <is>
          <t>種類：</t>
        </is>
      </c>
    </row>
    <row r="6">
      <c r="A6" s="592" t="n"/>
      <c r="B6" s="592" t="inlineStr">
        <is>
          <t>ATM提款機(機號：</t>
        </is>
      </c>
      <c r="C6" s="592" t="inlineStr">
        <is>
          <t>POS機號碼：</t>
        </is>
      </c>
      <c r="D6" s="592" t="inlineStr">
        <is>
          <t>發票號碼：</t>
        </is>
      </c>
      <c r="E6" s="592" t="n"/>
      <c r="F6" s="592" t="n"/>
      <c r="G6" s="592" t="inlineStr">
        <is>
          <t>司機姓名：</t>
        </is>
      </c>
      <c r="H6" s="592" t="inlineStr">
        <is>
          <t>電子載具：/</t>
        </is>
      </c>
      <c r="I6" s="413" t="inlineStr">
        <is>
          <t>是否漱口</t>
        </is>
      </c>
      <c r="J6" s="237" t="inlineStr">
        <is>
          <t>通緝案號</t>
        </is>
      </c>
      <c r="K6" s="412" t="inlineStr">
        <is>
          <t>毛重：</t>
        </is>
      </c>
    </row>
    <row r="7">
      <c r="A7" s="592" t="n"/>
      <c r="B7" s="592" t="n"/>
      <c r="C7" s="592" t="n"/>
      <c r="D7" s="592" t="inlineStr">
        <is>
          <t>消費金額：新臺幣</t>
        </is>
      </c>
      <c r="E7" s="592" t="n"/>
      <c r="F7" s="592" t="n"/>
      <c r="G7" s="592" t="inlineStr">
        <is>
          <t>司機電話：</t>
        </is>
      </c>
      <c r="H7" s="592" t="inlineStr">
        <is>
          <t>會員編號：</t>
        </is>
      </c>
      <c r="I7" s="592" t="n"/>
      <c r="J7" s="592" t="n"/>
      <c r="K7" s="237" t="inlineStr">
        <is>
          <t>淨重：</t>
        </is>
      </c>
    </row>
    <row r="8">
      <c r="A8" s="592" t="n"/>
      <c r="B8" s="592" t="n"/>
      <c r="C8" s="592" t="n"/>
      <c r="D8" s="592" t="n"/>
      <c r="E8" s="592" t="n"/>
      <c r="F8" s="592" t="n"/>
      <c r="G8" s="592" t="inlineStr">
        <is>
          <t>車種：</t>
        </is>
      </c>
      <c r="H8" s="592" t="inlineStr">
        <is>
          <t>消費金額：新臺幣</t>
        </is>
      </c>
      <c r="I8" s="592" t="inlineStr">
        <is>
          <t>車種</t>
        </is>
      </c>
      <c r="J8" s="592" t="n"/>
      <c r="K8" s="412" t="inlineStr">
        <is>
          <t>數量：</t>
        </is>
      </c>
    </row>
    <row r="9">
      <c r="A9" s="592" t="n"/>
      <c r="B9" s="592" t="n"/>
      <c r="C9" s="592" t="n"/>
      <c r="D9" s="592" t="n"/>
      <c r="E9" s="592" t="n"/>
      <c r="F9" s="592" t="n"/>
      <c r="G9" s="592" t="inlineStr">
        <is>
          <t>車號：</t>
        </is>
      </c>
      <c r="H9" s="592" t="n"/>
      <c r="I9" s="592" t="inlineStr">
        <is>
          <t>車牌</t>
        </is>
      </c>
      <c r="J9" s="592" t="n"/>
      <c r="K9" s="592" t="inlineStr">
        <is>
          <t>單位：</t>
        </is>
      </c>
    </row>
    <row r="10">
      <c r="A10" s="592" t="n"/>
      <c r="B10" s="592" t="n"/>
      <c r="C10" s="592" t="n"/>
      <c r="D10" s="592" t="n"/>
      <c r="E10" s="592" t="n"/>
      <c r="F10" s="592" t="n"/>
      <c r="G10" s="592" t="n"/>
      <c r="H10" s="592" t="n"/>
      <c r="I10" s="592" t="n"/>
      <c r="J10" s="592" t="n"/>
      <c r="K10" s="592" t="inlineStr">
        <is>
          <t>搜索位置</t>
        </is>
      </c>
    </row>
    <row r="11" ht="354.75" customHeight="1" s="680">
      <c r="A11" s="598">
        <f>CONCATENATE("因偵辦案件之需要，惠請貴單位協助調閱及備份貴單位之監視器資料，為使偵查順遂，惠予協助提供，以利案件之偵辦，擬報  請協助調閱。")</f>
        <v/>
      </c>
      <c r="B11" s="598">
        <f>CONCATENATE("因偵辦案件循線調閱監視器畫面發現嫌疑人(姓名、年籍不詳)於",$G$24,"，使用位於",輸入!$H$6,"內",輸入!$H$8,$B$5,$B$6,輸入!$H$9,")，為使偵查順遂，惠予協助提供犯嫌使用卡片時的監視器畫面與使用銀行卡片資料，以利案件之偵辦，擬報  請協助調閱。")</f>
        <v/>
      </c>
      <c r="C11" s="598">
        <f>CONCATENATE("因偵辦案件之需要，經被害人提供消費發票並提供詳細消費資訊(",$C$2,$G$24,"，",$C$4,輸入!$H$7,"，使用",$C$1,$C$5,輸入!$H$8,"，",$C$6,輸入!$H$9,")，為使偵查順遂，惠請貴單位予協助提供持卡人個資，以利案件之偵辦，擬報  請協助調閱。")</f>
        <v/>
      </c>
      <c r="D11" s="598">
        <f>CONCATENATE("因偵辦案件之需要，經被害人提供消費發票並提供詳細消費資訊(",$D$2,$G$24,"，",$D$4,輸入!$H$7,"，",$D$5,輸入!$H$8,"，",$D$6,輸入!$H$9,"，",$D$7,輸入!$H$10,"元)，為使偵查順遂，惠請貴單位予協助提供持卡人個資，以利案件之偵辦，擬報  請協助調閱。")</f>
        <v/>
      </c>
      <c r="E11" s="598">
        <f>CONCATENATE("因偵辦案件經循線調閱監視器畫面發現嫌疑人(姓名、年籍不詳)於",$G$24,"，進入",輸入!$H$7,"內，使用",$E$1,$E$5,輸入!$H$8,"，為使偵查順遂，為查明本案犯罪嫌疑人真實姓名年籍，擬報請協助調閱",$E$1,"持卡人個資，以利案件之偵辦，擬報  請協助調閱。")</f>
        <v/>
      </c>
      <c r="F11" s="598">
        <f>CONCATENATE("因偵辦案件經循線調閱監視器畫面發現嫌疑人(姓名、年籍不詳)於",$G$24,"，進入",輸入!$H$7,"內，使用",$F$1,$F$5,輸入!$H$8,")，為使偵查順遂，為查明本案犯罪嫌疑人真實姓名年籍，擬報請協助調閱",$F$1,"持卡人個資，以利案件之偵辦，擬報  請協助調閱。")</f>
        <v/>
      </c>
      <c r="G11" s="598">
        <f>CONCATENATE("因偵辦案件經循線調閱監視器畫面與詢問",輸入!$H$11,"(",UPPER(輸入!$H$12),")計程車司機",輸入!$H$9,"(",輸入!$H$10,")，表示該犯嫌使用",$G$1," APP叫車搭乘並提供行程詳細資訊。",CHAR(10),$G$2,$G$24,,CHAR(10),$G$4,輸入!$H$6,CHAR(10),G$3,$G$25,CHAR(10),$G$5,輸入!$H$8,"")</f>
        <v/>
      </c>
      <c r="H11" s="598">
        <f>CONCATENATE("因偵辦案件之需要，經被害人提供消費發票並提供詳細會員編號(",輸入!$G$7,輸入!$H$7,"，",輸入!$G$7,輸入!$H$7,"，",輸入!$G$8,輸入!$H$8,IF(ISBLANK(輸入!$H$9),"，",$H$24),$H$7,輸入!$H$10,IF(ISBLANK(輸入!$H$11),"",調閱用!$H$25),"，為使偵查順遂，惠請貴單位予協助提供持卡人個資，以利案件之偵辦，擬報  請協助調閱。")</f>
        <v/>
      </c>
      <c r="I11" s="51">
        <f>CONCATENATE(,輸入!S20,"所",輸入!$T$24,輸入!$O$8,"執行",輸入!$K$2,輸入!$J$2,"於",下拉用!$J$5,"許，於",輸入!$C$7,"發現",輸入!$H$11,"(",UPPER(輸入!$H$12),")",輸入!$H$3,"，攔停過程時發現駕駛人",word用!$H$2,"身上有濃厚之酒味，詢問駕駛人",word用!$H$2,"(",word用!$I$2,"、",word用!$L$2,")坦承有飲酒，故對其施以酒精濃度測試(施測時間：",$G$24,")，其酒測值為 ",輸入!$H$7," MG/L， 案經製作筆錄，爰依涉公共危險罪嫌，移請 偵查隊偵辦。")</f>
        <v/>
      </c>
      <c r="J11" s="51">
        <f>CONCATENATE(,輸入!S20,"所",輸入!$T$24,輸入!$O$8,"於",輸入!$K$2,輸入!$J$2,"中，於",下拉用!$J$5,"許發現",LEFT(word用!$H$2,1),"嫌",下拉用!$E$4,輸入!$H$3,"於",輸入!$C$7,"，故警方便向前盤查，發現為通緝單位：",輸入!$H$7,"，通緝日期：",LEFT($G$24,10),"，所發布之通緝犯，姓名：",word用!$H$2,"（",word用!$R$2,"性、",word用!$L$2,"、身份證號：",word用!$I$2,"，通緝文號：",輸入!$H$8,"，通緝案號：",輸入!$H$9,"；案由：",輸入!$H$2,輸入!$C$2,"。依法逮捕歸案，移送偵查隊偵辦。")</f>
        <v/>
      </c>
      <c r="K11" s="416">
        <f>CONCATENATE(,輸入!R15,"所",輸入!$S$19,輸入!$O$8,"執行",輸入!$K$2,"勤務時於",下拉用!$J$5,"在",輸入!$C$7,"許，發現",word用!$H$2,"(",word用!$I$2,"、",word用!$L$2,")",下拉用!$E$4,輸入!$H$3,"，故警方便向前盤查，盤查過程中見",LEFT(word用!$H$2,1),"嫌神色緊張，經",LEFT(word用!$H$2,1),"嫌同意檢視下，於",LEFT(word用!$H$2,1),"嫌的",輸入!$H$13,"發現",word用!$AE$2,輸入!$H$11,輸入!$H$12,"(",調閱用!$K$25,")，並於",IF(ISBLANK(輸入!$H$7),"現場",輸入!$H$7),"以",輸入!$S$11,"所製造之檢驗包檢驗，呈陽性反應，故將",LEFT(word用!$H$2,1),"嫌帶返所偵訊， 案經製作筆錄，爰依涉毒品危害防制條例，移請 偵查隊偵辦。")</f>
        <v/>
      </c>
    </row>
    <row r="12" ht="111.75" customHeight="1" s="680">
      <c r="A12" s="598">
        <f>CONCATENATE($A$2,下拉用!$J$2,"至",下拉用!$J$4,CHAR(10),$A$4,輸入!$H$7,CHAR(10),$A$5,輸入!$H$8)</f>
        <v/>
      </c>
      <c r="B12" s="598">
        <f>CONCATENATE("懇請 貴隊發函，向信用卡公司調閱該人相關個人資料(會員基本資料姓名、身分證字號、連絡電話及地址)、消費資訊及該時段調閱監視器影像檔案，俾利後續偵辦，請協助調閱。")</f>
        <v/>
      </c>
      <c r="C12" s="51">
        <f>CONCATENATE("懇請 貴隊發函，向信用卡公司調閱該人相關個人資料(會員基本資料姓名、身分證字號、連絡電話及地址)、消費資訊及該時段調閱監視器影像檔案，俾利後續偵辦，請協助調閱。")</f>
        <v/>
      </c>
      <c r="D12" s="598">
        <f>CONCATENATE("懇請 貴隊發函，向財政部財政資訊中心調閱該人相關個人資料(會員基本資料姓名、身分證字號、連絡電話及地址)、消費資訊，俾利後續偵辦，請協助調閱。")</f>
        <v/>
      </c>
      <c r="E12" s="598">
        <f>CONCATENATE("懇請 貴隊發函，向",$E$1,"公司調閱該人相關個人資料(會員基本資料姓名、身分證字號、連絡電話及地址)、消費資訊及該時段調閱監視器影像檔案，俾利後續偵辦，請協助調閱。")</f>
        <v/>
      </c>
      <c r="F12" s="598">
        <f>CONCATENATE("懇請 貴隊發函，向",$F$1,"公司調閱該人相關個人資料(會員基本資料姓名、身分證字號、連絡電話及地址)、消費資訊及該時段調閱監視器影像檔案，俾利後續偵辦，請協助調閱。")</f>
        <v/>
      </c>
      <c r="G12" s="598">
        <f>CONCATENATE("懇請 貴隊發函，向",$G$1,"公司調閱該趟行程訂單人相關個人資料(會員基本資料姓名、身分證字號、連絡電話及地址及消費資訊。")</f>
        <v/>
      </c>
      <c r="H12" s="599">
        <f>CONCATENATE("懇請 貴隊發函，向",輸入!$H$8,"調閱該人相關個人資料(會員基本資料姓名、身分證字號、連絡電話及地址)、消費資訊，俾利後續偵辦，請協助調閱。")</f>
        <v/>
      </c>
    </row>
    <row r="13" ht="129.75" customHeight="1" s="680">
      <c r="A13" s="592" t="n"/>
      <c r="B13" s="592" t="n"/>
      <c r="C13" s="51" t="n"/>
      <c r="D13" s="598">
        <f>CONCATENATE("因偵辦案件之需要，經循線調閱監視器畫面發現嫌疑人(姓名、年籍不詳)犯案時將電子發票存入手機號碼條碼載具；申請調閱嫌疑人所使用之電子發票共通性載具申登基資(電子發票整合服務平台主管機關:財政部財政資訊中心)，為使偵查順遂，惠請貴單位予協助提供電子載具持用人個資，以利案件之偵辦，擬報  請協助調閱。",CHAR(10),$D$2,輸入!$H$5,"，",$D$4,輸入!$H$6,"，",$D$5,輸入!$H$7,"，",$D$6,輸入!$H$8,"，",$D$7,輸入!$H$9,"元。")</f>
        <v/>
      </c>
      <c r="F13" s="598" t="inlineStr">
        <is>
          <t>(台北市社會局(地址:台北市信義區市府路1號、電話：0227208889(分機-6967)、傳真電話：無)</t>
        </is>
      </c>
      <c r="G13" s="592" t="n"/>
    </row>
    <row r="14">
      <c r="A14" s="592" t="n"/>
      <c r="B14" s="592" t="n"/>
      <c r="C14" s="51" t="n"/>
      <c r="D14" s="592" t="n"/>
      <c r="E14" s="592" t="n"/>
      <c r="F14" s="592" t="n"/>
      <c r="G14" s="592" t="n"/>
    </row>
    <row r="15">
      <c r="A15" s="592" t="n"/>
      <c r="B15" s="592" t="n"/>
      <c r="C15" s="51" t="n"/>
      <c r="D15" s="592" t="n"/>
      <c r="E15" s="592" t="n"/>
      <c r="F15" s="592" t="n"/>
      <c r="G15" s="592" t="n"/>
    </row>
    <row r="16">
      <c r="A16" s="592" t="n"/>
      <c r="B16" s="592" t="n"/>
      <c r="C16" s="51" t="n"/>
      <c r="D16" s="592" t="n"/>
      <c r="E16" s="592" t="n"/>
      <c r="F16" s="592" t="n"/>
      <c r="G16" s="592" t="n"/>
    </row>
    <row r="17">
      <c r="A17" s="592" t="n"/>
      <c r="B17" s="592" t="n"/>
      <c r="C17" s="51" t="n"/>
      <c r="D17" s="592" t="n"/>
      <c r="E17" s="592" t="n"/>
      <c r="F17" s="592" t="n"/>
      <c r="G17" s="592" t="n"/>
    </row>
    <row r="18">
      <c r="A18" s="592" t="n"/>
      <c r="B18" s="592" t="n"/>
      <c r="C18" s="51" t="n"/>
      <c r="D18" s="592" t="n"/>
      <c r="E18" s="592" t="n"/>
      <c r="F18" s="592" t="n"/>
      <c r="G18" s="592" t="n"/>
    </row>
    <row r="19">
      <c r="A19" s="592" t="n"/>
      <c r="B19" s="592" t="n"/>
      <c r="C19" s="51" t="n"/>
      <c r="D19" s="592" t="n"/>
      <c r="E19" s="592" t="n"/>
      <c r="F19" s="592" t="n"/>
      <c r="G19" s="592" t="n"/>
    </row>
    <row r="20">
      <c r="A20" s="592" t="n"/>
      <c r="B20" s="592" t="n"/>
      <c r="C20" s="51" t="n"/>
      <c r="D20" s="592" t="n"/>
      <c r="E20" s="592" t="n"/>
      <c r="F20" s="592" t="n"/>
      <c r="G20" s="592" t="n"/>
    </row>
    <row r="21">
      <c r="A21" s="592" t="n"/>
      <c r="B21" s="592" t="n"/>
      <c r="C21" s="51" t="n"/>
      <c r="D21" s="592" t="n"/>
      <c r="E21" s="592" t="n"/>
      <c r="F21" s="592" t="n"/>
      <c r="G21" s="592" t="n"/>
    </row>
    <row r="23" ht="19.5" customHeight="1" s="680">
      <c r="K23" s="913">
        <f>CONCATENATE(LEFT(輸入!$C$10,3),"年",MID(輸入!$C$10,4,2),"月")</f>
        <v/>
      </c>
    </row>
    <row r="24">
      <c r="G24" s="780">
        <f>CONCATENATE(LEFT(輸入!$H$5,3),"年",MID(輸入!$H$5,4,2),"月",MID(輸入!$H$5,6,2),"日",MID(輸入!$H$5,8,2),"時",RIGHT(輸入!$H$5,2),"分")</f>
        <v/>
      </c>
      <c r="H24" s="780">
        <f>CONCATENATE("，",輸入!$G$9,輸入!$H$9)</f>
        <v/>
      </c>
      <c r="K24" s="592">
        <f>CONCATENATE(LEFT(輸入!$C$11,3),"年",MID(輸入!$C$11,4,2),"月")</f>
        <v/>
      </c>
    </row>
    <row r="25">
      <c r="G25" s="780">
        <f>CONCATENATE(LEFT(輸入!$H$7,3),"年",MID(輸入!$H$7,4,2),"月",MID(輸入!$H$7,6,2),"日",MID(輸入!$H$7,8,2),"時",RIGHT(輸入!$H$7,2),"分")</f>
        <v/>
      </c>
      <c r="H25" s="780">
        <f>CONCATENATE(,"，",輸入!$G$11,輸入!$H$11,"元")</f>
        <v/>
      </c>
      <c r="K25" s="592">
        <f>CONCATENATE(輸入!$G$9,輸入!$H$9,"、",輸入!$G$10,輸入!$H$10)</f>
        <v/>
      </c>
    </row>
  </sheetData>
  <pageMargins left="0.7" right="0.7" top="0.75" bottom="0.75" header="0.3" footer="0.3"/>
</worksheet>
</file>

<file path=xl/worksheets/sheet5.xml><?xml version="1.0" encoding="utf-8"?>
<worksheet xmlns="http://schemas.openxmlformats.org/spreadsheetml/2006/main">
  <sheetPr codeName="工作表37">
    <tabColor rgb="FF92D050"/>
    <outlinePr summaryBelow="1" summaryRight="1"/>
    <pageSetUpPr/>
  </sheetPr>
  <dimension ref="A1:G6"/>
  <sheetViews>
    <sheetView topLeftCell="E1" workbookViewId="0">
      <selection activeCell="E5" sqref="E5"/>
    </sheetView>
  </sheetViews>
  <sheetFormatPr baseColWidth="8" defaultRowHeight="16.5"/>
  <cols>
    <col width="30" customWidth="1" style="599" min="1" max="1"/>
    <col width="17.75" customWidth="1" style="599" min="2" max="2"/>
    <col width="47.875" customWidth="1" style="599" min="3" max="3"/>
    <col width="9" customWidth="1" style="599" min="4" max="4"/>
    <col width="38.875" customWidth="1" style="599" min="5" max="5"/>
    <col width="35.75" customWidth="1" style="599" min="6" max="6"/>
    <col width="40" customWidth="1" style="599" min="7" max="7"/>
    <col width="9" customWidth="1" style="599" min="8" max="8"/>
    <col width="9" customWidth="1" style="599" min="9" max="16384"/>
  </cols>
  <sheetData>
    <row r="1" ht="57.75" customHeight="1" s="680">
      <c r="A1" s="51" t="inlineStr">
        <is>
          <t>壹、案由部分
一般刑案:
案由請輸入:時間+查獲犯嫌+涉嫌罪名，工作得力(工作辛勞得力) 
查獲通緝犯:
案由請輸入: 時間+查獲罪名通緝犯+嫌犯，工作得力</t>
        </is>
      </c>
      <c r="B1" s="51" t="inlineStr">
        <is>
          <t>貳、移送書文號請務必填寫</t>
        </is>
      </c>
      <c r="C1" s="51" t="inlineStr">
        <is>
          <t>參、陳報內容
請敘述時間，人名(全名含嫌疑人及被害人)、事件</t>
        </is>
      </c>
      <c r="E1" s="599" t="inlineStr">
        <is>
          <t>案摘</t>
        </is>
      </c>
    </row>
    <row r="2" ht="76.5" customHeight="1" s="680">
      <c r="A2" s="599">
        <f>CONCATENATE(,LEFT(下拉用!$J$12,10),"查獲",呈報單!$G$15,"犯",_xlfn.TEXTJOIN("、",TRUE,下拉用!$Q$2:$Q$11),"，工作辛勞得力")</f>
        <v/>
      </c>
      <c r="B2" s="599">
        <f>CONCATENATE(,"北市警信分刑字第",word用!$V$2,"號")</f>
        <v/>
      </c>
      <c r="C2" s="599">
        <f>輸入!$T$8</f>
        <v/>
      </c>
      <c r="E2" s="598">
        <f>CONCATENATE(輸入!$S$20,"所報告
一、受理案由：",呈報單!$G$15,"(受理)
二、發生時間：",下拉用!J2,"
三、發生地點：",輸入!$C$7,"
四、報案時間：",下拉用!J4,"
五、案情摘要：
報案人",下拉用!$E$11,輸入!$C$5,"
六、後續處置：
（一）依規定陳報（證明單號：",word用!$U$2,")
（二）本案管轄：
（三）處理員警：警員 ",輸入!$O$8,"。
七、上傳PDF：已完成；卷宗送批：已完成。")</f>
        <v/>
      </c>
      <c r="F2" s="598">
        <f>CONCATENATE(輸入!$S$20,"所報告
一、受理案由：",呈報單!$G$15,"(破獲)
二、發生時間：",下拉用!J2,"
三、發生地點：",輸入!$C$7,"
四、報案時間：",下拉用!J4,"
五、破獲時間：",下拉用!J5,"
六、案情摘要：
報案人",下拉用!$E$11,輸入!$C$5,"
七、後續處置：
（一）依規定陳報（證明單號：",word用!$U$2,")
（二）警方依規定受理後，調閱店家及公家道路監視器影像，尋線找到嫌疑人並聯繫嫌疑人",下拉用!$F$10,"至所說明，",LEFT(下拉用!$C$10,1),"嫌於警詢筆錄中表示",輸入!$C$3,"，其他內容詳如筆錄，函送偵查隊續辦。
（三）處理員警",輸入!$O$8,"。
八、上傳PDF：已完成；卷宗送批：已完成。")</f>
        <v/>
      </c>
      <c r="G2" s="598">
        <f>CONCATENATE(輸入!$S$20,"所報告
一、查獲案由：",呈報單!$G$15,"(破獲)
二、查獲時間：",MID(輸入!$C$11,4,4),"/",RIGHT(輸入!$C$11,4),"
三、查獲地點：",輸入!$C$7,"
四、案情摘要：
",呈報單!$F$16,"
五、處理員警",輸入!$O$8,"。
六、上傳PDF：已完成；卷宗送批：已完成。")</f>
        <v/>
      </c>
    </row>
    <row r="3" ht="80.25" customHeight="1" s="680">
      <c r="A3" s="599">
        <f>CONCATENATE(,LEFT(下拉用!$J$13,10),"查獲",呈報單!$G$15,"犯",_xlfn.TEXTJOIN("、",TRUE,下拉用!$Q$2:$Q$11),"，工作辛勞得力")</f>
        <v/>
      </c>
      <c r="B3" s="599">
        <f>CONCATENATE(,"北市警信分刑字第",word用!$V$2,"號")</f>
        <v/>
      </c>
      <c r="C3" s="599">
        <f>IF(AND(輸入!$C$11="",輸入!$E$2=下拉用!$D$2),下拉用!$A$8,
IF(AND(輸入!$C$11="",輸入!$E$2=下拉用!$D$3),下拉用!$B$8,
IF(AND(輸入!$C$11&lt;&gt;"",輸入!$E$2=下拉用!$D$2),下拉用!$A$7,
IF(AND(輸入!$C$11&lt;&gt;"",輸入!$E$2=下拉用!$D$3),下拉用!$B$7,""))))</f>
        <v/>
      </c>
    </row>
    <row r="4" ht="258" customHeight="1" s="680"/>
    <row r="5">
      <c r="E5" s="599">
        <f>CONCATENATE(LEFT(輸入!$C$10,7),下拉用!$D$11,"所報",輸入!$C$2,"案(",輸入!$O$8,")")</f>
        <v/>
      </c>
      <c r="G5" s="599">
        <f>CONCATENATE(LEFT(輸入!$C$10,7),下拉用!$D$10,"涉嫌",輸入!$C$2,"案(",輸入!$O$8,")")</f>
        <v/>
      </c>
    </row>
    <row r="6" ht="33" customHeight="1" s="680">
      <c r="E6" s="599">
        <f>CONCATENATE(LEFT(輸入!$C$10,7),下拉用!$D$11,"所報",輸入!$C$2,"案(",word用!$U$2,")")</f>
        <v/>
      </c>
    </row>
  </sheetData>
  <mergeCells count="3">
    <mergeCell ref="F2:F4"/>
    <mergeCell ref="E2:E4"/>
    <mergeCell ref="G2:G4"/>
  </mergeCells>
  <pageMargins left="0.7" right="0.7" top="0.75" bottom="0.75" header="0.3" footer="0.3"/>
</worksheet>
</file>

<file path=xl/worksheets/sheet6.xml><?xml version="1.0" encoding="utf-8"?>
<worksheet xmlns="http://schemas.openxmlformats.org/spreadsheetml/2006/main">
  <sheetPr codeName="工作表49">
    <outlinePr summaryBelow="1" summaryRight="1"/>
    <pageSetUpPr/>
  </sheetPr>
  <dimension ref="B2:AB32"/>
  <sheetViews>
    <sheetView view="pageLayout" topLeftCell="A19" zoomScaleNormal="100" workbookViewId="0">
      <selection activeCell="F21" sqref="F21:AB22"/>
    </sheetView>
  </sheetViews>
  <sheetFormatPr baseColWidth="8" defaultColWidth="3" defaultRowHeight="16.5"/>
  <cols>
    <col width="3" customWidth="1" style="610" min="1" max="2"/>
    <col width="4.625" customWidth="1" style="610" min="3" max="3"/>
    <col width="3.5" customWidth="1" style="610" min="4" max="4"/>
    <col width="3.25" customWidth="1" style="610" min="5" max="5"/>
    <col width="3" customWidth="1" style="610" min="6" max="6"/>
    <col width="2.625" customWidth="1" style="610" min="7" max="7"/>
    <col width="3.75" customWidth="1" style="610" min="8" max="8"/>
    <col width="3" customWidth="1" style="610" min="9" max="14"/>
    <col width="2.625" customWidth="1" style="610" min="15" max="15"/>
    <col width="3" customWidth="1" style="610" min="16" max="17"/>
    <col width="2" customWidth="1" style="610" min="18" max="18"/>
    <col width="2.625" customWidth="1" style="610" min="19" max="19"/>
    <col width="3" customWidth="1" style="610" min="20" max="21"/>
    <col width="2.125" customWidth="1" style="610" min="22" max="22"/>
    <col width="2.5" customWidth="1" style="610" min="23" max="23"/>
    <col width="3" customWidth="1" style="610" min="24" max="26"/>
    <col width="5.375" customWidth="1" style="610" min="27" max="27"/>
    <col width="4.375" customWidth="1" style="610" min="28" max="28"/>
    <col width="3" customWidth="1" style="610" min="29" max="259"/>
    <col width="3.5" customWidth="1" style="610" min="260" max="260"/>
    <col width="3" customWidth="1" style="610" min="261" max="274"/>
    <col width="3.75" customWidth="1" style="610" min="275" max="275"/>
    <col width="3" customWidth="1" style="610" min="276" max="282"/>
    <col width="5.375" customWidth="1" style="610" min="283" max="283"/>
    <col width="4.375" customWidth="1" style="610" min="284" max="284"/>
    <col width="3" customWidth="1" style="610" min="285" max="515"/>
    <col width="3.5" customWidth="1" style="610" min="516" max="516"/>
    <col width="3" customWidth="1" style="610" min="517" max="530"/>
    <col width="3.75" customWidth="1" style="610" min="531" max="531"/>
    <col width="3" customWidth="1" style="610" min="532" max="538"/>
    <col width="5.375" customWidth="1" style="610" min="539" max="539"/>
    <col width="4.375" customWidth="1" style="610" min="540" max="540"/>
    <col width="3" customWidth="1" style="610" min="541" max="771"/>
    <col width="3.5" customWidth="1" style="610" min="772" max="772"/>
    <col width="3" customWidth="1" style="610" min="773" max="786"/>
    <col width="3.75" customWidth="1" style="610" min="787" max="787"/>
    <col width="3" customWidth="1" style="610" min="788" max="794"/>
    <col width="5.375" customWidth="1" style="610" min="795" max="795"/>
    <col width="4.375" customWidth="1" style="610" min="796" max="796"/>
    <col width="3" customWidth="1" style="610" min="797" max="1027"/>
    <col width="3.5" customWidth="1" style="610" min="1028" max="1028"/>
    <col width="3" customWidth="1" style="610" min="1029" max="1042"/>
    <col width="3.75" customWidth="1" style="610" min="1043" max="1043"/>
    <col width="3" customWidth="1" style="610" min="1044" max="1050"/>
    <col width="5.375" customWidth="1" style="610" min="1051" max="1051"/>
    <col width="4.375" customWidth="1" style="610" min="1052" max="1052"/>
    <col width="3" customWidth="1" style="610" min="1053" max="1283"/>
    <col width="3.5" customWidth="1" style="610" min="1284" max="1284"/>
    <col width="3" customWidth="1" style="610" min="1285" max="1298"/>
    <col width="3.75" customWidth="1" style="610" min="1299" max="1299"/>
    <col width="3" customWidth="1" style="610" min="1300" max="1306"/>
    <col width="5.375" customWidth="1" style="610" min="1307" max="1307"/>
    <col width="4.375" customWidth="1" style="610" min="1308" max="1308"/>
    <col width="3" customWidth="1" style="610" min="1309" max="1539"/>
    <col width="3.5" customWidth="1" style="610" min="1540" max="1540"/>
    <col width="3" customWidth="1" style="610" min="1541" max="1554"/>
    <col width="3.75" customWidth="1" style="610" min="1555" max="1555"/>
    <col width="3" customWidth="1" style="610" min="1556" max="1562"/>
    <col width="5.375" customWidth="1" style="610" min="1563" max="1563"/>
    <col width="4.375" customWidth="1" style="610" min="1564" max="1564"/>
    <col width="3" customWidth="1" style="610" min="1565" max="1795"/>
    <col width="3.5" customWidth="1" style="610" min="1796" max="1796"/>
    <col width="3" customWidth="1" style="610" min="1797" max="1810"/>
    <col width="3.75" customWidth="1" style="610" min="1811" max="1811"/>
    <col width="3" customWidth="1" style="610" min="1812" max="1818"/>
    <col width="5.375" customWidth="1" style="610" min="1819" max="1819"/>
    <col width="4.375" customWidth="1" style="610" min="1820" max="1820"/>
    <col width="3" customWidth="1" style="610" min="1821" max="2051"/>
    <col width="3.5" customWidth="1" style="610" min="2052" max="2052"/>
    <col width="3" customWidth="1" style="610" min="2053" max="2066"/>
    <col width="3.75" customWidth="1" style="610" min="2067" max="2067"/>
    <col width="3" customWidth="1" style="610" min="2068" max="2074"/>
    <col width="5.375" customWidth="1" style="610" min="2075" max="2075"/>
    <col width="4.375" customWidth="1" style="610" min="2076" max="2076"/>
    <col width="3" customWidth="1" style="610" min="2077" max="2307"/>
    <col width="3.5" customWidth="1" style="610" min="2308" max="2308"/>
    <col width="3" customWidth="1" style="610" min="2309" max="2322"/>
    <col width="3.75" customWidth="1" style="610" min="2323" max="2323"/>
    <col width="3" customWidth="1" style="610" min="2324" max="2330"/>
    <col width="5.375" customWidth="1" style="610" min="2331" max="2331"/>
    <col width="4.375" customWidth="1" style="610" min="2332" max="2332"/>
    <col width="3" customWidth="1" style="610" min="2333" max="2563"/>
    <col width="3.5" customWidth="1" style="610" min="2564" max="2564"/>
    <col width="3" customWidth="1" style="610" min="2565" max="2578"/>
    <col width="3.75" customWidth="1" style="610" min="2579" max="2579"/>
    <col width="3" customWidth="1" style="610" min="2580" max="2586"/>
    <col width="5.375" customWidth="1" style="610" min="2587" max="2587"/>
    <col width="4.375" customWidth="1" style="610" min="2588" max="2588"/>
    <col width="3" customWidth="1" style="610" min="2589" max="2819"/>
    <col width="3.5" customWidth="1" style="610" min="2820" max="2820"/>
    <col width="3" customWidth="1" style="610" min="2821" max="2834"/>
    <col width="3.75" customWidth="1" style="610" min="2835" max="2835"/>
    <col width="3" customWidth="1" style="610" min="2836" max="2842"/>
    <col width="5.375" customWidth="1" style="610" min="2843" max="2843"/>
    <col width="4.375" customWidth="1" style="610" min="2844" max="2844"/>
    <col width="3" customWidth="1" style="610" min="2845" max="3075"/>
    <col width="3.5" customWidth="1" style="610" min="3076" max="3076"/>
    <col width="3" customWidth="1" style="610" min="3077" max="3090"/>
    <col width="3.75" customWidth="1" style="610" min="3091" max="3091"/>
    <col width="3" customWidth="1" style="610" min="3092" max="3098"/>
    <col width="5.375" customWidth="1" style="610" min="3099" max="3099"/>
    <col width="4.375" customWidth="1" style="610" min="3100" max="3100"/>
    <col width="3" customWidth="1" style="610" min="3101" max="3331"/>
    <col width="3.5" customWidth="1" style="610" min="3332" max="3332"/>
    <col width="3" customWidth="1" style="610" min="3333" max="3346"/>
    <col width="3.75" customWidth="1" style="610" min="3347" max="3347"/>
    <col width="3" customWidth="1" style="610" min="3348" max="3354"/>
    <col width="5.375" customWidth="1" style="610" min="3355" max="3355"/>
    <col width="4.375" customWidth="1" style="610" min="3356" max="3356"/>
    <col width="3" customWidth="1" style="610" min="3357" max="3587"/>
    <col width="3.5" customWidth="1" style="610" min="3588" max="3588"/>
    <col width="3" customWidth="1" style="610" min="3589" max="3602"/>
    <col width="3.75" customWidth="1" style="610" min="3603" max="3603"/>
    <col width="3" customWidth="1" style="610" min="3604" max="3610"/>
    <col width="5.375" customWidth="1" style="610" min="3611" max="3611"/>
    <col width="4.375" customWidth="1" style="610" min="3612" max="3612"/>
    <col width="3" customWidth="1" style="610" min="3613" max="3843"/>
    <col width="3.5" customWidth="1" style="610" min="3844" max="3844"/>
    <col width="3" customWidth="1" style="610" min="3845" max="3858"/>
    <col width="3.75" customWidth="1" style="610" min="3859" max="3859"/>
    <col width="3" customWidth="1" style="610" min="3860" max="3866"/>
    <col width="5.375" customWidth="1" style="610" min="3867" max="3867"/>
    <col width="4.375" customWidth="1" style="610" min="3868" max="3868"/>
    <col width="3" customWidth="1" style="610" min="3869" max="4099"/>
    <col width="3.5" customWidth="1" style="610" min="4100" max="4100"/>
    <col width="3" customWidth="1" style="610" min="4101" max="4114"/>
    <col width="3.75" customWidth="1" style="610" min="4115" max="4115"/>
    <col width="3" customWidth="1" style="610" min="4116" max="4122"/>
    <col width="5.375" customWidth="1" style="610" min="4123" max="4123"/>
    <col width="4.375" customWidth="1" style="610" min="4124" max="4124"/>
    <col width="3" customWidth="1" style="610" min="4125" max="4355"/>
    <col width="3.5" customWidth="1" style="610" min="4356" max="4356"/>
    <col width="3" customWidth="1" style="610" min="4357" max="4370"/>
    <col width="3.75" customWidth="1" style="610" min="4371" max="4371"/>
    <col width="3" customWidth="1" style="610" min="4372" max="4378"/>
    <col width="5.375" customWidth="1" style="610" min="4379" max="4379"/>
    <col width="4.375" customWidth="1" style="610" min="4380" max="4380"/>
    <col width="3" customWidth="1" style="610" min="4381" max="4611"/>
    <col width="3.5" customWidth="1" style="610" min="4612" max="4612"/>
    <col width="3" customWidth="1" style="610" min="4613" max="4626"/>
    <col width="3.75" customWidth="1" style="610" min="4627" max="4627"/>
    <col width="3" customWidth="1" style="610" min="4628" max="4634"/>
    <col width="5.375" customWidth="1" style="610" min="4635" max="4635"/>
    <col width="4.375" customWidth="1" style="610" min="4636" max="4636"/>
    <col width="3" customWidth="1" style="610" min="4637" max="4867"/>
    <col width="3.5" customWidth="1" style="610" min="4868" max="4868"/>
    <col width="3" customWidth="1" style="610" min="4869" max="4882"/>
    <col width="3.75" customWidth="1" style="610" min="4883" max="4883"/>
    <col width="3" customWidth="1" style="610" min="4884" max="4890"/>
    <col width="5.375" customWidth="1" style="610" min="4891" max="4891"/>
    <col width="4.375" customWidth="1" style="610" min="4892" max="4892"/>
    <col width="3" customWidth="1" style="610" min="4893" max="5123"/>
    <col width="3.5" customWidth="1" style="610" min="5124" max="5124"/>
    <col width="3" customWidth="1" style="610" min="5125" max="5138"/>
    <col width="3.75" customWidth="1" style="610" min="5139" max="5139"/>
    <col width="3" customWidth="1" style="610" min="5140" max="5146"/>
    <col width="5.375" customWidth="1" style="610" min="5147" max="5147"/>
    <col width="4.375" customWidth="1" style="610" min="5148" max="5148"/>
    <col width="3" customWidth="1" style="610" min="5149" max="5379"/>
    <col width="3.5" customWidth="1" style="610" min="5380" max="5380"/>
    <col width="3" customWidth="1" style="610" min="5381" max="5394"/>
    <col width="3.75" customWidth="1" style="610" min="5395" max="5395"/>
    <col width="3" customWidth="1" style="610" min="5396" max="5402"/>
    <col width="5.375" customWidth="1" style="610" min="5403" max="5403"/>
    <col width="4.375" customWidth="1" style="610" min="5404" max="5404"/>
    <col width="3" customWidth="1" style="610" min="5405" max="5635"/>
    <col width="3.5" customWidth="1" style="610" min="5636" max="5636"/>
    <col width="3" customWidth="1" style="610" min="5637" max="5650"/>
    <col width="3.75" customWidth="1" style="610" min="5651" max="5651"/>
    <col width="3" customWidth="1" style="610" min="5652" max="5658"/>
    <col width="5.375" customWidth="1" style="610" min="5659" max="5659"/>
    <col width="4.375" customWidth="1" style="610" min="5660" max="5660"/>
    <col width="3" customWidth="1" style="610" min="5661" max="5891"/>
    <col width="3.5" customWidth="1" style="610" min="5892" max="5892"/>
    <col width="3" customWidth="1" style="610" min="5893" max="5906"/>
    <col width="3.75" customWidth="1" style="610" min="5907" max="5907"/>
    <col width="3" customWidth="1" style="610" min="5908" max="5914"/>
    <col width="5.375" customWidth="1" style="610" min="5915" max="5915"/>
    <col width="4.375" customWidth="1" style="610" min="5916" max="5916"/>
    <col width="3" customWidth="1" style="610" min="5917" max="6147"/>
    <col width="3.5" customWidth="1" style="610" min="6148" max="6148"/>
    <col width="3" customWidth="1" style="610" min="6149" max="6162"/>
    <col width="3.75" customWidth="1" style="610" min="6163" max="6163"/>
    <col width="3" customWidth="1" style="610" min="6164" max="6170"/>
    <col width="5.375" customWidth="1" style="610" min="6171" max="6171"/>
    <col width="4.375" customWidth="1" style="610" min="6172" max="6172"/>
    <col width="3" customWidth="1" style="610" min="6173" max="6403"/>
    <col width="3.5" customWidth="1" style="610" min="6404" max="6404"/>
    <col width="3" customWidth="1" style="610" min="6405" max="6418"/>
    <col width="3.75" customWidth="1" style="610" min="6419" max="6419"/>
    <col width="3" customWidth="1" style="610" min="6420" max="6426"/>
    <col width="5.375" customWidth="1" style="610" min="6427" max="6427"/>
    <col width="4.375" customWidth="1" style="610" min="6428" max="6428"/>
    <col width="3" customWidth="1" style="610" min="6429" max="6659"/>
    <col width="3.5" customWidth="1" style="610" min="6660" max="6660"/>
    <col width="3" customWidth="1" style="610" min="6661" max="6674"/>
    <col width="3.75" customWidth="1" style="610" min="6675" max="6675"/>
    <col width="3" customWidth="1" style="610" min="6676" max="6682"/>
    <col width="5.375" customWidth="1" style="610" min="6683" max="6683"/>
    <col width="4.375" customWidth="1" style="610" min="6684" max="6684"/>
    <col width="3" customWidth="1" style="610" min="6685" max="6915"/>
    <col width="3.5" customWidth="1" style="610" min="6916" max="6916"/>
    <col width="3" customWidth="1" style="610" min="6917" max="6930"/>
    <col width="3.75" customWidth="1" style="610" min="6931" max="6931"/>
    <col width="3" customWidth="1" style="610" min="6932" max="6938"/>
    <col width="5.375" customWidth="1" style="610" min="6939" max="6939"/>
    <col width="4.375" customWidth="1" style="610" min="6940" max="6940"/>
    <col width="3" customWidth="1" style="610" min="6941" max="7171"/>
    <col width="3.5" customWidth="1" style="610" min="7172" max="7172"/>
    <col width="3" customWidth="1" style="610" min="7173" max="7186"/>
    <col width="3.75" customWidth="1" style="610" min="7187" max="7187"/>
    <col width="3" customWidth="1" style="610" min="7188" max="7194"/>
    <col width="5.375" customWidth="1" style="610" min="7195" max="7195"/>
    <col width="4.375" customWidth="1" style="610" min="7196" max="7196"/>
    <col width="3" customWidth="1" style="610" min="7197" max="7427"/>
    <col width="3.5" customWidth="1" style="610" min="7428" max="7428"/>
    <col width="3" customWidth="1" style="610" min="7429" max="7442"/>
    <col width="3.75" customWidth="1" style="610" min="7443" max="7443"/>
    <col width="3" customWidth="1" style="610" min="7444" max="7450"/>
    <col width="5.375" customWidth="1" style="610" min="7451" max="7451"/>
    <col width="4.375" customWidth="1" style="610" min="7452" max="7452"/>
    <col width="3" customWidth="1" style="610" min="7453" max="7683"/>
    <col width="3.5" customWidth="1" style="610" min="7684" max="7684"/>
    <col width="3" customWidth="1" style="610" min="7685" max="7698"/>
    <col width="3.75" customWidth="1" style="610" min="7699" max="7699"/>
    <col width="3" customWidth="1" style="610" min="7700" max="7706"/>
    <col width="5.375" customWidth="1" style="610" min="7707" max="7707"/>
    <col width="4.375" customWidth="1" style="610" min="7708" max="7708"/>
    <col width="3" customWidth="1" style="610" min="7709" max="7939"/>
    <col width="3.5" customWidth="1" style="610" min="7940" max="7940"/>
    <col width="3" customWidth="1" style="610" min="7941" max="7954"/>
    <col width="3.75" customWidth="1" style="610" min="7955" max="7955"/>
    <col width="3" customWidth="1" style="610" min="7956" max="7962"/>
    <col width="5.375" customWidth="1" style="610" min="7963" max="7963"/>
    <col width="4.375" customWidth="1" style="610" min="7964" max="7964"/>
    <col width="3" customWidth="1" style="610" min="7965" max="8195"/>
    <col width="3.5" customWidth="1" style="610" min="8196" max="8196"/>
    <col width="3" customWidth="1" style="610" min="8197" max="8210"/>
    <col width="3.75" customWidth="1" style="610" min="8211" max="8211"/>
    <col width="3" customWidth="1" style="610" min="8212" max="8218"/>
    <col width="5.375" customWidth="1" style="610" min="8219" max="8219"/>
    <col width="4.375" customWidth="1" style="610" min="8220" max="8220"/>
    <col width="3" customWidth="1" style="610" min="8221" max="8451"/>
    <col width="3.5" customWidth="1" style="610" min="8452" max="8452"/>
    <col width="3" customWidth="1" style="610" min="8453" max="8466"/>
    <col width="3.75" customWidth="1" style="610" min="8467" max="8467"/>
    <col width="3" customWidth="1" style="610" min="8468" max="8474"/>
    <col width="5.375" customWidth="1" style="610" min="8475" max="8475"/>
    <col width="4.375" customWidth="1" style="610" min="8476" max="8476"/>
    <col width="3" customWidth="1" style="610" min="8477" max="8707"/>
    <col width="3.5" customWidth="1" style="610" min="8708" max="8708"/>
    <col width="3" customWidth="1" style="610" min="8709" max="8722"/>
    <col width="3.75" customWidth="1" style="610" min="8723" max="8723"/>
    <col width="3" customWidth="1" style="610" min="8724" max="8730"/>
    <col width="5.375" customWidth="1" style="610" min="8731" max="8731"/>
    <col width="4.375" customWidth="1" style="610" min="8732" max="8732"/>
    <col width="3" customWidth="1" style="610" min="8733" max="8963"/>
    <col width="3.5" customWidth="1" style="610" min="8964" max="8964"/>
    <col width="3" customWidth="1" style="610" min="8965" max="8978"/>
    <col width="3.75" customWidth="1" style="610" min="8979" max="8979"/>
    <col width="3" customWidth="1" style="610" min="8980" max="8986"/>
    <col width="5.375" customWidth="1" style="610" min="8987" max="8987"/>
    <col width="4.375" customWidth="1" style="610" min="8988" max="8988"/>
    <col width="3" customWidth="1" style="610" min="8989" max="9219"/>
    <col width="3.5" customWidth="1" style="610" min="9220" max="9220"/>
    <col width="3" customWidth="1" style="610" min="9221" max="9234"/>
    <col width="3.75" customWidth="1" style="610" min="9235" max="9235"/>
    <col width="3" customWidth="1" style="610" min="9236" max="9242"/>
    <col width="5.375" customWidth="1" style="610" min="9243" max="9243"/>
    <col width="4.375" customWidth="1" style="610" min="9244" max="9244"/>
    <col width="3" customWidth="1" style="610" min="9245" max="9475"/>
    <col width="3.5" customWidth="1" style="610" min="9476" max="9476"/>
    <col width="3" customWidth="1" style="610" min="9477" max="9490"/>
    <col width="3.75" customWidth="1" style="610" min="9491" max="9491"/>
    <col width="3" customWidth="1" style="610" min="9492" max="9498"/>
    <col width="5.375" customWidth="1" style="610" min="9499" max="9499"/>
    <col width="4.375" customWidth="1" style="610" min="9500" max="9500"/>
    <col width="3" customWidth="1" style="610" min="9501" max="9731"/>
    <col width="3.5" customWidth="1" style="610" min="9732" max="9732"/>
    <col width="3" customWidth="1" style="610" min="9733" max="9746"/>
    <col width="3.75" customWidth="1" style="610" min="9747" max="9747"/>
    <col width="3" customWidth="1" style="610" min="9748" max="9754"/>
    <col width="5.375" customWidth="1" style="610" min="9755" max="9755"/>
    <col width="4.375" customWidth="1" style="610" min="9756" max="9756"/>
    <col width="3" customWidth="1" style="610" min="9757" max="9987"/>
    <col width="3.5" customWidth="1" style="610" min="9988" max="9988"/>
    <col width="3" customWidth="1" style="610" min="9989" max="10002"/>
    <col width="3.75" customWidth="1" style="610" min="10003" max="10003"/>
    <col width="3" customWidth="1" style="610" min="10004" max="10010"/>
    <col width="5.375" customWidth="1" style="610" min="10011" max="10011"/>
    <col width="4.375" customWidth="1" style="610" min="10012" max="10012"/>
    <col width="3" customWidth="1" style="610" min="10013" max="10243"/>
    <col width="3.5" customWidth="1" style="610" min="10244" max="10244"/>
    <col width="3" customWidth="1" style="610" min="10245" max="10258"/>
    <col width="3.75" customWidth="1" style="610" min="10259" max="10259"/>
    <col width="3" customWidth="1" style="610" min="10260" max="10266"/>
    <col width="5.375" customWidth="1" style="610" min="10267" max="10267"/>
    <col width="4.375" customWidth="1" style="610" min="10268" max="10268"/>
    <col width="3" customWidth="1" style="610" min="10269" max="10499"/>
    <col width="3.5" customWidth="1" style="610" min="10500" max="10500"/>
    <col width="3" customWidth="1" style="610" min="10501" max="10514"/>
    <col width="3.75" customWidth="1" style="610" min="10515" max="10515"/>
    <col width="3" customWidth="1" style="610" min="10516" max="10522"/>
    <col width="5.375" customWidth="1" style="610" min="10523" max="10523"/>
    <col width="4.375" customWidth="1" style="610" min="10524" max="10524"/>
    <col width="3" customWidth="1" style="610" min="10525" max="10755"/>
    <col width="3.5" customWidth="1" style="610" min="10756" max="10756"/>
    <col width="3" customWidth="1" style="610" min="10757" max="10770"/>
    <col width="3.75" customWidth="1" style="610" min="10771" max="10771"/>
    <col width="3" customWidth="1" style="610" min="10772" max="10778"/>
    <col width="5.375" customWidth="1" style="610" min="10779" max="10779"/>
    <col width="4.375" customWidth="1" style="610" min="10780" max="10780"/>
    <col width="3" customWidth="1" style="610" min="10781" max="11011"/>
    <col width="3.5" customWidth="1" style="610" min="11012" max="11012"/>
    <col width="3" customWidth="1" style="610" min="11013" max="11026"/>
    <col width="3.75" customWidth="1" style="610" min="11027" max="11027"/>
    <col width="3" customWidth="1" style="610" min="11028" max="11034"/>
    <col width="5.375" customWidth="1" style="610" min="11035" max="11035"/>
    <col width="4.375" customWidth="1" style="610" min="11036" max="11036"/>
    <col width="3" customWidth="1" style="610" min="11037" max="11267"/>
    <col width="3.5" customWidth="1" style="610" min="11268" max="11268"/>
    <col width="3" customWidth="1" style="610" min="11269" max="11282"/>
    <col width="3.75" customWidth="1" style="610" min="11283" max="11283"/>
    <col width="3" customWidth="1" style="610" min="11284" max="11290"/>
    <col width="5.375" customWidth="1" style="610" min="11291" max="11291"/>
    <col width="4.375" customWidth="1" style="610" min="11292" max="11292"/>
    <col width="3" customWidth="1" style="610" min="11293" max="11523"/>
    <col width="3.5" customWidth="1" style="610" min="11524" max="11524"/>
    <col width="3" customWidth="1" style="610" min="11525" max="11538"/>
    <col width="3.75" customWidth="1" style="610" min="11539" max="11539"/>
    <col width="3" customWidth="1" style="610" min="11540" max="11546"/>
    <col width="5.375" customWidth="1" style="610" min="11547" max="11547"/>
    <col width="4.375" customWidth="1" style="610" min="11548" max="11548"/>
    <col width="3" customWidth="1" style="610" min="11549" max="11779"/>
    <col width="3.5" customWidth="1" style="610" min="11780" max="11780"/>
    <col width="3" customWidth="1" style="610" min="11781" max="11794"/>
    <col width="3.75" customWidth="1" style="610" min="11795" max="11795"/>
    <col width="3" customWidth="1" style="610" min="11796" max="11802"/>
    <col width="5.375" customWidth="1" style="610" min="11803" max="11803"/>
    <col width="4.375" customWidth="1" style="610" min="11804" max="11804"/>
    <col width="3" customWidth="1" style="610" min="11805" max="12035"/>
    <col width="3.5" customWidth="1" style="610" min="12036" max="12036"/>
    <col width="3" customWidth="1" style="610" min="12037" max="12050"/>
    <col width="3.75" customWidth="1" style="610" min="12051" max="12051"/>
    <col width="3" customWidth="1" style="610" min="12052" max="12058"/>
    <col width="5.375" customWidth="1" style="610" min="12059" max="12059"/>
    <col width="4.375" customWidth="1" style="610" min="12060" max="12060"/>
    <col width="3" customWidth="1" style="610" min="12061" max="12291"/>
    <col width="3.5" customWidth="1" style="610" min="12292" max="12292"/>
    <col width="3" customWidth="1" style="610" min="12293" max="12306"/>
    <col width="3.75" customWidth="1" style="610" min="12307" max="12307"/>
    <col width="3" customWidth="1" style="610" min="12308" max="12314"/>
    <col width="5.375" customWidth="1" style="610" min="12315" max="12315"/>
    <col width="4.375" customWidth="1" style="610" min="12316" max="12316"/>
    <col width="3" customWidth="1" style="610" min="12317" max="12547"/>
    <col width="3.5" customWidth="1" style="610" min="12548" max="12548"/>
    <col width="3" customWidth="1" style="610" min="12549" max="12562"/>
    <col width="3.75" customWidth="1" style="610" min="12563" max="12563"/>
    <col width="3" customWidth="1" style="610" min="12564" max="12570"/>
    <col width="5.375" customWidth="1" style="610" min="12571" max="12571"/>
    <col width="4.375" customWidth="1" style="610" min="12572" max="12572"/>
    <col width="3" customWidth="1" style="610" min="12573" max="12803"/>
    <col width="3.5" customWidth="1" style="610" min="12804" max="12804"/>
    <col width="3" customWidth="1" style="610" min="12805" max="12818"/>
    <col width="3.75" customWidth="1" style="610" min="12819" max="12819"/>
    <col width="3" customWidth="1" style="610" min="12820" max="12826"/>
    <col width="5.375" customWidth="1" style="610" min="12827" max="12827"/>
    <col width="4.375" customWidth="1" style="610" min="12828" max="12828"/>
    <col width="3" customWidth="1" style="610" min="12829" max="13059"/>
    <col width="3.5" customWidth="1" style="610" min="13060" max="13060"/>
    <col width="3" customWidth="1" style="610" min="13061" max="13074"/>
    <col width="3.75" customWidth="1" style="610" min="13075" max="13075"/>
    <col width="3" customWidth="1" style="610" min="13076" max="13082"/>
    <col width="5.375" customWidth="1" style="610" min="13083" max="13083"/>
    <col width="4.375" customWidth="1" style="610" min="13084" max="13084"/>
    <col width="3" customWidth="1" style="610" min="13085" max="13315"/>
    <col width="3.5" customWidth="1" style="610" min="13316" max="13316"/>
    <col width="3" customWidth="1" style="610" min="13317" max="13330"/>
    <col width="3.75" customWidth="1" style="610" min="13331" max="13331"/>
    <col width="3" customWidth="1" style="610" min="13332" max="13338"/>
    <col width="5.375" customWidth="1" style="610" min="13339" max="13339"/>
    <col width="4.375" customWidth="1" style="610" min="13340" max="13340"/>
    <col width="3" customWidth="1" style="610" min="13341" max="13571"/>
    <col width="3.5" customWidth="1" style="610" min="13572" max="13572"/>
    <col width="3" customWidth="1" style="610" min="13573" max="13586"/>
    <col width="3.75" customWidth="1" style="610" min="13587" max="13587"/>
    <col width="3" customWidth="1" style="610" min="13588" max="13594"/>
    <col width="5.375" customWidth="1" style="610" min="13595" max="13595"/>
    <col width="4.375" customWidth="1" style="610" min="13596" max="13596"/>
    <col width="3" customWidth="1" style="610" min="13597" max="13827"/>
    <col width="3.5" customWidth="1" style="610" min="13828" max="13828"/>
    <col width="3" customWidth="1" style="610" min="13829" max="13842"/>
    <col width="3.75" customWidth="1" style="610" min="13843" max="13843"/>
    <col width="3" customWidth="1" style="610" min="13844" max="13850"/>
    <col width="5.375" customWidth="1" style="610" min="13851" max="13851"/>
    <col width="4.375" customWidth="1" style="610" min="13852" max="13852"/>
    <col width="3" customWidth="1" style="610" min="13853" max="14083"/>
    <col width="3.5" customWidth="1" style="610" min="14084" max="14084"/>
    <col width="3" customWidth="1" style="610" min="14085" max="14098"/>
    <col width="3.75" customWidth="1" style="610" min="14099" max="14099"/>
    <col width="3" customWidth="1" style="610" min="14100" max="14106"/>
    <col width="5.375" customWidth="1" style="610" min="14107" max="14107"/>
    <col width="4.375" customWidth="1" style="610" min="14108" max="14108"/>
    <col width="3" customWidth="1" style="610" min="14109" max="14339"/>
    <col width="3.5" customWidth="1" style="610" min="14340" max="14340"/>
    <col width="3" customWidth="1" style="610" min="14341" max="14354"/>
    <col width="3.75" customWidth="1" style="610" min="14355" max="14355"/>
    <col width="3" customWidth="1" style="610" min="14356" max="14362"/>
    <col width="5.375" customWidth="1" style="610" min="14363" max="14363"/>
    <col width="4.375" customWidth="1" style="610" min="14364" max="14364"/>
    <col width="3" customWidth="1" style="610" min="14365" max="14595"/>
    <col width="3.5" customWidth="1" style="610" min="14596" max="14596"/>
    <col width="3" customWidth="1" style="610" min="14597" max="14610"/>
    <col width="3.75" customWidth="1" style="610" min="14611" max="14611"/>
    <col width="3" customWidth="1" style="610" min="14612" max="14618"/>
    <col width="5.375" customWidth="1" style="610" min="14619" max="14619"/>
    <col width="4.375" customWidth="1" style="610" min="14620" max="14620"/>
    <col width="3" customWidth="1" style="610" min="14621" max="14851"/>
    <col width="3.5" customWidth="1" style="610" min="14852" max="14852"/>
    <col width="3" customWidth="1" style="610" min="14853" max="14866"/>
    <col width="3.75" customWidth="1" style="610" min="14867" max="14867"/>
    <col width="3" customWidth="1" style="610" min="14868" max="14874"/>
    <col width="5.375" customWidth="1" style="610" min="14875" max="14875"/>
    <col width="4.375" customWidth="1" style="610" min="14876" max="14876"/>
    <col width="3" customWidth="1" style="610" min="14877" max="15107"/>
    <col width="3.5" customWidth="1" style="610" min="15108" max="15108"/>
    <col width="3" customWidth="1" style="610" min="15109" max="15122"/>
    <col width="3.75" customWidth="1" style="610" min="15123" max="15123"/>
    <col width="3" customWidth="1" style="610" min="15124" max="15130"/>
    <col width="5.375" customWidth="1" style="610" min="15131" max="15131"/>
    <col width="4.375" customWidth="1" style="610" min="15132" max="15132"/>
    <col width="3" customWidth="1" style="610" min="15133" max="15363"/>
    <col width="3.5" customWidth="1" style="610" min="15364" max="15364"/>
    <col width="3" customWidth="1" style="610" min="15365" max="15378"/>
    <col width="3.75" customWidth="1" style="610" min="15379" max="15379"/>
    <col width="3" customWidth="1" style="610" min="15380" max="15386"/>
    <col width="5.375" customWidth="1" style="610" min="15387" max="15387"/>
    <col width="4.375" customWidth="1" style="610" min="15388" max="15388"/>
    <col width="3" customWidth="1" style="610" min="15389" max="15619"/>
    <col width="3.5" customWidth="1" style="610" min="15620" max="15620"/>
    <col width="3" customWidth="1" style="610" min="15621" max="15634"/>
    <col width="3.75" customWidth="1" style="610" min="15635" max="15635"/>
    <col width="3" customWidth="1" style="610" min="15636" max="15642"/>
    <col width="5.375" customWidth="1" style="610" min="15643" max="15643"/>
    <col width="4.375" customWidth="1" style="610" min="15644" max="15644"/>
    <col width="3" customWidth="1" style="610" min="15645" max="15875"/>
    <col width="3.5" customWidth="1" style="610" min="15876" max="15876"/>
    <col width="3" customWidth="1" style="610" min="15877" max="15890"/>
    <col width="3.75" customWidth="1" style="610" min="15891" max="15891"/>
    <col width="3" customWidth="1" style="610" min="15892" max="15898"/>
    <col width="5.375" customWidth="1" style="610" min="15899" max="15899"/>
    <col width="4.375" customWidth="1" style="610" min="15900" max="15900"/>
    <col width="3" customWidth="1" style="610" min="15901" max="16131"/>
    <col width="3.5" customWidth="1" style="610" min="16132" max="16132"/>
    <col width="3" customWidth="1" style="610" min="16133" max="16146"/>
    <col width="3.75" customWidth="1" style="610" min="16147" max="16147"/>
    <col width="3" customWidth="1" style="610" min="16148" max="16154"/>
    <col width="5.375" customWidth="1" style="610" min="16155" max="16155"/>
    <col width="4.375" customWidth="1" style="610" min="16156" max="16156"/>
    <col width="3" customWidth="1" style="610" min="16157" max="16384"/>
  </cols>
  <sheetData>
    <row r="2" ht="23.25" customHeight="1" s="680">
      <c r="B2" s="367">
        <f>CONCATENATE(輸入!S18,輸入!T18,輸入!S19,輸入!T19,"線上立破通報單")</f>
        <v/>
      </c>
      <c r="C2" s="368" t="n"/>
      <c r="D2" s="368" t="n"/>
      <c r="E2" s="368" t="n"/>
      <c r="F2" s="368" t="n"/>
      <c r="G2" s="368" t="n"/>
      <c r="H2" s="368" t="n"/>
      <c r="I2" s="368" t="n"/>
      <c r="J2" s="368" t="n"/>
      <c r="K2" s="368" t="n"/>
      <c r="L2" s="368" t="n"/>
      <c r="M2" s="368" t="n"/>
      <c r="N2" s="368" t="n"/>
      <c r="O2" s="368" t="n"/>
      <c r="P2" s="368" t="n"/>
      <c r="Q2" s="368" t="n"/>
      <c r="R2" s="368" t="n"/>
      <c r="S2" s="368" t="n"/>
      <c r="T2" s="368" t="n"/>
      <c r="U2" s="618" t="inlineStr">
        <is>
          <t>案號:</t>
        </is>
      </c>
      <c r="V2" s="577" t="n"/>
      <c r="W2" s="574" t="n"/>
      <c r="X2" s="604">
        <f>UPPER(word用!$U$2)</f>
        <v/>
      </c>
      <c r="Y2" s="577" t="n"/>
      <c r="Z2" s="577" t="n"/>
      <c r="AA2" s="577" t="n"/>
      <c r="AB2" s="574" t="n"/>
    </row>
    <row r="3" ht="18.75" customHeight="1" s="680">
      <c r="B3" s="600" t="inlineStr">
        <is>
          <t>發破區分</t>
        </is>
      </c>
      <c r="C3" s="577" t="n"/>
      <c r="D3" s="574" t="n"/>
      <c r="E3" s="600" t="inlineStr">
        <is>
          <t>線上查獲</t>
        </is>
      </c>
      <c r="F3" s="577" t="n"/>
      <c r="G3" s="577" t="n"/>
      <c r="H3" s="574" t="n"/>
      <c r="I3" s="600" t="inlineStr">
        <is>
          <t>主要案類</t>
        </is>
      </c>
      <c r="J3" s="577" t="n"/>
      <c r="K3" s="574" t="n"/>
      <c r="L3" s="604">
        <f>呈報單!$G$15</f>
        <v/>
      </c>
      <c r="M3" s="577" t="n"/>
      <c r="N3" s="577" t="n"/>
      <c r="O3" s="577" t="n"/>
      <c r="P3" s="577" t="n"/>
      <c r="Q3" s="577" t="n"/>
      <c r="R3" s="574" t="n"/>
      <c r="S3" s="600" t="inlineStr">
        <is>
          <t>管轄單位</t>
        </is>
      </c>
      <c r="T3" s="577" t="n"/>
      <c r="U3" s="574" t="n"/>
      <c r="V3" s="604">
        <f>CONCATENATE(輸入!$S$19&amp;輸入!$T$19,CHAR(10),輸入!$S$20&amp;輸入!$T$20)</f>
        <v/>
      </c>
      <c r="W3" s="577" t="n"/>
      <c r="X3" s="577" t="n"/>
      <c r="Y3" s="577" t="n"/>
      <c r="Z3" s="577" t="n"/>
      <c r="AA3" s="577" t="n"/>
      <c r="AB3" s="574" t="n"/>
    </row>
    <row r="4" ht="30" customHeight="1" s="680">
      <c r="B4" s="600" t="inlineStr">
        <is>
          <t>發現經過</t>
        </is>
      </c>
      <c r="C4" s="577" t="n"/>
      <c r="D4" s="574" t="n"/>
      <c r="E4" s="604">
        <f>CONCATENATE(輸入!$K$2,"查獲")</f>
        <v/>
      </c>
      <c r="F4" s="577" t="n"/>
      <c r="G4" s="577" t="n"/>
      <c r="H4" s="574" t="n"/>
      <c r="I4" s="600" t="inlineStr">
        <is>
          <t>偵破線索</t>
        </is>
      </c>
      <c r="J4" s="577" t="n"/>
      <c r="K4" s="574" t="n"/>
      <c r="L4" s="616" t="inlineStr">
        <is>
          <t>線上立即偵破
(嘉凌303)</t>
        </is>
      </c>
      <c r="M4" s="577" t="n"/>
      <c r="N4" s="577" t="n"/>
      <c r="O4" s="577" t="n"/>
      <c r="P4" s="577" t="n"/>
      <c r="Q4" s="577" t="n"/>
      <c r="R4" s="577" t="n"/>
      <c r="S4" s="575" t="inlineStr">
        <is>
          <t>偵辦單位</t>
        </is>
      </c>
      <c r="T4" s="577" t="n"/>
      <c r="U4" s="574" t="n"/>
      <c r="V4" s="575">
        <f>CONCATENATE(輸入!$S$19&amp;輸入!$T$19,CHAR(10),輸入!$S$20&amp;輸入!$T$20)</f>
        <v/>
      </c>
      <c r="W4" s="577" t="n"/>
      <c r="X4" s="577" t="n"/>
      <c r="Y4" s="577" t="n"/>
      <c r="Z4" s="577" t="n"/>
      <c r="AA4" s="577" t="n"/>
      <c r="AB4" s="574" t="n"/>
    </row>
    <row r="5" ht="27" customHeight="1" s="680">
      <c r="B5" s="600" t="inlineStr">
        <is>
          <t>時間</t>
        </is>
      </c>
      <c r="C5" s="574" t="n"/>
      <c r="D5" s="600" t="inlineStr">
        <is>
          <t>年</t>
        </is>
      </c>
      <c r="E5" s="600" t="inlineStr">
        <is>
          <t>月</t>
        </is>
      </c>
      <c r="F5" s="600" t="inlineStr">
        <is>
          <t>日</t>
        </is>
      </c>
      <c r="G5" s="600" t="inlineStr">
        <is>
          <t>時</t>
        </is>
      </c>
      <c r="H5" s="600" t="inlineStr">
        <is>
          <t>分</t>
        </is>
      </c>
      <c r="I5" s="600" t="inlineStr">
        <is>
          <t>地　　　　　　　址</t>
        </is>
      </c>
      <c r="J5" s="577" t="n"/>
      <c r="K5" s="577" t="n"/>
      <c r="L5" s="577" t="n"/>
      <c r="M5" s="577" t="n"/>
      <c r="N5" s="577" t="n"/>
      <c r="O5" s="577" t="n"/>
      <c r="P5" s="577" t="n"/>
      <c r="Q5" s="577" t="n"/>
      <c r="R5" s="577" t="n"/>
      <c r="S5" s="577" t="n"/>
      <c r="T5" s="577" t="n"/>
      <c r="U5" s="577" t="n"/>
      <c r="V5" s="577" t="n"/>
      <c r="W5" s="577" t="n"/>
      <c r="X5" s="577" t="n"/>
      <c r="Y5" s="577" t="n"/>
      <c r="Z5" s="574" t="n"/>
      <c r="AA5" s="617" t="inlineStr">
        <is>
          <t>場所或重要地標</t>
        </is>
      </c>
      <c r="AB5" s="574" t="n"/>
    </row>
    <row r="6" ht="15" customHeight="1" s="680">
      <c r="B6" s="600" t="inlineStr">
        <is>
          <t>發生</t>
        </is>
      </c>
      <c r="C6" s="574" t="n"/>
      <c r="D6" s="604">
        <f>LEFT(輸入!$C$8,3)</f>
        <v/>
      </c>
      <c r="E6" s="604">
        <f>MID(輸入!$C$8,4,2)</f>
        <v/>
      </c>
      <c r="F6" s="604">
        <f>MID(輸入!$C$8,6,2)</f>
        <v/>
      </c>
      <c r="G6" s="604">
        <f>MID(輸入!$C$8,8,2)</f>
        <v/>
      </c>
      <c r="H6" s="604">
        <f>MID(輸入!$C$8,10,2)</f>
        <v/>
      </c>
      <c r="I6" s="604">
        <f>IF(ISBLANK(輸入!$C$8),"",輸入!$C$7)</f>
        <v/>
      </c>
      <c r="J6" s="577" t="n"/>
      <c r="K6" s="577" t="n"/>
      <c r="L6" s="577" t="n"/>
      <c r="M6" s="577" t="n"/>
      <c r="N6" s="577" t="n"/>
      <c r="O6" s="577" t="n"/>
      <c r="P6" s="577" t="n"/>
      <c r="Q6" s="577" t="n"/>
      <c r="R6" s="577" t="n"/>
      <c r="S6" s="577" t="n"/>
      <c r="T6" s="577" t="n"/>
      <c r="U6" s="577" t="n"/>
      <c r="V6" s="577" t="n"/>
      <c r="W6" s="577" t="n"/>
      <c r="X6" s="577" t="n"/>
      <c r="Y6" s="577" t="n"/>
      <c r="Z6" s="574" t="n"/>
      <c r="AA6" s="604">
        <f>IF(ISBLANK(輸入!$C$8),"","街道馬路")</f>
        <v/>
      </c>
      <c r="AB6" s="574" t="n"/>
    </row>
    <row r="7" ht="15.75" customHeight="1" s="680">
      <c r="B7" s="600" t="inlineStr">
        <is>
          <t>發現</t>
        </is>
      </c>
      <c r="C7" s="574" t="n"/>
      <c r="D7" s="604">
        <f>LEFT(輸入!$C$9,3)</f>
        <v/>
      </c>
      <c r="E7" s="604">
        <f>MID(輸入!$C$9,4,2)</f>
        <v/>
      </c>
      <c r="F7" s="604">
        <f>MID(輸入!$C$9,6,2)</f>
        <v/>
      </c>
      <c r="G7" s="604">
        <f>MID(輸入!$C$9,8,2)</f>
        <v/>
      </c>
      <c r="H7" s="604">
        <f>MID(輸入!$C$9,10,2)</f>
        <v/>
      </c>
      <c r="I7" s="604">
        <f>IF(ISBLANK(輸入!$C$9),"",輸入!$C$7)</f>
        <v/>
      </c>
      <c r="J7" s="577" t="n"/>
      <c r="K7" s="577" t="n"/>
      <c r="L7" s="577" t="n"/>
      <c r="M7" s="577" t="n"/>
      <c r="N7" s="577" t="n"/>
      <c r="O7" s="577" t="n"/>
      <c r="P7" s="577" t="n"/>
      <c r="Q7" s="577" t="n"/>
      <c r="R7" s="577" t="n"/>
      <c r="S7" s="577" t="n"/>
      <c r="T7" s="577" t="n"/>
      <c r="U7" s="577" t="n"/>
      <c r="V7" s="577" t="n"/>
      <c r="W7" s="577" t="n"/>
      <c r="X7" s="577" t="n"/>
      <c r="Y7" s="577" t="n"/>
      <c r="Z7" s="574" t="n"/>
      <c r="AA7" s="604">
        <f>IF(ISBLANK(輸入!$C$9),"","街道馬路")</f>
        <v/>
      </c>
      <c r="AB7" s="574" t="n"/>
    </row>
    <row r="8" ht="14.25" customHeight="1" s="680">
      <c r="B8" s="600" t="inlineStr">
        <is>
          <t>報案</t>
        </is>
      </c>
      <c r="C8" s="574" t="n"/>
      <c r="D8" s="604">
        <f>LEFT(輸入!$C$10,3)</f>
        <v/>
      </c>
      <c r="E8" s="604">
        <f>MID(輸入!$C$10,4,2)</f>
        <v/>
      </c>
      <c r="F8" s="604">
        <f>MID(輸入!$C$10,6,2)</f>
        <v/>
      </c>
      <c r="G8" s="604">
        <f>MID(輸入!$C$10,8,2)</f>
        <v/>
      </c>
      <c r="H8" s="604">
        <f>MID(輸入!$C$10,10,2)</f>
        <v/>
      </c>
      <c r="I8" s="604">
        <f>IF(ISBLANK(輸入!$C$10),"",輸入!$C$7)</f>
        <v/>
      </c>
      <c r="J8" s="577" t="n"/>
      <c r="K8" s="577" t="n"/>
      <c r="L8" s="577" t="n"/>
      <c r="M8" s="577" t="n"/>
      <c r="N8" s="577" t="n"/>
      <c r="O8" s="577" t="n"/>
      <c r="P8" s="577" t="n"/>
      <c r="Q8" s="577" t="n"/>
      <c r="R8" s="577" t="n"/>
      <c r="S8" s="577" t="n"/>
      <c r="T8" s="577" t="n"/>
      <c r="U8" s="577" t="n"/>
      <c r="V8" s="577" t="n"/>
      <c r="W8" s="577" t="n"/>
      <c r="X8" s="577" t="n"/>
      <c r="Y8" s="577" t="n"/>
      <c r="Z8" s="574" t="n"/>
      <c r="AA8" s="604">
        <f>IF(ISBLANK(輸入!$C$10),"","街道馬路")</f>
        <v/>
      </c>
      <c r="AB8" s="574" t="n"/>
    </row>
    <row r="9" ht="18.75" customHeight="1" s="680">
      <c r="B9" s="600" t="inlineStr">
        <is>
          <t>破獲</t>
        </is>
      </c>
      <c r="C9" s="574" t="n"/>
      <c r="D9" s="604">
        <f>LEFT(輸入!$C$11,3)</f>
        <v/>
      </c>
      <c r="E9" s="604">
        <f>MID(輸入!$C$11,4,2)</f>
        <v/>
      </c>
      <c r="F9" s="604">
        <f>MID(輸入!$C$11,6,2)</f>
        <v/>
      </c>
      <c r="G9" s="604">
        <f>MID(輸入!$C$11,8,2)</f>
        <v/>
      </c>
      <c r="H9" s="604">
        <f>MID(輸入!$C$11,10,2)</f>
        <v/>
      </c>
      <c r="I9" s="604">
        <f>IF(ISBLANK(輸入!$C$11),"",輸入!$S$23)</f>
        <v/>
      </c>
      <c r="J9" s="577" t="n"/>
      <c r="K9" s="577" t="n"/>
      <c r="L9" s="577" t="n"/>
      <c r="M9" s="577" t="n"/>
      <c r="N9" s="577" t="n"/>
      <c r="O9" s="577" t="n"/>
      <c r="P9" s="577" t="n"/>
      <c r="Q9" s="577" t="n"/>
      <c r="R9" s="577" t="n"/>
      <c r="S9" s="577" t="n"/>
      <c r="T9" s="577" t="n"/>
      <c r="U9" s="577" t="n"/>
      <c r="V9" s="577" t="n"/>
      <c r="W9" s="577" t="n"/>
      <c r="X9" s="577" t="n"/>
      <c r="Y9" s="577" t="n"/>
      <c r="Z9" s="574" t="n"/>
      <c r="AA9" s="604">
        <f>IF(ISBLANK(輸入!$C$11),"","街道馬路")</f>
        <v/>
      </c>
      <c r="AB9" s="574" t="n"/>
    </row>
    <row r="10" ht="18.75" customHeight="1" s="680">
      <c r="B10" s="600" t="inlineStr">
        <is>
          <t>身份</t>
        </is>
      </c>
      <c r="C10" s="581" t="n"/>
      <c r="D10" s="603" t="inlineStr">
        <is>
          <t>姓名
(綽號)</t>
        </is>
      </c>
      <c r="E10" s="580" t="n"/>
      <c r="F10" s="580" t="n"/>
      <c r="G10" s="581" t="n"/>
      <c r="H10" s="603" t="inlineStr">
        <is>
          <t>性別</t>
        </is>
      </c>
      <c r="I10" s="600" t="inlineStr">
        <is>
          <t>出生日期</t>
        </is>
      </c>
      <c r="J10" s="577" t="n"/>
      <c r="K10" s="574" t="n"/>
      <c r="L10" s="600" t="inlineStr">
        <is>
          <t>身份證字號</t>
        </is>
      </c>
      <c r="M10" s="580" t="n"/>
      <c r="N10" s="580" t="n"/>
      <c r="O10" s="581" t="n"/>
      <c r="P10" s="600" t="inlineStr">
        <is>
          <t>聯絡電話</t>
        </is>
      </c>
      <c r="Q10" s="580" t="n"/>
      <c r="R10" s="580" t="n"/>
      <c r="S10" s="581" t="n"/>
      <c r="T10" s="600" t="inlineStr">
        <is>
          <t>職業</t>
        </is>
      </c>
      <c r="U10" s="580" t="n"/>
      <c r="V10" s="580" t="n"/>
      <c r="W10" s="581" t="n"/>
      <c r="X10" s="600" t="inlineStr">
        <is>
          <t>傷亡</t>
        </is>
      </c>
      <c r="Y10" s="580" t="n"/>
      <c r="Z10" s="581" t="n"/>
      <c r="AA10" s="600" t="inlineStr">
        <is>
          <t>財物損失</t>
        </is>
      </c>
      <c r="AB10" s="581" t="n"/>
    </row>
    <row r="11" ht="18.75" customHeight="1" s="680">
      <c r="B11" s="582" t="n"/>
      <c r="C11" s="584" t="n"/>
      <c r="D11" s="582" t="n"/>
      <c r="E11" s="583" t="n"/>
      <c r="F11" s="583" t="n"/>
      <c r="G11" s="584" t="n"/>
      <c r="H11" s="588" t="n"/>
      <c r="I11" s="600" t="inlineStr">
        <is>
          <t>年</t>
        </is>
      </c>
      <c r="J11" s="600" t="inlineStr">
        <is>
          <t>月</t>
        </is>
      </c>
      <c r="K11" s="600" t="inlineStr">
        <is>
          <t>日</t>
        </is>
      </c>
      <c r="L11" s="582" t="n"/>
      <c r="M11" s="583" t="n"/>
      <c r="N11" s="583" t="n"/>
      <c r="O11" s="584" t="n"/>
      <c r="P11" s="582" t="n"/>
      <c r="Q11" s="583" t="n"/>
      <c r="R11" s="583" t="n"/>
      <c r="S11" s="584" t="n"/>
      <c r="T11" s="582" t="n"/>
      <c r="U11" s="583" t="n"/>
      <c r="V11" s="583" t="n"/>
      <c r="W11" s="584" t="n"/>
      <c r="X11" s="582" t="n"/>
      <c r="Y11" s="583" t="n"/>
      <c r="Z11" s="584" t="n"/>
      <c r="AA11" s="582" t="n"/>
      <c r="AB11" s="584" t="n"/>
    </row>
    <row r="12" ht="16.5" customHeight="1" s="680">
      <c r="B12" s="604">
        <f>IFERROR(IF($D$12="","",VLOOKUP($D$12,個資,12,FALSE)),"")</f>
        <v/>
      </c>
      <c r="C12" s="574" t="n"/>
      <c r="D12" s="601" t="inlineStr">
        <is>
          <t>廖志盛</t>
        </is>
      </c>
      <c r="E12" s="577" t="n"/>
      <c r="F12" s="577" t="n"/>
      <c r="G12" s="574" t="n"/>
      <c r="H12" s="601">
        <f>IFERROR(IF($D$12="","",VLOOKUP($D$12,個資,11,FALSE)),"")</f>
        <v/>
      </c>
      <c r="I12" s="601">
        <f>IFERROR(IF($D$12="","",VLOOKUP($D$12,個資,16,FALSE)),"")</f>
        <v/>
      </c>
      <c r="J12" s="577" t="n"/>
      <c r="K12" s="574" t="n"/>
      <c r="L12" s="601">
        <f>IFERROR(IF($D$12="","",VLOOKUP($D$12,個資,2,FALSE)),"")</f>
        <v/>
      </c>
      <c r="M12" s="577" t="n"/>
      <c r="N12" s="577" t="n"/>
      <c r="O12" s="574" t="n"/>
      <c r="P12" s="602">
        <f>IF($H$12="","",CONCATENATE("0",VLOOKUP($D$12,個資,4,FALSE)))</f>
        <v/>
      </c>
      <c r="Q12" s="577" t="n"/>
      <c r="R12" s="577" t="n"/>
      <c r="S12" s="574" t="n"/>
      <c r="T12" s="602">
        <f>IFERROR(IF($D$12="","",VLOOKUP($D$12,個資,8,FALSE)),"")</f>
        <v/>
      </c>
      <c r="U12" s="577" t="n"/>
      <c r="V12" s="577" t="n"/>
      <c r="W12" s="574" t="n"/>
      <c r="X12" s="602" t="n"/>
      <c r="Y12" s="577" t="n"/>
      <c r="Z12" s="574" t="n"/>
      <c r="AA12" s="601" t="n"/>
      <c r="AB12" s="574" t="n"/>
    </row>
    <row r="13" ht="15.75" customHeight="1" s="680">
      <c r="B13" s="600" t="inlineStr">
        <is>
          <t>身份</t>
        </is>
      </c>
      <c r="C13" s="581" t="n"/>
      <c r="D13" s="600" t="inlineStr">
        <is>
          <t>姓名</t>
        </is>
      </c>
      <c r="E13" s="580" t="n"/>
      <c r="F13" s="580" t="n"/>
      <c r="G13" s="581" t="n"/>
      <c r="H13" s="603" t="inlineStr">
        <is>
          <t>性別</t>
        </is>
      </c>
      <c r="I13" s="600" t="inlineStr">
        <is>
          <t>出生日期</t>
        </is>
      </c>
      <c r="J13" s="577" t="n"/>
      <c r="K13" s="574" t="n"/>
      <c r="L13" s="600" t="inlineStr">
        <is>
          <t>身份證字號</t>
        </is>
      </c>
      <c r="M13" s="580" t="n"/>
      <c r="N13" s="580" t="n"/>
      <c r="O13" s="581" t="n"/>
      <c r="P13" s="603" t="inlineStr">
        <is>
          <t>居住所</t>
        </is>
      </c>
      <c r="Q13" s="580" t="n"/>
      <c r="R13" s="580" t="n"/>
      <c r="S13" s="580" t="n"/>
      <c r="T13" s="580" t="n"/>
      <c r="U13" s="580" t="n"/>
      <c r="V13" s="580" t="n"/>
      <c r="W13" s="581" t="n"/>
      <c r="X13" s="603" t="inlineStr">
        <is>
          <t>職業</t>
        </is>
      </c>
      <c r="Y13" s="581" t="n"/>
      <c r="Z13" s="603" t="inlineStr">
        <is>
          <t>通緝</t>
        </is>
      </c>
      <c r="AA13" s="603" t="inlineStr">
        <is>
          <t>前科</t>
        </is>
      </c>
      <c r="AB13" s="603" t="inlineStr">
        <is>
          <t>到案</t>
        </is>
      </c>
    </row>
    <row r="14" ht="15.75" customHeight="1" s="680">
      <c r="B14" s="582" t="n"/>
      <c r="C14" s="584" t="n"/>
      <c r="D14" s="582" t="n"/>
      <c r="E14" s="583" t="n"/>
      <c r="F14" s="583" t="n"/>
      <c r="G14" s="584" t="n"/>
      <c r="H14" s="588" t="n"/>
      <c r="I14" s="600" t="inlineStr">
        <is>
          <t>年</t>
        </is>
      </c>
      <c r="J14" s="600" t="inlineStr">
        <is>
          <t>月</t>
        </is>
      </c>
      <c r="K14" s="600" t="inlineStr">
        <is>
          <t>日</t>
        </is>
      </c>
      <c r="L14" s="582" t="n"/>
      <c r="M14" s="583" t="n"/>
      <c r="N14" s="583" t="n"/>
      <c r="O14" s="584" t="n"/>
      <c r="P14" s="582" t="n"/>
      <c r="Q14" s="583" t="n"/>
      <c r="R14" s="583" t="n"/>
      <c r="S14" s="583" t="n"/>
      <c r="T14" s="583" t="n"/>
      <c r="U14" s="583" t="n"/>
      <c r="V14" s="583" t="n"/>
      <c r="W14" s="584" t="n"/>
      <c r="X14" s="582" t="n"/>
      <c r="Y14" s="584" t="n"/>
      <c r="Z14" s="588" t="n"/>
      <c r="AA14" s="588" t="n"/>
      <c r="AB14" s="588" t="n"/>
    </row>
    <row r="15" ht="33.75" customHeight="1" s="680">
      <c r="B15" s="602">
        <f>IFERROR(IF($D$15="","",VLOOKUP($D$15,個資,12,FALSE)),"")</f>
        <v/>
      </c>
      <c r="C15" s="574" t="n"/>
      <c r="D15" s="604">
        <f>呈報單!$B$7</f>
        <v/>
      </c>
      <c r="E15" s="577" t="n"/>
      <c r="F15" s="577" t="n"/>
      <c r="G15" s="574" t="n"/>
      <c r="H15" s="604">
        <f>IFERROR(IF($D$15="","",VLOOKUP($D$15,個資,11,FALSE)),"")</f>
        <v/>
      </c>
      <c r="I15" s="604">
        <f>IFERROR(IF($D$15="","",VLOOKUP($D$15,個資,16,FALSE)),"")</f>
        <v/>
      </c>
      <c r="J15" s="577" t="n"/>
      <c r="K15" s="574" t="n"/>
      <c r="L15" s="604">
        <f>IFERROR(IF($D$15="","",VLOOKUP($D$15,個資,2,FALSE)),"")</f>
        <v/>
      </c>
      <c r="M15" s="577" t="n"/>
      <c r="N15" s="577" t="n"/>
      <c r="O15" s="574" t="n"/>
      <c r="P15" s="602">
        <f>IFERROR(IF($D$15="","",VLOOKUP($D$15,個資,6,FALSE)),"")</f>
        <v/>
      </c>
      <c r="Q15" s="577" t="n"/>
      <c r="R15" s="577" t="n"/>
      <c r="S15" s="577" t="n"/>
      <c r="T15" s="577" t="n"/>
      <c r="U15" s="577" t="n"/>
      <c r="V15" s="577" t="n"/>
      <c r="W15" s="574" t="n"/>
      <c r="X15" s="614">
        <f>IFERROR(IF($D$15="","",VLOOKUP($D$15,個資,8,FALSE)),"")</f>
        <v/>
      </c>
      <c r="Y15" s="574" t="n"/>
      <c r="Z15" s="602" t="n"/>
      <c r="AA15" s="602" t="n"/>
      <c r="AB15" s="602" t="n"/>
    </row>
    <row r="16" ht="21.75" customHeight="1" s="680">
      <c r="B16" s="600" t="inlineStr">
        <is>
          <t>不詳嫌疑人</t>
        </is>
      </c>
      <c r="C16" s="580" t="n"/>
      <c r="D16" s="580" t="n"/>
      <c r="E16" s="581" t="n"/>
      <c r="F16" s="600" t="inlineStr">
        <is>
          <t>人數</t>
        </is>
      </c>
      <c r="G16" s="574" t="n"/>
      <c r="H16" s="600" t="inlineStr">
        <is>
          <t>性別</t>
        </is>
      </c>
      <c r="I16" s="574" t="n"/>
      <c r="J16" s="600" t="inlineStr">
        <is>
          <t>年齡</t>
        </is>
      </c>
      <c r="K16" s="574" t="n"/>
      <c r="L16" s="600" t="inlineStr">
        <is>
          <t>綽號</t>
        </is>
      </c>
      <c r="M16" s="574" t="n"/>
      <c r="N16" s="600" t="inlineStr">
        <is>
          <t>體型</t>
        </is>
      </c>
      <c r="O16" s="574" t="n"/>
      <c r="P16" s="600" t="inlineStr">
        <is>
          <t>身高</t>
        </is>
      </c>
      <c r="Q16" s="574" t="n"/>
      <c r="R16" s="600" t="inlineStr">
        <is>
          <t>髮型</t>
        </is>
      </c>
      <c r="S16" s="574" t="n"/>
      <c r="T16" s="600" t="inlineStr">
        <is>
          <t>膚色</t>
        </is>
      </c>
      <c r="U16" s="574" t="n"/>
      <c r="V16" s="600" t="inlineStr">
        <is>
          <t>口音</t>
        </is>
      </c>
      <c r="W16" s="574" t="n"/>
      <c r="X16" s="600" t="inlineStr">
        <is>
          <t>人種</t>
        </is>
      </c>
      <c r="Y16" s="574" t="n"/>
      <c r="Z16" s="600" t="inlineStr">
        <is>
          <t>特徵</t>
        </is>
      </c>
      <c r="AA16" s="577" t="n"/>
      <c r="AB16" s="574" t="n"/>
    </row>
    <row r="17" ht="19.5" customHeight="1" s="680">
      <c r="B17" s="582" t="n"/>
      <c r="C17" s="583" t="n"/>
      <c r="D17" s="583" t="n"/>
      <c r="E17" s="584" t="n"/>
      <c r="F17" s="604" t="n"/>
      <c r="G17" s="574" t="n"/>
      <c r="H17" s="604" t="n"/>
      <c r="I17" s="574" t="n"/>
      <c r="J17" s="604" t="n"/>
      <c r="K17" s="574" t="n"/>
      <c r="L17" s="604" t="n"/>
      <c r="M17" s="574" t="n"/>
      <c r="N17" s="604" t="n"/>
      <c r="O17" s="574" t="n"/>
      <c r="P17" s="604" t="n"/>
      <c r="Q17" s="574" t="n"/>
      <c r="R17" s="604" t="n"/>
      <c r="S17" s="574" t="n"/>
      <c r="T17" s="604" t="n"/>
      <c r="U17" s="574" t="n"/>
      <c r="V17" s="604" t="n"/>
      <c r="W17" s="574" t="n"/>
      <c r="X17" s="604" t="n"/>
      <c r="Y17" s="574" t="n"/>
      <c r="Z17" s="604" t="n"/>
      <c r="AA17" s="577" t="n"/>
      <c r="AB17" s="574" t="n"/>
    </row>
    <row r="18" ht="24.75" customHeight="1" s="680">
      <c r="B18" s="603" t="inlineStr">
        <is>
          <t>犯罪分析</t>
        </is>
      </c>
      <c r="C18" s="580" t="n"/>
      <c r="D18" s="580" t="n"/>
      <c r="E18" s="581" t="n"/>
      <c r="F18" s="603" t="inlineStr">
        <is>
          <t>手法</t>
        </is>
      </c>
      <c r="G18" s="581" t="n"/>
      <c r="H18" s="617" t="inlineStr">
        <is>
          <t>原因
(動機)</t>
        </is>
      </c>
      <c r="I18" s="581" t="n"/>
      <c r="J18" s="603" t="inlineStr">
        <is>
          <t>習癖</t>
        </is>
      </c>
      <c r="K18" s="581" t="n"/>
      <c r="L18" s="603" t="inlineStr">
        <is>
          <t>犯罪工具</t>
        </is>
      </c>
      <c r="M18" s="580" t="n"/>
      <c r="N18" s="581" t="n"/>
      <c r="O18" s="603" t="inlineStr">
        <is>
          <t>槍彈</t>
        </is>
      </c>
      <c r="P18" s="581" t="n"/>
      <c r="Q18" s="600" t="inlineStr">
        <is>
          <t>交通工具</t>
        </is>
      </c>
      <c r="R18" s="577" t="n"/>
      <c r="S18" s="577" t="n"/>
      <c r="T18" s="577" t="n"/>
      <c r="U18" s="577" t="n"/>
      <c r="V18" s="577" t="n"/>
      <c r="W18" s="577" t="n"/>
      <c r="X18" s="577" t="n"/>
      <c r="Y18" s="577" t="n"/>
      <c r="Z18" s="577" t="n"/>
      <c r="AA18" s="577" t="n"/>
      <c r="AB18" s="574" t="n"/>
    </row>
    <row r="19" ht="18.75" customHeight="1" s="680">
      <c r="B19" s="609" t="n"/>
      <c r="E19" s="611" t="n"/>
      <c r="F19" s="582" t="n"/>
      <c r="G19" s="584" t="n"/>
      <c r="H19" s="582" t="n"/>
      <c r="I19" s="584" t="n"/>
      <c r="J19" s="582" t="n"/>
      <c r="K19" s="584" t="n"/>
      <c r="L19" s="582" t="n"/>
      <c r="M19" s="583" t="n"/>
      <c r="N19" s="584" t="n"/>
      <c r="O19" s="582" t="n"/>
      <c r="P19" s="584" t="n"/>
      <c r="Q19" s="600" t="inlineStr">
        <is>
          <t>車種</t>
        </is>
      </c>
      <c r="R19" s="574" t="n"/>
      <c r="S19" s="600" t="inlineStr">
        <is>
          <t>號牌</t>
        </is>
      </c>
      <c r="T19" s="574" t="n"/>
      <c r="U19" s="600" t="inlineStr">
        <is>
          <t>排氣量</t>
        </is>
      </c>
      <c r="V19" s="574" t="n"/>
      <c r="W19" s="600" t="inlineStr">
        <is>
          <t>顏色</t>
        </is>
      </c>
      <c r="X19" s="574" t="n"/>
      <c r="Y19" s="600" t="inlineStr">
        <is>
          <t>年份</t>
        </is>
      </c>
      <c r="Z19" s="574" t="n"/>
      <c r="AA19" s="600" t="inlineStr">
        <is>
          <t>廠牌</t>
        </is>
      </c>
      <c r="AB19" s="574" t="n"/>
    </row>
    <row r="20" ht="18.75" customHeight="1" s="680">
      <c r="B20" s="582" t="n"/>
      <c r="C20" s="583" t="n"/>
      <c r="D20" s="583" t="n"/>
      <c r="E20" s="584" t="n"/>
      <c r="F20" s="606" t="n"/>
      <c r="G20" s="574" t="n"/>
      <c r="H20" s="606" t="n"/>
      <c r="I20" s="574" t="n"/>
      <c r="J20" s="606" t="n"/>
      <c r="K20" s="574" t="n"/>
      <c r="L20" s="606" t="n"/>
      <c r="M20" s="577" t="n"/>
      <c r="N20" s="574" t="n"/>
      <c r="O20" s="606" t="n"/>
      <c r="P20" s="574" t="n"/>
      <c r="Q20" s="615" t="n"/>
      <c r="R20" s="574" t="n"/>
      <c r="S20" s="605" t="n"/>
      <c r="T20" s="574" t="n"/>
      <c r="U20" s="604" t="n"/>
      <c r="V20" s="574" t="n"/>
      <c r="W20" s="604" t="n"/>
      <c r="X20" s="574" t="n"/>
      <c r="Y20" s="604" t="n"/>
      <c r="Z20" s="574" t="n"/>
      <c r="AA20" s="604" t="n"/>
      <c r="AB20" s="574" t="n"/>
    </row>
    <row r="21" ht="42.75" customHeight="1" s="680">
      <c r="B21" s="603" t="inlineStr">
        <is>
          <t>案情摘要
偵破經過</t>
        </is>
      </c>
      <c r="C21" s="580" t="n"/>
      <c r="D21" s="580" t="n"/>
      <c r="E21" s="581" t="n"/>
      <c r="F21" s="620">
        <f>呈報單!$F$16</f>
        <v/>
      </c>
      <c r="G21" s="580" t="n"/>
      <c r="H21" s="580" t="n"/>
      <c r="I21" s="580" t="n"/>
      <c r="J21" s="580" t="n"/>
      <c r="K21" s="580" t="n"/>
      <c r="L21" s="580" t="n"/>
      <c r="M21" s="580" t="n"/>
      <c r="N21" s="580" t="n"/>
      <c r="O21" s="580" t="n"/>
      <c r="P21" s="580" t="n"/>
      <c r="Q21" s="580" t="n"/>
      <c r="R21" s="580" t="n"/>
      <c r="S21" s="580" t="n"/>
      <c r="T21" s="580" t="n"/>
      <c r="U21" s="580" t="n"/>
      <c r="V21" s="580" t="n"/>
      <c r="W21" s="580" t="n"/>
      <c r="X21" s="580" t="n"/>
      <c r="Y21" s="580" t="n"/>
      <c r="Z21" s="580" t="n"/>
      <c r="AA21" s="580" t="n"/>
      <c r="AB21" s="581" t="n"/>
    </row>
    <row r="22" ht="103.5" customHeight="1" s="680">
      <c r="B22" s="582" t="n"/>
      <c r="C22" s="583" t="n"/>
      <c r="D22" s="583" t="n"/>
      <c r="E22" s="584" t="n"/>
      <c r="F22" s="582" t="n"/>
      <c r="G22" s="583" t="n"/>
      <c r="H22" s="583" t="n"/>
      <c r="I22" s="583" t="n"/>
      <c r="J22" s="583" t="n"/>
      <c r="K22" s="583" t="n"/>
      <c r="L22" s="583" t="n"/>
      <c r="M22" s="583" t="n"/>
      <c r="N22" s="583" t="n"/>
      <c r="O22" s="583" t="n"/>
      <c r="P22" s="583" t="n"/>
      <c r="Q22" s="583" t="n"/>
      <c r="R22" s="583" t="n"/>
      <c r="S22" s="583" t="n"/>
      <c r="T22" s="583" t="n"/>
      <c r="U22" s="583" t="n"/>
      <c r="V22" s="583" t="n"/>
      <c r="W22" s="583" t="n"/>
      <c r="X22" s="583" t="n"/>
      <c r="Y22" s="583" t="n"/>
      <c r="Z22" s="583" t="n"/>
      <c r="AA22" s="583" t="n"/>
      <c r="AB22" s="584" t="n"/>
    </row>
    <row r="23" ht="18.75" customHeight="1" s="680">
      <c r="B23" s="600" t="inlineStr">
        <is>
          <t>現場勘查</t>
        </is>
      </c>
      <c r="C23" s="577" t="n"/>
      <c r="D23" s="577" t="n"/>
      <c r="E23" s="577" t="n"/>
      <c r="F23" s="574" t="n"/>
      <c r="G23" s="600" t="inlineStr">
        <is>
          <t>搜採證物</t>
        </is>
      </c>
      <c r="H23" s="577" t="n"/>
      <c r="I23" s="574" t="n"/>
      <c r="J23" s="600" t="inlineStr">
        <is>
          <t>藥瓶一瓶</t>
        </is>
      </c>
      <c r="K23" s="577" t="n"/>
      <c r="L23" s="574" t="n"/>
      <c r="M23" s="613" t="inlineStr">
        <is>
          <t>訪得線索</t>
        </is>
      </c>
      <c r="N23" s="577" t="n"/>
      <c r="O23" s="574" t="n"/>
      <c r="P23" s="600" t="n"/>
      <c r="Q23" s="577" t="n"/>
      <c r="R23" s="574" t="n"/>
      <c r="S23" s="603" t="inlineStr">
        <is>
          <t>勘查時間</t>
        </is>
      </c>
      <c r="T23" s="577" t="n"/>
      <c r="U23" s="577" t="n"/>
      <c r="V23" s="574" t="n"/>
      <c r="W23" s="365" t="n"/>
      <c r="X23" s="365" t="n"/>
      <c r="Y23" s="365" t="n"/>
      <c r="Z23" s="365" t="n"/>
      <c r="AA23" s="365" t="n"/>
      <c r="AB23" s="366" t="n"/>
    </row>
    <row r="24" ht="18.75" customHeight="1" s="680">
      <c r="B24" s="600" t="inlineStr">
        <is>
          <t>請求事項</t>
        </is>
      </c>
      <c r="C24" s="577" t="n"/>
      <c r="D24" s="577" t="n"/>
      <c r="E24" s="577" t="n"/>
      <c r="F24" s="574" t="n"/>
      <c r="G24" s="600" t="n"/>
      <c r="H24" s="577" t="n"/>
      <c r="I24" s="577" t="n"/>
      <c r="J24" s="577" t="n"/>
      <c r="K24" s="577" t="n"/>
      <c r="L24" s="577" t="n"/>
      <c r="M24" s="577" t="n"/>
      <c r="N24" s="577" t="n"/>
      <c r="O24" s="574" t="n"/>
      <c r="P24" s="619" t="inlineStr">
        <is>
          <t>督導事項</t>
        </is>
      </c>
      <c r="Q24" s="583" t="n"/>
      <c r="R24" s="584" t="n"/>
      <c r="S24" s="607" t="n"/>
      <c r="T24" s="583" t="n"/>
      <c r="U24" s="583" t="n"/>
      <c r="V24" s="583" t="n"/>
      <c r="W24" s="583" t="n"/>
      <c r="X24" s="583" t="n"/>
      <c r="Y24" s="583" t="n"/>
      <c r="Z24" s="583" t="n"/>
      <c r="AA24" s="583" t="n"/>
      <c r="AB24" s="584" t="n"/>
    </row>
    <row r="25" ht="18.75" customHeight="1" s="680">
      <c r="B25" s="600" t="inlineStr">
        <is>
          <t>通報單位</t>
        </is>
      </c>
      <c r="C25" s="577" t="n"/>
      <c r="D25" s="577" t="n"/>
      <c r="E25" s="577" t="n"/>
      <c r="F25" s="574" t="n"/>
      <c r="G25" s="621">
        <f>CONCATENATE(輸入!$S$18,輸入!$T$18,輸入!$S$19,輸入!$T$19,輸入!$S$20&amp;輸入!$T$20)</f>
        <v/>
      </c>
      <c r="H25" s="577" t="n"/>
      <c r="I25" s="577" t="n"/>
      <c r="J25" s="577" t="n"/>
      <c r="K25" s="577" t="n"/>
      <c r="L25" s="577" t="n"/>
      <c r="M25" s="577" t="n"/>
      <c r="N25" s="577" t="n"/>
      <c r="O25" s="577" t="n"/>
      <c r="P25" s="577" t="n"/>
      <c r="Q25" s="577" t="n"/>
      <c r="R25" s="577" t="n"/>
      <c r="S25" s="577" t="n"/>
      <c r="T25" s="577" t="n"/>
      <c r="U25" s="577" t="n"/>
      <c r="V25" s="577" t="n"/>
      <c r="W25" s="577" t="n"/>
      <c r="X25" s="577" t="n"/>
      <c r="Y25" s="577" t="n"/>
      <c r="Z25" s="577" t="n"/>
      <c r="AA25" s="577" t="n"/>
      <c r="AB25" s="574" t="n"/>
    </row>
    <row r="26" ht="18.75" customHeight="1" s="680">
      <c r="B26" s="600" t="inlineStr">
        <is>
          <t>通報人員</t>
        </is>
      </c>
      <c r="C26" s="577" t="n"/>
      <c r="D26" s="577" t="n"/>
      <c r="E26" s="577" t="n"/>
      <c r="F26" s="574" t="n"/>
      <c r="G26" s="612" t="n"/>
      <c r="H26" s="577" t="n"/>
      <c r="I26" s="577" t="n"/>
      <c r="J26" s="577" t="n"/>
      <c r="K26" s="577" t="n"/>
      <c r="L26" s="577" t="n"/>
      <c r="M26" s="577" t="n"/>
      <c r="N26" s="577" t="n"/>
      <c r="O26" s="574" t="n"/>
      <c r="P26" s="600" t="inlineStr">
        <is>
          <t>聯絡電話</t>
        </is>
      </c>
      <c r="Q26" s="577" t="n"/>
      <c r="R26" s="574" t="n"/>
      <c r="S26" s="604">
        <f>輸入!$T$21</f>
        <v/>
      </c>
      <c r="T26" s="577" t="n"/>
      <c r="U26" s="577" t="n"/>
      <c r="V26" s="577" t="n"/>
      <c r="W26" s="577" t="n"/>
      <c r="X26" s="577" t="n"/>
      <c r="Y26" s="577" t="n"/>
      <c r="Z26" s="577" t="n"/>
      <c r="AA26" s="577" t="n"/>
      <c r="AB26" s="574" t="n"/>
    </row>
    <row r="27" ht="18.75" customHeight="1" s="680">
      <c r="B27" s="600" t="inlineStr">
        <is>
          <t>刑案紀錄表編號</t>
        </is>
      </c>
      <c r="C27" s="577" t="n"/>
      <c r="D27" s="577" t="n"/>
      <c r="E27" s="577" t="n"/>
      <c r="F27" s="577" t="n"/>
      <c r="G27" s="574" t="n"/>
      <c r="H27" s="600" t="n"/>
      <c r="I27" s="577" t="n"/>
      <c r="J27" s="577" t="n"/>
      <c r="K27" s="577" t="n"/>
      <c r="L27" s="577" t="n"/>
      <c r="M27" s="577" t="n"/>
      <c r="N27" s="577" t="n"/>
      <c r="O27" s="574" t="n"/>
      <c r="P27" s="600" t="inlineStr">
        <is>
          <t>通報時間</t>
        </is>
      </c>
      <c r="Q27" s="577" t="n"/>
      <c r="R27" s="574" t="n"/>
      <c r="S27" s="604">
        <f>CONCATENATE(輸入!$T$17,"年  月  日  時  分")</f>
        <v/>
      </c>
      <c r="T27" s="577" t="n"/>
      <c r="U27" s="577" t="n"/>
      <c r="V27" s="577" t="n"/>
      <c r="W27" s="577" t="n"/>
      <c r="X27" s="577" t="n"/>
      <c r="Y27" s="577" t="n"/>
      <c r="Z27" s="577" t="n"/>
      <c r="AA27" s="577" t="n"/>
      <c r="AB27" s="574" t="n"/>
    </row>
    <row r="28" ht="18.75" customHeight="1" s="680">
      <c r="B28" s="600" t="inlineStr">
        <is>
          <t>偵查隊</t>
        </is>
      </c>
      <c r="C28" s="577" t="n"/>
      <c r="D28" s="577" t="n"/>
      <c r="E28" s="577" t="n"/>
      <c r="F28" s="577" t="n"/>
      <c r="G28" s="574" t="n"/>
      <c r="H28" s="600" t="inlineStr">
        <is>
          <t>勤務指揮中心</t>
        </is>
      </c>
      <c r="I28" s="577" t="n"/>
      <c r="J28" s="577" t="n"/>
      <c r="K28" s="577" t="n"/>
      <c r="L28" s="577" t="n"/>
      <c r="M28" s="574" t="n"/>
      <c r="N28" s="600" t="inlineStr">
        <is>
          <t>督察組</t>
        </is>
      </c>
      <c r="O28" s="577" t="n"/>
      <c r="P28" s="577" t="n"/>
      <c r="Q28" s="577" t="n"/>
      <c r="R28" s="574" t="n"/>
      <c r="S28" s="600" t="inlineStr">
        <is>
          <t>副分局長</t>
        </is>
      </c>
      <c r="T28" s="577" t="n"/>
      <c r="U28" s="577" t="n"/>
      <c r="V28" s="577" t="n"/>
      <c r="W28" s="574" t="n"/>
      <c r="X28" s="600" t="inlineStr">
        <is>
          <t>分局長</t>
        </is>
      </c>
      <c r="Y28" s="577" t="n"/>
      <c r="Z28" s="577" t="n"/>
      <c r="AA28" s="577" t="n"/>
      <c r="AB28" s="574" t="n"/>
    </row>
    <row r="29" ht="21.75" customHeight="1" s="680">
      <c r="B29" s="608" t="inlineStr">
        <is>
          <t>擬：
一、本案經查符合
    線上立破之要
    件。
二、依規定通報。</t>
        </is>
      </c>
      <c r="C29" s="580" t="n"/>
      <c r="D29" s="580" t="n"/>
      <c r="E29" s="580" t="n"/>
      <c r="F29" s="580" t="n"/>
      <c r="G29" s="581" t="n"/>
      <c r="H29" s="608" t="inlineStr">
        <is>
          <t>1. 轄區內破獲
   是□、否□
2. 勤務中心指揮
   是□、否□
3. 勤務編排項目
   是□、否□</t>
        </is>
      </c>
      <c r="I29" s="580" t="n"/>
      <c r="J29" s="580" t="n"/>
      <c r="K29" s="580" t="n"/>
      <c r="L29" s="580" t="n"/>
      <c r="M29" s="581" t="n"/>
      <c r="N29" s="600" t="n"/>
      <c r="O29" s="580" t="n"/>
      <c r="P29" s="580" t="n"/>
      <c r="Q29" s="580" t="n"/>
      <c r="R29" s="581" t="n"/>
      <c r="S29" s="600" t="n"/>
      <c r="T29" s="580" t="n"/>
      <c r="U29" s="580" t="n"/>
      <c r="V29" s="580" t="n"/>
      <c r="W29" s="581" t="n"/>
      <c r="X29" s="600" t="n"/>
      <c r="Y29" s="580" t="n"/>
      <c r="Z29" s="580" t="n"/>
      <c r="AA29" s="580" t="n"/>
      <c r="AB29" s="581" t="n"/>
    </row>
    <row r="30" ht="21.75" customHeight="1" s="680">
      <c r="B30" s="609" t="n"/>
      <c r="G30" s="611" t="n"/>
      <c r="H30" s="609" t="n"/>
      <c r="M30" s="611" t="n"/>
      <c r="N30" s="609" t="n"/>
      <c r="R30" s="611" t="n"/>
      <c r="S30" s="609" t="n"/>
      <c r="W30" s="611" t="n"/>
      <c r="X30" s="609" t="n"/>
      <c r="AB30" s="611" t="n"/>
    </row>
    <row r="31" ht="21.75" customHeight="1" s="680">
      <c r="B31" s="609" t="n"/>
      <c r="G31" s="611" t="n"/>
      <c r="H31" s="609" t="n"/>
      <c r="M31" s="611" t="n"/>
      <c r="N31" s="609" t="n"/>
      <c r="R31" s="611" t="n"/>
      <c r="S31" s="609" t="n"/>
      <c r="W31" s="611" t="n"/>
      <c r="X31" s="609" t="n"/>
      <c r="AB31" s="611" t="n"/>
    </row>
    <row r="32" ht="45.75" customHeight="1" s="680">
      <c r="B32" s="582" t="n"/>
      <c r="C32" s="583" t="n"/>
      <c r="D32" s="583" t="n"/>
      <c r="E32" s="583" t="n"/>
      <c r="F32" s="583" t="n"/>
      <c r="G32" s="584" t="n"/>
      <c r="H32" s="582" t="n"/>
      <c r="I32" s="583" t="n"/>
      <c r="J32" s="583" t="n"/>
      <c r="K32" s="583" t="n"/>
      <c r="L32" s="583" t="n"/>
      <c r="M32" s="584" t="n"/>
      <c r="N32" s="582" t="n"/>
      <c r="O32" s="583" t="n"/>
      <c r="P32" s="583" t="n"/>
      <c r="Q32" s="583" t="n"/>
      <c r="R32" s="584" t="n"/>
      <c r="S32" s="582" t="n"/>
      <c r="T32" s="583" t="n"/>
      <c r="U32" s="583" t="n"/>
      <c r="V32" s="583" t="n"/>
      <c r="W32" s="584" t="n"/>
      <c r="X32" s="582" t="n"/>
      <c r="Y32" s="583" t="n"/>
      <c r="Z32" s="583" t="n"/>
      <c r="AA32" s="583" t="n"/>
      <c r="AB32" s="584" t="n"/>
    </row>
  </sheetData>
  <mergeCells count="141">
    <mergeCell ref="L17:M17"/>
    <mergeCell ref="S24:AB24"/>
    <mergeCell ref="V17:W17"/>
    <mergeCell ref="P27:R27"/>
    <mergeCell ref="F16:G16"/>
    <mergeCell ref="F21:AB22"/>
    <mergeCell ref="B25:F25"/>
    <mergeCell ref="Z17:AB17"/>
    <mergeCell ref="B12:C12"/>
    <mergeCell ref="H18:I19"/>
    <mergeCell ref="S29:W32"/>
    <mergeCell ref="I10:K10"/>
    <mergeCell ref="H13:H14"/>
    <mergeCell ref="S27:AB27"/>
    <mergeCell ref="AA7:AB7"/>
    <mergeCell ref="X15:Y15"/>
    <mergeCell ref="S19:T19"/>
    <mergeCell ref="B4:D4"/>
    <mergeCell ref="L12:O12"/>
    <mergeCell ref="AA10:AB11"/>
    <mergeCell ref="N28:R28"/>
    <mergeCell ref="X12:Z12"/>
    <mergeCell ref="H27:O27"/>
    <mergeCell ref="X13:Y14"/>
    <mergeCell ref="I6:Z6"/>
    <mergeCell ref="S20:T20"/>
    <mergeCell ref="T12:W12"/>
    <mergeCell ref="U20:V20"/>
    <mergeCell ref="S3:U3"/>
    <mergeCell ref="B21:E22"/>
    <mergeCell ref="H10:H11"/>
    <mergeCell ref="I7:Z7"/>
    <mergeCell ref="L16:M16"/>
    <mergeCell ref="N16:O16"/>
    <mergeCell ref="N29:R32"/>
    <mergeCell ref="I12:K12"/>
    <mergeCell ref="X17:Y17"/>
    <mergeCell ref="J18:K19"/>
    <mergeCell ref="G24:O24"/>
    <mergeCell ref="R16:S16"/>
    <mergeCell ref="P13:W14"/>
    <mergeCell ref="E3:H3"/>
    <mergeCell ref="H29:M32"/>
    <mergeCell ref="S26:AB26"/>
    <mergeCell ref="AA6:AB6"/>
    <mergeCell ref="F20:G20"/>
    <mergeCell ref="I4:K4"/>
    <mergeCell ref="G26:O26"/>
    <mergeCell ref="S28:W28"/>
    <mergeCell ref="L10:O11"/>
    <mergeCell ref="F17:G17"/>
    <mergeCell ref="H17:I17"/>
    <mergeCell ref="M23:O23"/>
    <mergeCell ref="J20:K20"/>
    <mergeCell ref="L18:N19"/>
    <mergeCell ref="E4:H4"/>
    <mergeCell ref="Z13:Z14"/>
    <mergeCell ref="AB13:AB14"/>
    <mergeCell ref="S23:V23"/>
    <mergeCell ref="I9:Z9"/>
    <mergeCell ref="B6:C6"/>
    <mergeCell ref="B15:C15"/>
    <mergeCell ref="B27:G27"/>
    <mergeCell ref="F18:G19"/>
    <mergeCell ref="Q18:AB18"/>
    <mergeCell ref="U19:V19"/>
    <mergeCell ref="AA8:AB8"/>
    <mergeCell ref="W19:X19"/>
    <mergeCell ref="U2:W2"/>
    <mergeCell ref="B7:C7"/>
    <mergeCell ref="L13:O14"/>
    <mergeCell ref="B10:C11"/>
    <mergeCell ref="AA19:AB19"/>
    <mergeCell ref="D15:G15"/>
    <mergeCell ref="P23:R23"/>
    <mergeCell ref="I3:K3"/>
    <mergeCell ref="AA9:AB9"/>
    <mergeCell ref="G25:AB25"/>
    <mergeCell ref="X16:Y16"/>
    <mergeCell ref="W20:X20"/>
    <mergeCell ref="O20:P20"/>
    <mergeCell ref="Y20:Z20"/>
    <mergeCell ref="X29:AB32"/>
    <mergeCell ref="H28:M28"/>
    <mergeCell ref="V3:AB3"/>
    <mergeCell ref="Q20:R20"/>
    <mergeCell ref="AA5:AB5"/>
    <mergeCell ref="B23:F23"/>
    <mergeCell ref="I8:Z8"/>
    <mergeCell ref="N17:O17"/>
    <mergeCell ref="P17:Q17"/>
    <mergeCell ref="I13:K13"/>
    <mergeCell ref="H16:I16"/>
    <mergeCell ref="J16:K16"/>
    <mergeCell ref="S4:U4"/>
    <mergeCell ref="V4:AB4"/>
    <mergeCell ref="R17:S17"/>
    <mergeCell ref="B9:C9"/>
    <mergeCell ref="T17:U17"/>
    <mergeCell ref="I15:K15"/>
    <mergeCell ref="B18:E20"/>
    <mergeCell ref="D10:G11"/>
    <mergeCell ref="B5:C5"/>
    <mergeCell ref="X10:Z11"/>
    <mergeCell ref="G23:I23"/>
    <mergeCell ref="L4:R4"/>
    <mergeCell ref="P15:W15"/>
    <mergeCell ref="T10:W11"/>
    <mergeCell ref="B13:C14"/>
    <mergeCell ref="H20:I20"/>
    <mergeCell ref="D12:G12"/>
    <mergeCell ref="X2:AB2"/>
    <mergeCell ref="P12:S12"/>
    <mergeCell ref="L20:N20"/>
    <mergeCell ref="B28:G28"/>
    <mergeCell ref="D13:G14"/>
    <mergeCell ref="X28:AB28"/>
    <mergeCell ref="I5:Z5"/>
    <mergeCell ref="Y19:Z19"/>
    <mergeCell ref="Q19:R19"/>
    <mergeCell ref="B8:C8"/>
    <mergeCell ref="AA20:AB20"/>
    <mergeCell ref="P24:R24"/>
    <mergeCell ref="P16:Q16"/>
    <mergeCell ref="J23:L23"/>
    <mergeCell ref="L3:R3"/>
    <mergeCell ref="O18:P19"/>
    <mergeCell ref="L15:O15"/>
    <mergeCell ref="P26:R26"/>
    <mergeCell ref="T16:U16"/>
    <mergeCell ref="B29:G32"/>
    <mergeCell ref="B3:D3"/>
    <mergeCell ref="V16:W16"/>
    <mergeCell ref="AA12:AB12"/>
    <mergeCell ref="B24:F24"/>
    <mergeCell ref="AA13:AA14"/>
    <mergeCell ref="B16:E17"/>
    <mergeCell ref="Z16:AB16"/>
    <mergeCell ref="B26:F26"/>
    <mergeCell ref="P10:S11"/>
    <mergeCell ref="J17:K17"/>
  </mergeCells>
  <dataValidations disablePrompts="1" count="1">
    <dataValidation sqref="D12:G12" showDropDown="0" showInputMessage="1" showErrorMessage="1" allowBlank="1" type="list">
      <formula1>姓名</formula1>
    </dataValidation>
  </dataValidations>
  <pageMargins left="0.7" right="0.7" top="0.75" bottom="0.75" header="0.3" footer="0.3"/>
  <pageSetup orientation="portrait" paperSize="9"/>
</worksheet>
</file>

<file path=xl/worksheets/sheet7.xml><?xml version="1.0" encoding="utf-8"?>
<worksheet xmlns="http://schemas.openxmlformats.org/spreadsheetml/2006/main">
  <sheetPr codeName="工作表5">
    <tabColor rgb="FFFF0000"/>
    <outlinePr summaryBelow="1" summaryRight="1"/>
    <pageSetUpPr/>
  </sheetPr>
  <dimension ref="B1:AA21"/>
  <sheetViews>
    <sheetView showGridLines="0" showZeros="0" view="pageBreakPreview" zoomScaleNormal="75" zoomScaleSheetLayoutView="100" workbookViewId="0">
      <selection activeCell="V3" sqref="V3:AA3"/>
    </sheetView>
  </sheetViews>
  <sheetFormatPr baseColWidth="8" defaultColWidth="3.125" defaultRowHeight="18.75" customHeight="1"/>
  <cols>
    <col width="1.625" customWidth="1" style="25" min="1" max="1"/>
    <col width="3.375" customWidth="1" style="25" min="2" max="6"/>
    <col width="3.75" customWidth="1" style="25" min="7" max="7"/>
    <col width="3.375" customWidth="1" style="25" min="8" max="8"/>
    <col width="3.875" customWidth="1" style="25" min="9" max="9"/>
    <col width="3.375" customWidth="1" style="25" min="10" max="13"/>
    <col width="4.625" customWidth="1" style="25" min="14" max="15"/>
    <col width="3.375" customWidth="1" style="25" min="16" max="26"/>
    <col width="1.375" customWidth="1" style="25" min="27" max="27"/>
    <col width="3.125" customWidth="1" style="25" min="28" max="28"/>
    <col width="3.125" customWidth="1" style="25" min="29" max="16384"/>
  </cols>
  <sheetData>
    <row r="1" ht="22.5" customHeight="1" s="680">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c r="AA1" s="26" t="n"/>
    </row>
    <row r="2" ht="34.5" customHeight="1" s="680">
      <c r="B2" s="641">
        <f>CONCATENATE(,輸入!$S$18,輸入!$T$18,輸入!$S$19,輸入!$T$19,"刑案陳報單")</f>
        <v/>
      </c>
      <c r="C2" s="642" t="n"/>
      <c r="D2" s="642" t="n"/>
      <c r="E2" s="642" t="n"/>
      <c r="F2" s="642" t="n"/>
      <c r="G2" s="642" t="n"/>
      <c r="H2" s="642" t="n"/>
      <c r="I2" s="642" t="n"/>
      <c r="J2" s="642" t="n"/>
      <c r="K2" s="642" t="n"/>
      <c r="L2" s="642" t="n"/>
      <c r="M2" s="642" t="n"/>
      <c r="N2" s="642" t="n"/>
      <c r="O2" s="642" t="n"/>
      <c r="P2" s="642" t="n"/>
      <c r="Q2" s="642" t="n"/>
      <c r="R2" s="642" t="n"/>
      <c r="S2" s="642" t="n"/>
      <c r="T2" s="642" t="n"/>
      <c r="U2" s="642" t="n"/>
      <c r="V2" s="642" t="n"/>
      <c r="W2" s="642" t="n"/>
      <c r="X2" s="642" t="n"/>
      <c r="Y2" s="642" t="n"/>
      <c r="Z2" s="642" t="n"/>
      <c r="AA2" s="642" t="n"/>
    </row>
    <row r="3" ht="18.75" customHeight="1" s="680">
      <c r="B3" s="29" t="n"/>
      <c r="C3" s="29">
        <f>IF(ISBLANK(輸入!$C$11),下拉用!$J$11,下拉用!$J$10)</f>
        <v/>
      </c>
      <c r="E3" s="40" t="n"/>
      <c r="F3" s="40" t="n"/>
      <c r="G3" s="40" t="n"/>
      <c r="H3" s="40" t="n"/>
      <c r="I3" s="41" t="n"/>
      <c r="J3" s="644" t="n"/>
      <c r="K3" s="644" t="n"/>
      <c r="L3" s="32" t="n"/>
      <c r="N3" s="31" t="inlineStr">
        <is>
          <t>發文字號：</t>
        </is>
      </c>
      <c r="O3" s="30" t="n"/>
      <c r="P3" s="26" t="n"/>
      <c r="Q3" s="26" t="n"/>
      <c r="S3" s="29" t="inlineStr">
        <is>
          <t>案件編號：</t>
        </is>
      </c>
      <c r="U3" s="28" t="n"/>
      <c r="V3" s="644">
        <f>IF(ISBLANK(word用!$U$2),"",word用!$U$2)</f>
        <v/>
      </c>
      <c r="W3" s="627" t="n"/>
      <c r="X3" s="627" t="n"/>
      <c r="Y3" s="627" t="n"/>
      <c r="Z3" s="627" t="n"/>
      <c r="AA3" s="627" t="n"/>
    </row>
    <row r="4" ht="18.75" customHeight="1" s="680">
      <c r="B4" s="630" t="inlineStr">
        <is>
          <t>案類</t>
        </is>
      </c>
      <c r="C4" s="631" t="n"/>
      <c r="D4" s="631" t="n"/>
      <c r="E4" s="629" t="n"/>
      <c r="F4" s="630">
        <f>IF(輸入!$C$2="違反社會秩序維護法","□刑事案件■違反社會秩序維護法□違反行政法令案件","■刑事案件□違反社會秩序維護法□違反行政法令案件")</f>
        <v/>
      </c>
      <c r="G4" s="631" t="n"/>
      <c r="H4" s="631" t="n"/>
      <c r="I4" s="631" t="n"/>
      <c r="J4" s="631" t="n"/>
      <c r="K4" s="631" t="n"/>
      <c r="L4" s="631" t="n"/>
      <c r="M4" s="631" t="n"/>
      <c r="N4" s="631" t="n"/>
      <c r="O4" s="631" t="n"/>
      <c r="P4" s="631" t="n"/>
      <c r="Q4" s="631" t="n"/>
      <c r="R4" s="631" t="n"/>
      <c r="S4" s="631" t="n"/>
      <c r="T4" s="631" t="n"/>
      <c r="U4" s="631" t="n"/>
      <c r="V4" s="631" t="n"/>
      <c r="W4" s="631" t="n"/>
      <c r="X4" s="631" t="n"/>
      <c r="Y4" s="631" t="n"/>
      <c r="Z4" s="631" t="n"/>
      <c r="AA4" s="629" t="n"/>
    </row>
    <row r="5" ht="18.75" customHeight="1" s="680">
      <c r="B5" s="630" t="inlineStr">
        <is>
          <t>嫌疑人</t>
        </is>
      </c>
      <c r="C5" s="623" t="n"/>
      <c r="D5" s="623" t="n"/>
      <c r="E5" s="625" t="n"/>
      <c r="F5" s="630" t="inlineStr">
        <is>
          <t>性別</t>
        </is>
      </c>
      <c r="G5" s="625" t="n"/>
      <c r="H5" s="630" t="inlineStr">
        <is>
          <t>年齡</t>
        </is>
      </c>
      <c r="I5" s="625" t="n"/>
      <c r="J5" s="630" t="inlineStr">
        <is>
          <t>出生日期</t>
        </is>
      </c>
      <c r="K5" s="623" t="n"/>
      <c r="L5" s="623" t="n"/>
      <c r="M5" s="625" t="n"/>
      <c r="N5" s="630" t="inlineStr">
        <is>
          <t>職業</t>
        </is>
      </c>
      <c r="O5" s="625" t="n"/>
      <c r="P5" s="630" t="inlineStr">
        <is>
          <t>出生地</t>
        </is>
      </c>
      <c r="Q5" s="623" t="n"/>
      <c r="R5" s="625" t="n"/>
      <c r="S5" s="648" t="inlineStr">
        <is>
          <t xml:space="preserve">身分證
</t>
        </is>
      </c>
      <c r="T5" s="623" t="n"/>
      <c r="U5" s="623" t="n"/>
      <c r="V5" s="623" t="n"/>
      <c r="W5" s="625" t="n"/>
      <c r="X5" s="630" t="inlineStr">
        <is>
          <t>前科</t>
        </is>
      </c>
      <c r="Y5" s="623" t="n"/>
      <c r="Z5" s="623" t="n"/>
      <c r="AA5" s="625" t="n"/>
    </row>
    <row r="6" ht="18.75" customHeight="1" s="680">
      <c r="B6" s="626" t="n"/>
      <c r="C6" s="627" t="n"/>
      <c r="D6" s="627" t="n"/>
      <c r="E6" s="628" t="n"/>
      <c r="F6" s="626" t="n"/>
      <c r="G6" s="628" t="n"/>
      <c r="H6" s="626" t="n"/>
      <c r="I6" s="628" t="n"/>
      <c r="J6" s="626" t="n"/>
      <c r="K6" s="627" t="n"/>
      <c r="L6" s="627" t="n"/>
      <c r="M6" s="628" t="n"/>
      <c r="N6" s="626" t="n"/>
      <c r="O6" s="628" t="n"/>
      <c r="P6" s="626" t="n"/>
      <c r="Q6" s="627" t="n"/>
      <c r="R6" s="628" t="n"/>
      <c r="S6" s="645" t="inlineStr">
        <is>
          <t>統一編號</t>
        </is>
      </c>
      <c r="T6" s="627" t="n"/>
      <c r="U6" s="627" t="n"/>
      <c r="V6" s="627" t="n"/>
      <c r="W6" s="628" t="n"/>
      <c r="X6" s="626" t="n"/>
      <c r="Y6" s="627" t="n"/>
      <c r="Z6" s="627" t="n"/>
      <c r="AA6" s="628" t="n"/>
    </row>
    <row r="7" ht="37.5" customHeight="1" s="680">
      <c r="B7" s="624">
        <f>下拉用!$C$10</f>
        <v/>
      </c>
      <c r="C7" s="623" t="n"/>
      <c r="D7" s="623" t="n"/>
      <c r="E7" s="625" t="n"/>
      <c r="F7" s="624">
        <f>VLOOKUP($B$7,個資,11,FALSE)</f>
        <v/>
      </c>
      <c r="G7" s="629" t="n"/>
      <c r="H7" s="624">
        <f>VLOOKUP($B$7,個資,10,FALSE)</f>
        <v/>
      </c>
      <c r="I7" s="629" t="n"/>
      <c r="J7" s="649">
        <f>VLOOKUP($B$7,個資,16,FALSE)</f>
        <v/>
      </c>
      <c r="K7" s="631" t="n"/>
      <c r="L7" s="631" t="n"/>
      <c r="M7" s="629" t="n"/>
      <c r="N7" s="624">
        <f>VLOOKUP($B$7,個資,8,FALSE)</f>
        <v/>
      </c>
      <c r="O7" s="629" t="n"/>
      <c r="P7" s="624">
        <f>VLOOKUP($B$7,個資,3,FALSE)</f>
        <v/>
      </c>
      <c r="Q7" s="631" t="n"/>
      <c r="R7" s="629" t="n"/>
      <c r="S7" s="624">
        <f>UPPER(VLOOKUP($B$7,個資,2,FALSE))</f>
        <v/>
      </c>
      <c r="T7" s="631" t="n"/>
      <c r="U7" s="631" t="n"/>
      <c r="V7" s="631" t="n"/>
      <c r="W7" s="629" t="n"/>
      <c r="X7" s="624" t="inlineStr">
        <is>
          <t>如附件</t>
        </is>
      </c>
      <c r="Y7" s="631" t="n"/>
      <c r="Z7" s="631" t="n"/>
      <c r="AA7" s="629" t="n"/>
    </row>
    <row r="8" ht="37.5" customHeight="1" s="680">
      <c r="B8" s="626" t="n"/>
      <c r="C8" s="627" t="n"/>
      <c r="D8" s="627" t="n"/>
      <c r="E8" s="628" t="n"/>
      <c r="F8" s="630" t="inlineStr">
        <is>
          <t>住居所</t>
        </is>
      </c>
      <c r="G8" s="631" t="n"/>
      <c r="H8" s="631" t="n"/>
      <c r="I8" s="629" t="n"/>
      <c r="J8" s="632">
        <f>VLOOKUP($B$7,個資,6,FALSE)</f>
        <v/>
      </c>
      <c r="K8" s="631" t="n"/>
      <c r="L8" s="631" t="n"/>
      <c r="M8" s="631" t="n"/>
      <c r="N8" s="631" t="n"/>
      <c r="O8" s="631" t="n"/>
      <c r="P8" s="631" t="n"/>
      <c r="Q8" s="631" t="n"/>
      <c r="R8" s="631" t="n"/>
      <c r="S8" s="631" t="n"/>
      <c r="T8" s="631" t="n"/>
      <c r="U8" s="631" t="n"/>
      <c r="V8" s="631" t="n"/>
      <c r="W8" s="631" t="n"/>
      <c r="X8" s="631" t="n"/>
      <c r="Y8" s="631" t="n"/>
      <c r="Z8" s="631" t="n"/>
      <c r="AA8" s="629" t="n"/>
    </row>
    <row r="9" ht="18.75" customHeight="1" s="680">
      <c r="B9" s="630" t="inlineStr">
        <is>
          <t>關係人</t>
        </is>
      </c>
      <c r="C9" s="623" t="n"/>
      <c r="D9" s="623" t="n"/>
      <c r="E9" s="625" t="n"/>
      <c r="F9" s="630" t="inlineStr">
        <is>
          <t>性別</t>
        </is>
      </c>
      <c r="G9" s="625" t="n"/>
      <c r="H9" s="630" t="inlineStr">
        <is>
          <t>年齡</t>
        </is>
      </c>
      <c r="I9" s="625" t="n"/>
      <c r="J9" s="630" t="inlineStr">
        <is>
          <t>出生日期</t>
        </is>
      </c>
      <c r="K9" s="623" t="n"/>
      <c r="L9" s="623" t="n"/>
      <c r="M9" s="625" t="n"/>
      <c r="N9" s="630" t="inlineStr">
        <is>
          <t>職業</t>
        </is>
      </c>
      <c r="O9" s="625" t="n"/>
      <c r="P9" s="630" t="inlineStr">
        <is>
          <t>出生地</t>
        </is>
      </c>
      <c r="Q9" s="623" t="n"/>
      <c r="R9" s="625" t="n"/>
      <c r="S9" s="634">
        <f>CONCATENATE("身分證",CHAR(10),"統一編號")</f>
        <v/>
      </c>
      <c r="T9" s="623" t="n"/>
      <c r="U9" s="623" t="n"/>
      <c r="V9" s="623" t="n"/>
      <c r="W9" s="625" t="n"/>
      <c r="X9" s="646" t="inlineStr">
        <is>
          <t>何　　種
關　　係</t>
        </is>
      </c>
      <c r="Y9" s="623" t="n"/>
      <c r="Z9" s="623" t="n"/>
      <c r="AA9" s="625" t="n"/>
    </row>
    <row r="10" ht="18.75" customHeight="1" s="680">
      <c r="B10" s="626" t="n"/>
      <c r="C10" s="627" t="n"/>
      <c r="D10" s="627" t="n"/>
      <c r="E10" s="628" t="n"/>
      <c r="F10" s="626" t="n"/>
      <c r="G10" s="628" t="n"/>
      <c r="H10" s="626" t="n"/>
      <c r="I10" s="628" t="n"/>
      <c r="J10" s="626" t="n"/>
      <c r="K10" s="627" t="n"/>
      <c r="L10" s="627" t="n"/>
      <c r="M10" s="628" t="n"/>
      <c r="N10" s="626" t="n"/>
      <c r="O10" s="628" t="n"/>
      <c r="P10" s="626" t="n"/>
      <c r="Q10" s="627" t="n"/>
      <c r="R10" s="628" t="n"/>
      <c r="S10" s="626" t="n"/>
      <c r="T10" s="627" t="n"/>
      <c r="U10" s="627" t="n"/>
      <c r="V10" s="627" t="n"/>
      <c r="W10" s="628" t="n"/>
      <c r="X10" s="626" t="n"/>
      <c r="Y10" s="627" t="n"/>
      <c r="Z10" s="627" t="n"/>
      <c r="AA10" s="628" t="n"/>
    </row>
    <row r="11" ht="37.5" customHeight="1" s="680">
      <c r="B11" s="624">
        <f>下拉用!$C$11</f>
        <v/>
      </c>
      <c r="C11" s="623" t="n"/>
      <c r="D11" s="623" t="n"/>
      <c r="E11" s="625" t="n"/>
      <c r="F11" s="624">
        <f>IFERROR(IF($B$11="","",VLOOKUP($B$11,個資,11,FALSE)),"")</f>
        <v/>
      </c>
      <c r="G11" s="629" t="n"/>
      <c r="H11" s="624">
        <f>IFERROR(IF($B$11="","",VLOOKUP($B$11,個資,10,FALSE)),"")</f>
        <v/>
      </c>
      <c r="I11" s="629" t="n"/>
      <c r="J11" s="649">
        <f>IF($B$11="","",VLOOKUP($B$11,個資,16,FALSE))</f>
        <v/>
      </c>
      <c r="K11" s="631" t="n"/>
      <c r="L11" s="631" t="n"/>
      <c r="M11" s="629" t="n"/>
      <c r="N11" s="624">
        <f>IF($B$11="","",VLOOKUP($B$11,個資,8,FALSE))</f>
        <v/>
      </c>
      <c r="O11" s="629" t="n"/>
      <c r="P11" s="624">
        <f>IF($B$11="","",VLOOKUP($B$11,個資,3,FALSE))</f>
        <v/>
      </c>
      <c r="Q11" s="631" t="n"/>
      <c r="R11" s="629" t="n"/>
      <c r="S11" s="624">
        <f>UPPER(IF($B$11="","",VLOOKUP($B$11,個資,2,FALSE)))</f>
        <v/>
      </c>
      <c r="T11" s="631" t="n"/>
      <c r="U11" s="631" t="n"/>
      <c r="V11" s="631" t="n"/>
      <c r="W11" s="629" t="n"/>
      <c r="X11" s="624">
        <f>IF($B$11="","",VLOOKUP($B$11,個資,12,FALSE))</f>
        <v/>
      </c>
      <c r="Y11" s="631" t="n"/>
      <c r="Z11" s="631" t="n"/>
      <c r="AA11" s="629" t="n"/>
    </row>
    <row r="12" ht="37.5" customHeight="1" s="680">
      <c r="B12" s="626" t="n"/>
      <c r="C12" s="627" t="n"/>
      <c r="D12" s="627" t="n"/>
      <c r="E12" s="628" t="n"/>
      <c r="F12" s="630" t="inlineStr">
        <is>
          <t>住居所</t>
        </is>
      </c>
      <c r="G12" s="631" t="n"/>
      <c r="H12" s="631" t="n"/>
      <c r="I12" s="629" t="n"/>
      <c r="J12" s="632">
        <f>IF($B$11="","",VLOOKUP($B$11,個資,6,FALSE))</f>
        <v/>
      </c>
      <c r="K12" s="631" t="n"/>
      <c r="L12" s="631" t="n"/>
      <c r="M12" s="631" t="n"/>
      <c r="N12" s="631" t="n"/>
      <c r="O12" s="631" t="n"/>
      <c r="P12" s="631" t="n"/>
      <c r="Q12" s="631" t="n"/>
      <c r="R12" s="631" t="n"/>
      <c r="S12" s="631" t="n"/>
      <c r="T12" s="631" t="n"/>
      <c r="U12" s="631" t="n"/>
      <c r="V12" s="631" t="n"/>
      <c r="W12" s="631" t="n"/>
      <c r="X12" s="631" t="n"/>
      <c r="Y12" s="631" t="n"/>
      <c r="Z12" s="631" t="n"/>
      <c r="AA12" s="629" t="n"/>
    </row>
    <row r="13" ht="37.5" customHeight="1" s="680">
      <c r="B13" s="630" t="inlineStr">
        <is>
          <t>查獲時間</t>
        </is>
      </c>
      <c r="C13" s="631" t="n"/>
      <c r="D13" s="631" t="n"/>
      <c r="E13" s="629" t="n"/>
      <c r="F13" s="463" t="n"/>
      <c r="G13" s="1325">
        <f>IF(ISBLANK(輸入!$C$11),下拉用!$J$13,下拉用!$J$12)</f>
        <v/>
      </c>
      <c r="H13" s="631" t="n"/>
      <c r="I13" s="631" t="n"/>
      <c r="J13" s="631" t="n"/>
      <c r="K13" s="631" t="n"/>
      <c r="L13" s="631" t="n"/>
      <c r="M13" s="631" t="n"/>
      <c r="N13" s="631" t="n"/>
      <c r="O13" s="631" t="n"/>
      <c r="P13" s="631" t="n"/>
      <c r="Q13" s="631" t="n"/>
      <c r="R13" s="631" t="n"/>
      <c r="S13" s="631" t="n"/>
      <c r="T13" s="631" t="n"/>
      <c r="U13" s="631" t="n"/>
      <c r="V13" s="511" t="n"/>
      <c r="W13" s="511" t="n"/>
      <c r="X13" s="511" t="n"/>
      <c r="Y13" s="511" t="n"/>
      <c r="Z13" s="511" t="n"/>
      <c r="AA13" s="510" t="n"/>
    </row>
    <row r="14" ht="37.5" customHeight="1" s="680">
      <c r="B14" s="630" t="inlineStr">
        <is>
          <t>查獲地點</t>
        </is>
      </c>
      <c r="C14" s="631" t="n"/>
      <c r="D14" s="631" t="n"/>
      <c r="E14" s="629" t="n"/>
      <c r="F14" s="27" t="n"/>
      <c r="G14" s="643">
        <f>IF(ISBLANK(輸入!$C$13),輸入!$S$23,輸入!$C$13)</f>
        <v/>
      </c>
      <c r="H14" s="631" t="n"/>
      <c r="I14" s="631" t="n"/>
      <c r="J14" s="631" t="n"/>
      <c r="K14" s="631" t="n"/>
      <c r="L14" s="631" t="n"/>
      <c r="M14" s="631" t="n"/>
      <c r="N14" s="631" t="n"/>
      <c r="O14" s="631" t="n"/>
      <c r="P14" s="631" t="n"/>
      <c r="Q14" s="631" t="n"/>
      <c r="R14" s="631" t="n"/>
      <c r="S14" s="631" t="n"/>
      <c r="T14" s="631" t="n"/>
      <c r="U14" s="631" t="n"/>
      <c r="V14" s="631" t="n"/>
      <c r="W14" s="631" t="n"/>
      <c r="X14" s="631" t="n"/>
      <c r="Y14" s="631" t="n"/>
      <c r="Z14" s="631" t="n"/>
      <c r="AA14" s="629" t="n"/>
    </row>
    <row r="15" ht="37.5" customHeight="1" s="680">
      <c r="B15" s="630" t="inlineStr">
        <is>
          <t>觸犯法條</t>
        </is>
      </c>
      <c r="C15" s="631" t="n"/>
      <c r="D15" s="631" t="n"/>
      <c r="E15" s="629" t="n"/>
      <c r="F15" s="27" t="n"/>
      <c r="G15" s="636">
        <f>IF(輸入!$C$2="通緝",輸入!$H$2&amp;輸入!$C$2,IF(輸入!$C$2="公共危險",輸入!$C$2&amp;" (酒後駕車)",輸入!$C$2))</f>
        <v/>
      </c>
      <c r="H15" s="631" t="n"/>
      <c r="I15" s="631" t="n"/>
      <c r="J15" s="631" t="n"/>
      <c r="K15" s="631" t="n"/>
      <c r="L15" s="631" t="n"/>
      <c r="M15" s="631" t="n"/>
      <c r="N15" s="631" t="n"/>
      <c r="O15" s="631" t="n"/>
      <c r="P15" s="631" t="n"/>
      <c r="Q15" s="631" t="n"/>
      <c r="R15" s="631" t="n"/>
      <c r="S15" s="631" t="n"/>
      <c r="T15" s="631" t="n"/>
      <c r="U15" s="631" t="n"/>
      <c r="V15" s="631" t="n"/>
      <c r="W15" s="631" t="n"/>
      <c r="X15" s="631" t="n"/>
      <c r="Y15" s="631" t="n"/>
      <c r="Z15" s="631" t="n"/>
      <c r="AA15" s="629" t="n"/>
    </row>
    <row r="16" ht="166.5" customHeight="1" s="680">
      <c r="B16" s="630" t="inlineStr">
        <is>
          <t>違反事實</t>
        </is>
      </c>
      <c r="C16" s="631" t="n"/>
      <c r="D16" s="631" t="n"/>
      <c r="E16" s="629" t="n"/>
      <c r="F16" s="637">
        <f>IF(OR(輸入!$C$2="通緝",輸入!$C$2="公共危險",輸入!$C$2="毒品危害防制條例"), 輸入!$S$8,CONCATENATE(輸入!$T$2,CHAR(10),輸入!$T$4,CHAR(10),輸入!$T$6))</f>
        <v/>
      </c>
      <c r="G16" s="638" t="n"/>
      <c r="H16" s="638" t="n"/>
      <c r="I16" s="638" t="n"/>
      <c r="J16" s="638" t="n"/>
      <c r="K16" s="638" t="n"/>
      <c r="L16" s="638" t="n"/>
      <c r="M16" s="638" t="n"/>
      <c r="N16" s="638" t="n"/>
      <c r="O16" s="638" t="n"/>
      <c r="P16" s="638" t="n"/>
      <c r="Q16" s="638" t="n"/>
      <c r="R16" s="638" t="n"/>
      <c r="S16" s="638" t="n"/>
      <c r="T16" s="638" t="n"/>
      <c r="U16" s="638" t="n"/>
      <c r="V16" s="638" t="n"/>
      <c r="W16" s="638" t="n"/>
      <c r="X16" s="638" t="n"/>
      <c r="Y16" s="638" t="n"/>
      <c r="Z16" s="638" t="n"/>
      <c r="AA16" s="639" t="n"/>
    </row>
    <row r="17" ht="45" customHeight="1" s="680">
      <c r="B17" s="633" t="inlineStr">
        <is>
          <t>附送刑案</t>
        </is>
      </c>
      <c r="C17" s="623" t="n"/>
      <c r="D17" s="623" t="n"/>
      <c r="E17" s="625" t="n"/>
      <c r="F17" s="635" t="inlineStr">
        <is>
          <t xml:space="preserve">一、警詢筆錄。
二、各式附表。
              </t>
        </is>
      </c>
      <c r="G17" s="623" t="n"/>
      <c r="H17" s="623" t="n"/>
      <c r="I17" s="623" t="n"/>
      <c r="J17" s="623" t="n"/>
      <c r="K17" s="623" t="n"/>
      <c r="L17" s="623" t="n"/>
      <c r="M17" s="623" t="n"/>
      <c r="N17" s="625" t="n"/>
      <c r="O17" s="653" t="inlineStr">
        <is>
          <t>處理員警</t>
        </is>
      </c>
      <c r="P17" s="623" t="n"/>
      <c r="Q17" s="623" t="n"/>
      <c r="R17" s="625" t="n"/>
      <c r="S17" s="651">
        <f>CONCATENATE(輸入!$T$24," ",輸入!$O$8)</f>
        <v/>
      </c>
      <c r="T17" s="623" t="n"/>
      <c r="U17" s="623" t="n"/>
      <c r="V17" s="623" t="n"/>
      <c r="W17" s="623" t="n"/>
      <c r="X17" s="623" t="n"/>
      <c r="Y17" s="623" t="n"/>
      <c r="Z17" s="623" t="n"/>
      <c r="AA17" s="625" t="n"/>
    </row>
    <row r="18" ht="45" customHeight="1" s="680">
      <c r="B18" s="645" t="inlineStr">
        <is>
          <t>犯罪證據</t>
        </is>
      </c>
      <c r="C18" s="627" t="n"/>
      <c r="D18" s="627" t="n"/>
      <c r="E18" s="628" t="n"/>
      <c r="F18" s="626" t="n"/>
      <c r="G18" s="627" t="n"/>
      <c r="H18" s="627" t="n"/>
      <c r="I18" s="627" t="n"/>
      <c r="J18" s="627" t="n"/>
      <c r="K18" s="627" t="n"/>
      <c r="L18" s="627" t="n"/>
      <c r="M18" s="627" t="n"/>
      <c r="N18" s="628" t="n"/>
      <c r="O18" s="626" t="n"/>
      <c r="P18" s="627" t="n"/>
      <c r="Q18" s="627" t="n"/>
      <c r="R18" s="628" t="n"/>
      <c r="S18" s="626" t="n"/>
      <c r="T18" s="627" t="n"/>
      <c r="U18" s="627" t="n"/>
      <c r="V18" s="627" t="n"/>
      <c r="W18" s="627" t="n"/>
      <c r="X18" s="627" t="n"/>
      <c r="Y18" s="627" t="n"/>
      <c r="Z18" s="627" t="n"/>
      <c r="AA18" s="628" t="n"/>
    </row>
    <row r="19" ht="15.75" customHeight="1" s="680">
      <c r="B19" s="652" t="n"/>
      <c r="C19" s="623" t="n"/>
      <c r="D19" s="623" t="n"/>
      <c r="E19" s="623" t="n"/>
      <c r="F19" s="623" t="n"/>
      <c r="G19" s="622" t="n"/>
      <c r="H19" s="623" t="n"/>
      <c r="I19" s="623" t="n"/>
      <c r="J19" s="623" t="n"/>
      <c r="K19" s="623" t="n"/>
      <c r="L19" s="623" t="n"/>
      <c r="M19" s="623" t="n"/>
      <c r="N19" s="623" t="n"/>
      <c r="O19" s="623" t="n"/>
      <c r="P19" s="623" t="n"/>
      <c r="Q19" s="623" t="n"/>
      <c r="R19" s="623" t="n"/>
      <c r="S19" s="623" t="n"/>
      <c r="T19" s="623" t="n"/>
      <c r="U19" s="623" t="n"/>
      <c r="V19" s="623" t="n"/>
      <c r="W19" s="623" t="n"/>
      <c r="X19" s="623" t="n"/>
      <c r="Y19" s="623" t="n"/>
      <c r="Z19" s="623" t="n"/>
      <c r="AA19" s="623" t="n"/>
    </row>
    <row r="20" ht="19.5" customHeight="1" s="680">
      <c r="B20" s="647" t="n"/>
      <c r="C20" s="654" t="inlineStr">
        <is>
          <t>承辦單位主管</t>
        </is>
      </c>
      <c r="D20" s="642" t="n"/>
      <c r="E20" s="642" t="n"/>
      <c r="F20" s="642" t="n"/>
      <c r="G20" s="642" t="n"/>
      <c r="H20" s="642" t="n"/>
      <c r="I20" s="642" t="n"/>
      <c r="J20" s="26" t="n"/>
      <c r="K20" s="26" t="n"/>
      <c r="L20" s="26" t="n"/>
      <c r="M20" s="26" t="n"/>
      <c r="N20" s="26" t="n"/>
      <c r="O20" s="26" t="n"/>
      <c r="P20" s="26" t="n"/>
      <c r="Q20" s="26" t="n"/>
      <c r="R20" s="26" t="n"/>
      <c r="S20" s="26" t="n"/>
      <c r="T20" s="26" t="n"/>
      <c r="U20" s="26" t="n"/>
      <c r="V20" s="26" t="n"/>
      <c r="W20" s="26" t="n"/>
      <c r="X20" s="26" t="n"/>
      <c r="Y20" s="26" t="n"/>
      <c r="Z20" s="26" t="n"/>
      <c r="AA20" s="26" t="n"/>
    </row>
    <row r="21" ht="30" customHeight="1" s="680">
      <c r="B21" s="650" t="n"/>
      <c r="C21" s="642" t="n"/>
      <c r="D21" s="642" t="n"/>
      <c r="E21" s="642" t="n"/>
      <c r="F21" s="642" t="n"/>
      <c r="G21" s="647" t="n"/>
      <c r="H21" s="642" t="n"/>
      <c r="I21" s="642" t="n"/>
      <c r="J21" s="642" t="n"/>
      <c r="K21" s="642" t="n"/>
      <c r="L21" s="642" t="n"/>
      <c r="M21" s="642" t="n"/>
      <c r="N21" s="642" t="n"/>
      <c r="O21" s="642" t="n"/>
      <c r="P21" s="642" t="n"/>
      <c r="Q21" s="642" t="n"/>
      <c r="R21" s="642" t="n"/>
      <c r="S21" s="642" t="n"/>
      <c r="T21" s="642" t="n"/>
      <c r="U21" s="642" t="n"/>
      <c r="V21" s="642" t="n"/>
      <c r="W21" s="642" t="n"/>
      <c r="X21" s="642" t="n"/>
      <c r="Y21" s="642" t="n"/>
      <c r="Z21" s="642" t="n"/>
      <c r="AA21" s="642" t="n"/>
    </row>
  </sheetData>
  <mergeCells count="59">
    <mergeCell ref="F11:G11"/>
    <mergeCell ref="P11:R11"/>
    <mergeCell ref="S9:W10"/>
    <mergeCell ref="N11:O11"/>
    <mergeCell ref="N7:O7"/>
    <mergeCell ref="P5:R6"/>
    <mergeCell ref="J9:M10"/>
    <mergeCell ref="B15:E15"/>
    <mergeCell ref="G13:U13"/>
    <mergeCell ref="G19:AA19"/>
    <mergeCell ref="B11:E12"/>
    <mergeCell ref="F7:G7"/>
    <mergeCell ref="B21:F21"/>
    <mergeCell ref="F9:G10"/>
    <mergeCell ref="P7:R7"/>
    <mergeCell ref="N9:O10"/>
    <mergeCell ref="B4:E4"/>
    <mergeCell ref="S11:W11"/>
    <mergeCell ref="S7:W7"/>
    <mergeCell ref="G15:AA15"/>
    <mergeCell ref="B16:E16"/>
    <mergeCell ref="P9:R10"/>
    <mergeCell ref="B2:AA2"/>
    <mergeCell ref="F4:AA4"/>
    <mergeCell ref="H5:I6"/>
    <mergeCell ref="X11:AA11"/>
    <mergeCell ref="G14:AA14"/>
    <mergeCell ref="X5:AA6"/>
    <mergeCell ref="S17:AA18"/>
    <mergeCell ref="B18:E18"/>
    <mergeCell ref="H11:I11"/>
    <mergeCell ref="J12:AA12"/>
    <mergeCell ref="B9:E10"/>
    <mergeCell ref="F16:AA16"/>
    <mergeCell ref="H7:I7"/>
    <mergeCell ref="B19:F19"/>
    <mergeCell ref="C20:I20"/>
    <mergeCell ref="O17:R18"/>
    <mergeCell ref="F12:I12"/>
    <mergeCell ref="V3:AA3"/>
    <mergeCell ref="S6:W6"/>
    <mergeCell ref="X7:AA7"/>
    <mergeCell ref="X9:AA10"/>
    <mergeCell ref="B5:E6"/>
    <mergeCell ref="F17:N18"/>
    <mergeCell ref="B14:E14"/>
    <mergeCell ref="H9:I10"/>
    <mergeCell ref="J8:AA8"/>
    <mergeCell ref="B17:E17"/>
    <mergeCell ref="G21:AA21"/>
    <mergeCell ref="J5:M6"/>
    <mergeCell ref="F8:I8"/>
    <mergeCell ref="B13:E13"/>
    <mergeCell ref="S5:W5"/>
    <mergeCell ref="F5:G6"/>
    <mergeCell ref="J11:M11"/>
    <mergeCell ref="B7:E8"/>
    <mergeCell ref="J7:M7"/>
    <mergeCell ref="N5:O6"/>
  </mergeCells>
  <pageMargins left="0.5625" right="0.3543307086614174" top="0.3937007874015748" bottom="0.3937007874015748" header="0.5118110236220472" footer="0.5118110236220472"/>
  <pageSetup orientation="portrait" paperSize="9"/>
</worksheet>
</file>

<file path=xl/worksheets/sheet8.xml><?xml version="1.0" encoding="utf-8"?>
<worksheet xmlns="http://schemas.openxmlformats.org/spreadsheetml/2006/main">
  <sheetPr codeName="工作表45">
    <outlinePr summaryBelow="1" summaryRight="1"/>
    <pageSetUpPr/>
  </sheetPr>
  <dimension ref="A1:P20"/>
  <sheetViews>
    <sheetView view="pageLayout" topLeftCell="A7" zoomScaleNormal="100" workbookViewId="0">
      <selection activeCell="A3" sqref="A3:O3"/>
    </sheetView>
  </sheetViews>
  <sheetFormatPr baseColWidth="8" defaultRowHeight="20.25" customHeight="1"/>
  <cols>
    <col width="4.375" customWidth="1" style="33" min="1" max="1"/>
    <col width="5.5" customWidth="1" style="33" min="2" max="2"/>
    <col width="7" customWidth="1" style="33" min="3" max="3"/>
    <col width="4.875" customWidth="1" style="33" min="4" max="4"/>
    <col width="9" customWidth="1" style="33" min="5" max="5"/>
    <col width="5.875" customWidth="1" style="33" min="6" max="6"/>
    <col width="3" customWidth="1" style="33" min="7" max="7"/>
    <col width="4.625" customWidth="1" style="33" min="8" max="8"/>
    <col width="9" customWidth="1" style="33" min="9" max="9"/>
    <col width="5.5" customWidth="1" style="33" min="10" max="10"/>
    <col width="4" customWidth="1" style="33" min="11" max="11"/>
    <col width="5.75" customWidth="1" style="33" min="12" max="12"/>
    <col width="5.125" customWidth="1" style="33" min="13" max="13"/>
    <col width="7.75" customWidth="1" style="33" min="14" max="14"/>
    <col width="8.625" customWidth="1" style="33" min="15" max="15"/>
    <col width="14.125" customWidth="1" style="33" min="16" max="16"/>
    <col width="12.375" customWidth="1" style="33" min="17" max="17"/>
    <col width="9" customWidth="1" style="33" min="18" max="18"/>
    <col width="9" customWidth="1" style="33" min="19" max="16384"/>
  </cols>
  <sheetData>
    <row r="1" ht="37.5" customHeight="1" s="680">
      <c r="A1" s="660">
        <f>CONCATENATE(輸入!$S$18,輸入!$T$18,輸入!$S$19,輸入!$T$19,"-刑事案件調閱監視錄影畫面檢核表")</f>
        <v/>
      </c>
      <c r="B1" s="580" t="n"/>
      <c r="C1" s="580" t="n"/>
      <c r="D1" s="580" t="n"/>
      <c r="E1" s="580" t="n"/>
      <c r="F1" s="580" t="n"/>
      <c r="G1" s="580" t="n"/>
      <c r="H1" s="580" t="n"/>
      <c r="I1" s="580" t="n"/>
      <c r="J1" s="580" t="n"/>
      <c r="K1" s="580" t="n"/>
      <c r="L1" s="580" t="n"/>
      <c r="M1" s="580" t="n"/>
      <c r="N1" s="580" t="n"/>
      <c r="O1" s="581" t="n"/>
      <c r="P1" s="339" t="n"/>
    </row>
    <row r="2" ht="35.25" customHeight="1" s="680">
      <c r="A2" s="656">
        <f>CONCATENATE("案類: ",呈報單!$G$15,"案")</f>
        <v/>
      </c>
      <c r="B2" s="577" t="n"/>
      <c r="C2" s="577" t="n"/>
      <c r="D2" s="577" t="n"/>
      <c r="E2" s="577" t="n"/>
      <c r="F2" s="574" t="n"/>
      <c r="G2" s="656">
        <f>CONCATENATE("受理報案時間: ",下拉用!$J$9,"")</f>
        <v/>
      </c>
      <c r="H2" s="577" t="n"/>
      <c r="I2" s="577" t="n"/>
      <c r="J2" s="577" t="n"/>
      <c r="K2" s="577" t="n"/>
      <c r="L2" s="577" t="n"/>
      <c r="M2" s="577" t="n"/>
      <c r="N2" s="577" t="n"/>
      <c r="O2" s="574" t="n"/>
      <c r="P2" s="483" t="n"/>
    </row>
    <row r="3" ht="36.75" customHeight="1" s="680">
      <c r="A3" s="662" t="inlineStr">
        <is>
          <t>案件由所(副所)長                (簽名)指派員警             調閱</t>
        </is>
      </c>
      <c r="B3" s="577" t="n"/>
      <c r="C3" s="577" t="n"/>
      <c r="D3" s="577" t="n"/>
      <c r="E3" s="577" t="n"/>
      <c r="F3" s="577" t="n"/>
      <c r="G3" s="577" t="n"/>
      <c r="H3" s="577" t="n"/>
      <c r="I3" s="577" t="n"/>
      <c r="J3" s="577" t="n"/>
      <c r="K3" s="577" t="n"/>
      <c r="L3" s="577" t="n"/>
      <c r="M3" s="577" t="n"/>
      <c r="N3" s="577" t="n"/>
      <c r="O3" s="574" t="n"/>
      <c r="P3" s="483" t="n"/>
    </row>
    <row r="4" ht="24.75" customHeight="1" s="680">
      <c r="A4" s="655" t="inlineStr">
        <is>
          <t>研判歹徒作案時地</t>
        </is>
      </c>
      <c r="B4" s="580" t="n"/>
      <c r="C4" s="580" t="n"/>
      <c r="D4" s="581" t="n"/>
      <c r="E4" s="659">
        <f>CONCATENATE("犯案地點: ",輸入!$C$7,"")</f>
        <v/>
      </c>
      <c r="F4" s="577" t="n"/>
      <c r="G4" s="577" t="n"/>
      <c r="H4" s="577" t="n"/>
      <c r="I4" s="577" t="n"/>
      <c r="J4" s="577" t="n"/>
      <c r="K4" s="577" t="n"/>
      <c r="L4" s="577" t="n"/>
      <c r="M4" s="577" t="n"/>
      <c r="N4" s="577" t="n"/>
      <c r="O4" s="574" t="n"/>
      <c r="P4" s="340" t="n"/>
    </row>
    <row r="5" ht="28.5" customHeight="1" s="680">
      <c r="A5" s="582" t="n"/>
      <c r="B5" s="583" t="n"/>
      <c r="C5" s="583" t="n"/>
      <c r="D5" s="584" t="n"/>
      <c r="E5" s="657">
        <f>CONCATENATE("犯案時間: ",LEFT(下拉用!$J$6,13),"00分至",LEFT(下拉用!$J$6,10),MID(下拉用!$J$6,11,2),"時00分")</f>
        <v/>
      </c>
      <c r="F5" s="577" t="n"/>
      <c r="G5" s="577" t="n"/>
      <c r="H5" s="577" t="n"/>
      <c r="I5" s="577" t="n"/>
      <c r="J5" s="577" t="n"/>
      <c r="K5" s="577" t="n"/>
      <c r="L5" s="577" t="n"/>
      <c r="M5" s="577" t="n"/>
      <c r="N5" s="577" t="n"/>
      <c r="O5" s="574" t="n"/>
      <c r="P5" s="599" t="n"/>
    </row>
    <row r="6" ht="36.75" customHeight="1" s="680">
      <c r="A6" s="661" t="inlineStr">
        <is>
          <t>錄影帶調閱地點、時段、約計調閱時間長度</t>
        </is>
      </c>
      <c r="B6" s="577" t="n"/>
      <c r="C6" s="577" t="n"/>
      <c r="D6" s="577" t="n"/>
      <c r="E6" s="577" t="n"/>
      <c r="F6" s="577" t="n"/>
      <c r="G6" s="577" t="n"/>
      <c r="H6" s="577" t="n"/>
      <c r="I6" s="577" t="n"/>
      <c r="J6" s="577" t="n"/>
      <c r="K6" s="577" t="n"/>
      <c r="L6" s="577" t="n"/>
      <c r="M6" s="577" t="n"/>
      <c r="N6" s="577" t="n"/>
      <c r="O6" s="574" t="n"/>
      <c r="P6" s="483" t="n"/>
    </row>
    <row r="7" ht="18.75" customHeight="1" s="680">
      <c r="A7" s="341" t="n"/>
      <c r="B7" s="579" t="inlineStr">
        <is>
          <t>調閱地點</t>
        </is>
      </c>
      <c r="C7" s="577" t="n"/>
      <c r="D7" s="577" t="n"/>
      <c r="E7" s="577" t="n"/>
      <c r="F7" s="577" t="n"/>
      <c r="G7" s="574" t="n"/>
      <c r="H7" s="579" t="inlineStr">
        <is>
          <t>調閱時段</t>
        </is>
      </c>
      <c r="I7" s="577" t="n"/>
      <c r="J7" s="577" t="n"/>
      <c r="K7" s="577" t="n"/>
      <c r="L7" s="574" t="n"/>
      <c r="M7" s="579" t="inlineStr">
        <is>
          <t>時間長度</t>
        </is>
      </c>
      <c r="N7" s="577" t="n"/>
      <c r="O7" s="574" t="n"/>
    </row>
    <row r="8" ht="28.35" customHeight="1" s="680">
      <c r="A8" s="579" t="n">
        <v>1</v>
      </c>
      <c r="B8" s="579" t="inlineStr">
        <is>
          <t>臺北市中山區農安街28號</t>
        </is>
      </c>
      <c r="C8" s="577" t="n"/>
      <c r="D8" s="577" t="n"/>
      <c r="E8" s="577" t="n"/>
      <c r="F8" s="577" t="n"/>
      <c r="G8" s="574" t="n"/>
      <c r="H8" s="579">
        <f>CONCATENATE(,MID(輸入!$C$8,4,4),"/",MID(下拉用!$J$6,11,2),"00-",MID(輸入!$C$8,4,4),"/",MID(下拉用!$J$6,11,2),"00")</f>
        <v/>
      </c>
      <c r="I8" s="577" t="n"/>
      <c r="J8" s="577" t="n"/>
      <c r="K8" s="577" t="n"/>
      <c r="L8" s="574" t="n"/>
      <c r="M8" s="579" t="inlineStr">
        <is>
          <t>1小時</t>
        </is>
      </c>
      <c r="N8" s="577" t="n"/>
      <c r="O8" s="574" t="n"/>
    </row>
    <row r="9" ht="28.5" customHeight="1" s="680">
      <c r="A9" s="579" t="n">
        <v>2</v>
      </c>
      <c r="B9" s="606" t="n"/>
      <c r="C9" s="577" t="n"/>
      <c r="D9" s="577" t="n"/>
      <c r="E9" s="577" t="n"/>
      <c r="F9" s="577" t="n"/>
      <c r="G9" s="574" t="n"/>
      <c r="H9" s="579">
        <f>CONCATENATE(,MID(輸入!$C$8,4,4),"/",MID(下拉用!$J$6,11,2),"00-",MID(輸入!$C$8,4,4),"/",MID(下拉用!$J$6,11,2),"00")</f>
        <v/>
      </c>
      <c r="I9" s="577" t="n"/>
      <c r="J9" s="577" t="n"/>
      <c r="K9" s="577" t="n"/>
      <c r="L9" s="574" t="n"/>
      <c r="M9" s="579" t="inlineStr">
        <is>
          <t>1小時</t>
        </is>
      </c>
      <c r="N9" s="577" t="n"/>
      <c r="O9" s="574" t="n"/>
    </row>
    <row r="10" ht="28.5" customHeight="1" s="680">
      <c r="A10" s="579" t="n">
        <v>3</v>
      </c>
      <c r="B10" s="606" t="n"/>
      <c r="C10" s="577" t="n"/>
      <c r="D10" s="577" t="n"/>
      <c r="E10" s="577" t="n"/>
      <c r="F10" s="577" t="n"/>
      <c r="G10" s="574" t="n"/>
      <c r="H10" s="579">
        <f>CONCATENATE(,MID(輸入!$C$8,4,4),"/",MID(下拉用!$J$6,11,2),"00-",MID(輸入!$C$8,4,4),"/",MID(下拉用!$J$6,11,2),"00")</f>
        <v/>
      </c>
      <c r="I10" s="577" t="n"/>
      <c r="J10" s="577" t="n"/>
      <c r="K10" s="577" t="n"/>
      <c r="L10" s="574" t="n"/>
      <c r="M10" s="579" t="inlineStr">
        <is>
          <t>1小時</t>
        </is>
      </c>
      <c r="N10" s="577" t="n"/>
      <c r="O10" s="574" t="n"/>
    </row>
    <row r="11" ht="29.25" customHeight="1" s="680">
      <c r="A11" s="579" t="n">
        <v>4</v>
      </c>
      <c r="B11" s="606" t="n"/>
      <c r="C11" s="577" t="n"/>
      <c r="D11" s="577" t="n"/>
      <c r="E11" s="577" t="n"/>
      <c r="F11" s="577" t="n"/>
      <c r="G11" s="574" t="n"/>
      <c r="H11" s="579">
        <f>CONCATENATE(,MID(輸入!$C$8,4,4),"/",MID(下拉用!$J$6,11,2),"00-",MID(輸入!$C$8,4,4),"/",MID(下拉用!$J$6,11,2),"00")</f>
        <v/>
      </c>
      <c r="I11" s="577" t="n"/>
      <c r="J11" s="577" t="n"/>
      <c r="K11" s="577" t="n"/>
      <c r="L11" s="574" t="n"/>
      <c r="M11" s="579" t="inlineStr">
        <is>
          <t>1小時</t>
        </is>
      </c>
      <c r="N11" s="577" t="n"/>
      <c r="O11" s="574" t="n"/>
    </row>
    <row r="12" ht="28.5" customHeight="1" s="680">
      <c r="A12" s="579" t="n">
        <v>5</v>
      </c>
      <c r="B12" s="606" t="n"/>
      <c r="C12" s="577" t="n"/>
      <c r="D12" s="577" t="n"/>
      <c r="E12" s="577" t="n"/>
      <c r="F12" s="577" t="n"/>
      <c r="G12" s="574" t="n"/>
      <c r="H12" s="579">
        <f>CONCATENATE(,MID(輸入!$C$8,4,4),"/",MID(下拉用!$J$6,11,2),"00-",MID(輸入!$C$8,4,4),"/",MID(下拉用!$J$6,11,2),"00")</f>
        <v/>
      </c>
      <c r="I12" s="577" t="n"/>
      <c r="J12" s="577" t="n"/>
      <c r="K12" s="577" t="n"/>
      <c r="L12" s="574" t="n"/>
      <c r="M12" s="579" t="inlineStr">
        <is>
          <t>1小時</t>
        </is>
      </c>
      <c r="N12" s="577" t="n"/>
      <c r="O12" s="574" t="n"/>
    </row>
    <row r="13" ht="29.25" customHeight="1" s="680">
      <c r="A13" s="579" t="n">
        <v>6</v>
      </c>
      <c r="B13" s="606" t="n"/>
      <c r="C13" s="577" t="n"/>
      <c r="D13" s="577" t="n"/>
      <c r="E13" s="577" t="n"/>
      <c r="F13" s="577" t="n"/>
      <c r="G13" s="574" t="n"/>
      <c r="H13" s="579">
        <f>CONCATENATE(,MID(輸入!$C$8,4,4),"/",MID(下拉用!$J$6,11,2),"00-",MID(輸入!$C$8,4,4),"/",MID(下拉用!$J$6,11,2),"00")</f>
        <v/>
      </c>
      <c r="I13" s="577" t="n"/>
      <c r="J13" s="577" t="n"/>
      <c r="K13" s="577" t="n"/>
      <c r="L13" s="574" t="n"/>
      <c r="M13" s="579" t="inlineStr">
        <is>
          <t>1小時</t>
        </is>
      </c>
      <c r="N13" s="577" t="n"/>
      <c r="O13" s="574" t="n"/>
    </row>
    <row r="14" ht="29.25" customHeight="1" s="680">
      <c r="A14" s="579" t="n">
        <v>7</v>
      </c>
      <c r="B14" s="606" t="n"/>
      <c r="C14" s="577" t="n"/>
      <c r="D14" s="577" t="n"/>
      <c r="E14" s="577" t="n"/>
      <c r="F14" s="577" t="n"/>
      <c r="G14" s="574" t="n"/>
      <c r="H14" s="579">
        <f>CONCATENATE(,MID(輸入!$C$8,4,4),"/",MID(下拉用!$J$6,11,2),"00-",MID(輸入!$C$8,4,4),"/",MID(下拉用!$J$6,11,2),"00")</f>
        <v/>
      </c>
      <c r="I14" s="577" t="n"/>
      <c r="J14" s="577" t="n"/>
      <c r="K14" s="577" t="n"/>
      <c r="L14" s="574" t="n"/>
      <c r="M14" s="579" t="inlineStr">
        <is>
          <t>1小時</t>
        </is>
      </c>
      <c r="N14" s="577" t="n"/>
      <c r="O14" s="574" t="n"/>
    </row>
    <row r="15" ht="28.5" customHeight="1" s="680">
      <c r="A15" s="579" t="n">
        <v>8</v>
      </c>
      <c r="B15" s="606" t="n"/>
      <c r="C15" s="577" t="n"/>
      <c r="D15" s="577" t="n"/>
      <c r="E15" s="577" t="n"/>
      <c r="F15" s="577" t="n"/>
      <c r="G15" s="574" t="n"/>
      <c r="H15" s="579">
        <f>CONCATENATE(,MID(輸入!$C$8,4,4),"/",MID(下拉用!$J$6,11,2),"00-",MID(輸入!$C$8,4,4),"/",MID(下拉用!$J$6,11,2),"00")</f>
        <v/>
      </c>
      <c r="I15" s="577" t="n"/>
      <c r="J15" s="577" t="n"/>
      <c r="K15" s="577" t="n"/>
      <c r="L15" s="574" t="n"/>
      <c r="M15" s="579" t="inlineStr">
        <is>
          <t>1小時</t>
        </is>
      </c>
      <c r="N15" s="577" t="n"/>
      <c r="O15" s="574" t="n"/>
    </row>
    <row r="16" ht="27" customHeight="1" s="680">
      <c r="A16" s="655" t="inlineStr">
        <is>
          <t>調閱地點與案發地點相關聯:■是□否，原因調閱監視器之地點，為歹徒往、返路線</t>
        </is>
      </c>
      <c r="B16" s="577" t="n"/>
      <c r="C16" s="577" t="n"/>
      <c r="D16" s="577" t="n"/>
      <c r="E16" s="577" t="n"/>
      <c r="F16" s="577" t="n"/>
      <c r="G16" s="577" t="n"/>
      <c r="H16" s="577" t="n"/>
      <c r="I16" s="577" t="n"/>
      <c r="J16" s="577" t="n"/>
      <c r="K16" s="577" t="n"/>
      <c r="L16" s="577" t="n"/>
      <c r="M16" s="577" t="n"/>
      <c r="N16" s="577" t="n"/>
      <c r="O16" s="574" t="n"/>
    </row>
    <row r="17" ht="26.25" customHeight="1" s="680">
      <c r="A17" s="655" t="inlineStr">
        <is>
          <t xml:space="preserve">調閱時段與研判犯發時間相符、時段長度是否適宜: ■是□否，原因 調閱時段為竊嫌犯案時段              </t>
        </is>
      </c>
      <c r="B17" s="577" t="n"/>
      <c r="C17" s="577" t="n"/>
      <c r="D17" s="577" t="n"/>
      <c r="E17" s="577" t="n"/>
      <c r="F17" s="577" t="n"/>
      <c r="G17" s="577" t="n"/>
      <c r="H17" s="577" t="n"/>
      <c r="I17" s="577" t="n"/>
      <c r="J17" s="577" t="n"/>
      <c r="K17" s="577" t="n"/>
      <c r="L17" s="577" t="n"/>
      <c r="M17" s="577" t="n"/>
      <c r="N17" s="577" t="n"/>
      <c r="O17" s="574" t="n"/>
    </row>
    <row r="18" ht="21.75" customHeight="1" s="680">
      <c r="A18" s="655" t="inlineStr">
        <is>
          <t>檢視調閱內容是否有犯嫌相關影像: ■是；□否，是否有節錄及列印相關影像: ■是□否</t>
        </is>
      </c>
      <c r="B18" s="577" t="n"/>
      <c r="C18" s="577" t="n"/>
      <c r="D18" s="577" t="n"/>
      <c r="E18" s="577" t="n"/>
      <c r="F18" s="577" t="n"/>
      <c r="G18" s="577" t="n"/>
      <c r="H18" s="577" t="n"/>
      <c r="I18" s="577" t="n"/>
      <c r="J18" s="577" t="n"/>
      <c r="K18" s="577" t="n"/>
      <c r="L18" s="577" t="n"/>
      <c r="M18" s="577" t="n"/>
      <c r="N18" s="577" t="n"/>
      <c r="O18" s="574" t="n"/>
    </row>
    <row r="19" ht="27.75" customHeight="1" s="680">
      <c r="A19" s="655">
        <f>CONCATENATE("本案於案發後 ",MID(下拉用!$J$10,8,2)-MID(下拉用!$J$6,8,2)," 日調閱完畢後，由所長                   (簽名）確認後，彙送偵查隊。")</f>
        <v/>
      </c>
      <c r="B19" s="577" t="n"/>
      <c r="C19" s="577" t="n"/>
      <c r="D19" s="577" t="n"/>
      <c r="E19" s="577" t="n"/>
      <c r="F19" s="577" t="n"/>
      <c r="G19" s="577" t="n"/>
      <c r="H19" s="577" t="n"/>
      <c r="I19" s="577" t="n"/>
      <c r="J19" s="577" t="n"/>
      <c r="K19" s="577" t="n"/>
      <c r="L19" s="577" t="n"/>
      <c r="M19" s="577" t="n"/>
      <c r="N19" s="577" t="n"/>
      <c r="O19" s="574" t="n"/>
    </row>
    <row r="20" ht="144" customHeight="1" s="680">
      <c r="A20" s="658" t="inlineStr">
        <is>
          <t>本案由偵查隊             (職名章)承辦，案經復審該所調閱情形，為□相符、□不相符，為__________________________(予以退回補正)
複審完畢，接辦人員            (簽名)及小隊長           (簽名)確認審閱工作。</t>
        </is>
      </c>
      <c r="B20" s="577" t="n"/>
      <c r="C20" s="577" t="n"/>
      <c r="D20" s="577" t="n"/>
      <c r="E20" s="577" t="n"/>
      <c r="F20" s="577" t="n"/>
      <c r="G20" s="577" t="n"/>
      <c r="H20" s="577" t="n"/>
      <c r="I20" s="577" t="n"/>
      <c r="J20" s="577" t="n"/>
      <c r="K20" s="577" t="n"/>
      <c r="L20" s="577" t="n"/>
      <c r="M20" s="577" t="n"/>
      <c r="N20" s="577" t="n"/>
      <c r="O20" s="574" t="n"/>
    </row>
    <row r="21" ht="45.75" customHeight="1" s="680"/>
  </sheetData>
  <mergeCells count="40">
    <mergeCell ref="M11:O11"/>
    <mergeCell ref="M10:O10"/>
    <mergeCell ref="A16:O16"/>
    <mergeCell ref="B14:G14"/>
    <mergeCell ref="H10:L10"/>
    <mergeCell ref="B8:G8"/>
    <mergeCell ref="M13:O13"/>
    <mergeCell ref="M7:O7"/>
    <mergeCell ref="E5:O5"/>
    <mergeCell ref="B13:G13"/>
    <mergeCell ref="M12:O12"/>
    <mergeCell ref="A18:O18"/>
    <mergeCell ref="A3:O3"/>
    <mergeCell ref="M15:O15"/>
    <mergeCell ref="H9:L9"/>
    <mergeCell ref="A2:F2"/>
    <mergeCell ref="B10:G10"/>
    <mergeCell ref="E4:O4"/>
    <mergeCell ref="B9:G9"/>
    <mergeCell ref="M8:O8"/>
    <mergeCell ref="A17:O17"/>
    <mergeCell ref="B15:G15"/>
    <mergeCell ref="M14:O14"/>
    <mergeCell ref="A20:O20"/>
    <mergeCell ref="H11:L11"/>
    <mergeCell ref="H7:L7"/>
    <mergeCell ref="A19:O19"/>
    <mergeCell ref="A4:D5"/>
    <mergeCell ref="H13:L13"/>
    <mergeCell ref="B7:G7"/>
    <mergeCell ref="G2:O2"/>
    <mergeCell ref="H12:L12"/>
    <mergeCell ref="H15:L15"/>
    <mergeCell ref="M9:O9"/>
    <mergeCell ref="A1:O1"/>
    <mergeCell ref="H14:L14"/>
    <mergeCell ref="B12:G12"/>
    <mergeCell ref="A6:O6"/>
    <mergeCell ref="H8:L8"/>
    <mergeCell ref="B11:G11"/>
  </mergeCells>
  <pageMargins left="0.3937007874015748" right="0.7874015748031497" top="0.4724409448818898" bottom="0.3543307086614174" header="0.3149606299212598" footer="0.3149606299212598"/>
  <pageSetup orientation="portrait" paperSize="9"/>
</worksheet>
</file>

<file path=xl/worksheets/sheet9.xml><?xml version="1.0" encoding="utf-8"?>
<worksheet xmlns="http://schemas.openxmlformats.org/spreadsheetml/2006/main">
  <sheetPr codeName="工作表9">
    <tabColor rgb="FFFF0000"/>
    <outlinePr summaryBelow="1" summaryRight="1"/>
    <pageSetUpPr/>
  </sheetPr>
  <dimension ref="A1:V45"/>
  <sheetViews>
    <sheetView view="pageLayout" topLeftCell="A16" zoomScaleNormal="100" workbookViewId="0">
      <selection activeCell="F21" sqref="F21:U32"/>
    </sheetView>
  </sheetViews>
  <sheetFormatPr baseColWidth="8" defaultColWidth="9" defaultRowHeight="16.5"/>
  <cols>
    <col width="5.375" customWidth="1" style="592" min="1" max="1"/>
    <col width="1.625" customWidth="1" style="592" min="2" max="2"/>
    <col width="3.25" customWidth="1" style="592" min="3" max="3"/>
    <col width="3.5" customWidth="1" style="592" min="4" max="4"/>
    <col width="3.375" customWidth="1" style="592" min="5" max="5"/>
    <col width="4.625" customWidth="1" style="592" min="6" max="6"/>
    <col width="6.5" customWidth="1" style="592" min="7" max="7"/>
    <col width="5.75" customWidth="1" style="592" min="8" max="8"/>
    <col width="4.625" customWidth="1" style="592" min="9" max="9"/>
    <col width="6.125" customWidth="1" style="592" min="10" max="10"/>
    <col width="4" customWidth="1" style="592" min="11" max="11"/>
    <col width="2.375" customWidth="1" style="592" min="12" max="12"/>
    <col width="3.25" customWidth="1" style="592" min="13" max="13"/>
    <col width="2.625" customWidth="1" style="592" min="14" max="14"/>
    <col width="3" customWidth="1" style="592" min="15" max="16"/>
    <col width="2" customWidth="1" style="592" min="17" max="17"/>
    <col width="4.875" customWidth="1" style="592" min="18" max="18"/>
    <col width="4.25" customWidth="1" style="592" min="19" max="19"/>
    <col width="5" customWidth="1" style="592" min="20" max="20"/>
    <col width="2.75" customWidth="1" style="592" min="21" max="21"/>
    <col width="3.625" customWidth="1" style="592" min="22" max="22"/>
    <col width="9" customWidth="1" style="592" min="23" max="23"/>
    <col width="9" customWidth="1" style="592" min="24" max="16384"/>
  </cols>
  <sheetData>
    <row r="1" ht="14.1" customHeight="1" s="680">
      <c r="A1" s="592" t="inlineStr">
        <is>
          <t>保存年限：</t>
        </is>
      </c>
    </row>
    <row r="2" ht="5.85" customHeight="1" s="680"/>
    <row r="3" ht="14.1" customHeight="1" s="680">
      <c r="A3" s="592" t="inlineStr">
        <is>
          <t>檔    號：</t>
        </is>
      </c>
      <c r="N3" s="592">
        <f>CONCATENATE("e化案號：",word用!$U$2)</f>
        <v/>
      </c>
    </row>
    <row r="4" ht="5.85" customHeight="1" s="680" thickBot="1"/>
    <row r="5" ht="33.95" customHeight="1" s="680" thickBot="1" thickTop="1">
      <c r="A5" s="77" t="n"/>
      <c r="B5" s="78" t="n"/>
      <c r="C5" s="78" t="n"/>
      <c r="D5" s="426">
        <f>CONCATENATE(輸入!$S$18,輸入!$T$18,輸入!$S$19,輸入!$T$19,輸入!$S$20,輸入!$T$20)</f>
        <v/>
      </c>
      <c r="E5" s="426" t="n"/>
      <c r="F5" s="426" t="n"/>
      <c r="G5" s="426" t="n"/>
      <c r="H5" s="426" t="n"/>
      <c r="I5" s="426" t="n"/>
      <c r="J5" s="426" t="n"/>
      <c r="K5" s="426" t="n"/>
      <c r="L5" s="426" t="n"/>
      <c r="M5" s="426" t="n"/>
      <c r="N5" s="426" t="n"/>
      <c r="O5" s="426" t="n"/>
      <c r="P5" s="426" t="n"/>
      <c r="Q5" s="426" t="n"/>
      <c r="R5" s="426" t="n"/>
      <c r="S5" s="666" t="inlineStr">
        <is>
          <t>陳 報 單</t>
        </is>
      </c>
      <c r="T5" s="667" t="n"/>
      <c r="U5" s="667" t="n"/>
      <c r="V5" s="79" t="n"/>
    </row>
    <row r="6" ht="25.5" customHeight="1" s="680">
      <c r="A6" s="83" t="n"/>
      <c r="B6" s="672" t="inlineStr">
        <is>
          <t>陳報編號</t>
        </is>
      </c>
      <c r="C6" s="673" t="n"/>
      <c r="D6" s="673" t="n"/>
      <c r="E6" s="673" t="n"/>
      <c r="F6" s="673" t="n"/>
      <c r="G6" s="673" t="n"/>
      <c r="H6" s="673" t="n"/>
      <c r="I6" s="673" t="n"/>
      <c r="J6" s="82" t="n"/>
      <c r="K6" s="85" t="n"/>
      <c r="L6" s="425" t="n"/>
      <c r="M6" s="672" t="inlineStr">
        <is>
          <t>陳報日期</t>
        </is>
      </c>
      <c r="N6" s="673" t="n"/>
      <c r="O6" s="673" t="n"/>
      <c r="P6" s="673" t="n"/>
      <c r="Q6" s="673" t="n"/>
      <c r="R6" s="673" t="n"/>
      <c r="S6" s="673" t="n"/>
      <c r="T6" s="673" t="n"/>
      <c r="U6" s="425" t="n"/>
      <c r="V6" s="86" t="n"/>
    </row>
    <row r="7" ht="18.75" customHeight="1" s="680">
      <c r="A7" s="72" t="n"/>
      <c r="B7" s="674" t="inlineStr">
        <is>
          <t xml:space="preserve">                      字
第                    號</t>
        </is>
      </c>
      <c r="C7" s="580" t="n"/>
      <c r="D7" s="580" t="n"/>
      <c r="E7" s="580" t="n"/>
      <c r="F7" s="580" t="n"/>
      <c r="G7" s="580" t="n"/>
      <c r="H7" s="580" t="n"/>
      <c r="I7" s="580" t="n"/>
      <c r="J7" s="80" t="n"/>
      <c r="K7" s="1326">
        <f>TODAY()</f>
        <v/>
      </c>
      <c r="V7" s="669" t="n"/>
    </row>
    <row r="8" ht="24" customHeight="1" s="680" thickBot="1">
      <c r="A8" s="84" t="n"/>
      <c r="B8" s="670" t="n"/>
      <c r="C8" s="670" t="n"/>
      <c r="D8" s="670" t="n"/>
      <c r="E8" s="670" t="n"/>
      <c r="F8" s="670" t="n"/>
      <c r="G8" s="670" t="n"/>
      <c r="H8" s="670" t="n"/>
      <c r="I8" s="670" t="n"/>
      <c r="J8" s="81" t="n"/>
      <c r="K8" s="670" t="n"/>
      <c r="L8" s="670" t="n"/>
      <c r="M8" s="670" t="n"/>
      <c r="N8" s="670" t="n"/>
      <c r="O8" s="670" t="n"/>
      <c r="P8" s="670" t="n"/>
      <c r="Q8" s="670" t="n"/>
      <c r="R8" s="670" t="n"/>
      <c r="S8" s="670" t="n"/>
      <c r="T8" s="670" t="n"/>
      <c r="U8" s="670" t="n"/>
      <c r="V8" s="671" t="n"/>
    </row>
    <row r="9" ht="5.85" customHeight="1" s="680">
      <c r="A9" s="89" t="n"/>
      <c r="B9" s="90" t="n"/>
      <c r="V9" s="70" t="n"/>
    </row>
    <row r="10" ht="5.85" customHeight="1" s="680">
      <c r="A10" s="664" t="inlineStr">
        <is>
          <t>陳報內容</t>
        </is>
      </c>
      <c r="B10" s="611" t="n"/>
      <c r="V10" s="70" t="n"/>
    </row>
    <row r="11" ht="20.25" customHeight="1" s="680">
      <c r="A11" s="665" t="n"/>
      <c r="B11" s="611" t="n"/>
      <c r="D11" s="592" t="inlineStr">
        <is>
          <t>主旨：</t>
        </is>
      </c>
      <c r="F11" s="598">
        <f>CONCATENATE(,LEFT(下拉用!$J$9,10),"  ",下拉用!$D$11,"所報，",呈報單!$G$15,"案。")</f>
        <v/>
      </c>
      <c r="R11" s="51" t="n"/>
      <c r="S11" s="51" t="n"/>
      <c r="T11" s="51" t="n"/>
      <c r="U11" s="51" t="n"/>
      <c r="V11" s="427" t="n"/>
    </row>
    <row r="12" ht="14.1" customHeight="1" s="680">
      <c r="A12" s="665" t="n"/>
      <c r="B12" s="611" t="n"/>
      <c r="F12" s="51" t="n"/>
      <c r="G12" s="51" t="n"/>
      <c r="H12" s="51" t="n"/>
      <c r="I12" s="51" t="n"/>
      <c r="J12" s="51" t="n"/>
      <c r="K12" s="51" t="n"/>
      <c r="L12" s="51" t="n"/>
      <c r="M12" s="51" t="n"/>
      <c r="N12" s="51" t="n"/>
      <c r="O12" s="51" t="n"/>
      <c r="P12" s="51" t="n"/>
      <c r="Q12" s="51" t="n"/>
      <c r="R12" s="51" t="n"/>
      <c r="S12" s="51" t="n"/>
      <c r="T12" s="51" t="n"/>
      <c r="U12" s="51" t="n"/>
      <c r="V12" s="427" t="n"/>
    </row>
    <row r="13">
      <c r="A13" s="665" t="n"/>
      <c r="B13" s="611" t="n"/>
      <c r="D13" s="592" t="inlineStr">
        <is>
          <t>說明：</t>
        </is>
      </c>
      <c r="V13" s="70" t="n"/>
    </row>
    <row r="14" ht="25.5" customHeight="1" s="680">
      <c r="A14" s="665" t="n"/>
      <c r="B14" s="611" t="n"/>
      <c r="V14" s="70" t="n"/>
    </row>
    <row r="15" ht="18.75" customHeight="1" s="680">
      <c r="A15" s="665" t="n"/>
      <c r="B15" s="611" t="n"/>
      <c r="D15" s="592">
        <f>CONCATENATE("1.  發生(現)時間：",下拉用!$J$2,"")</f>
        <v/>
      </c>
      <c r="V15" s="70" t="n"/>
    </row>
    <row r="16" ht="14.25" customHeight="1" s="680">
      <c r="A16" s="665" t="n"/>
      <c r="B16" s="611" t="n"/>
      <c r="V16" s="70" t="n"/>
    </row>
    <row r="17">
      <c r="A17" s="665" t="n"/>
      <c r="B17" s="611" t="n"/>
      <c r="D17" s="592">
        <f>CONCATENATE("2.  發生(現)地點：",輸入!$C$7,"")</f>
        <v/>
      </c>
      <c r="V17" s="70" t="n"/>
    </row>
    <row r="18" ht="14.25" customHeight="1" s="680">
      <c r="A18" s="665" t="n"/>
      <c r="B18" s="611" t="n"/>
      <c r="V18" s="70" t="n"/>
    </row>
    <row r="19" ht="18.75" customHeight="1" s="680">
      <c r="A19" s="665" t="n"/>
      <c r="B19" s="611" t="n"/>
      <c r="D19" s="592" t="inlineStr">
        <is>
          <t>3.  報案內容：</t>
        </is>
      </c>
      <c r="V19" s="70" t="n"/>
    </row>
    <row r="20" ht="13.5" customHeight="1" s="680">
      <c r="A20" s="665" t="n"/>
      <c r="B20" s="611" t="n"/>
      <c r="V20" s="70" t="n"/>
    </row>
    <row r="21" ht="19.7" customHeight="1" s="680">
      <c r="A21" s="665" t="n"/>
      <c r="B21" s="611" t="n"/>
      <c r="E21" s="51" t="n"/>
      <c r="F21" s="598">
        <f>CONCATENATE("報案人稱",輸入!$C$5,)</f>
        <v/>
      </c>
      <c r="V21" s="70" t="n"/>
    </row>
    <row r="22">
      <c r="A22" s="665" t="n"/>
      <c r="B22" s="611" t="n"/>
      <c r="E22" s="51" t="n"/>
      <c r="V22" s="70" t="n"/>
    </row>
    <row r="23">
      <c r="A23" s="665" t="n"/>
      <c r="B23" s="611" t="n"/>
      <c r="E23" s="51" t="n"/>
      <c r="V23" s="70" t="n"/>
    </row>
    <row r="24">
      <c r="A24" s="665" t="n"/>
      <c r="B24" s="611" t="n"/>
      <c r="E24" s="51" t="n"/>
      <c r="V24" s="70" t="n"/>
    </row>
    <row r="25">
      <c r="A25" s="665" t="n"/>
      <c r="B25" s="611" t="n"/>
      <c r="E25" s="51" t="n"/>
      <c r="V25" s="70" t="n"/>
    </row>
    <row r="26">
      <c r="A26" s="665" t="n"/>
      <c r="B26" s="611" t="n"/>
      <c r="E26" s="51" t="n"/>
      <c r="V26" s="70" t="n"/>
    </row>
    <row r="27">
      <c r="A27" s="665" t="n"/>
      <c r="B27" s="611" t="n"/>
      <c r="V27" s="70" t="n"/>
    </row>
    <row r="28">
      <c r="A28" s="665" t="n"/>
      <c r="B28" s="611" t="n"/>
      <c r="V28" s="70" t="n"/>
    </row>
    <row r="29">
      <c r="A29" s="665" t="n"/>
      <c r="B29" s="611" t="n"/>
      <c r="V29" s="70" t="n"/>
    </row>
    <row r="30">
      <c r="A30" s="665" t="n"/>
      <c r="B30" s="611" t="n"/>
      <c r="V30" s="70" t="n"/>
    </row>
    <row r="31" ht="36" customHeight="1" s="680">
      <c r="A31" s="665" t="n"/>
      <c r="B31" s="611" t="n"/>
      <c r="V31" s="70" t="n"/>
    </row>
    <row r="32" ht="45.75" customHeight="1" s="680">
      <c r="A32" s="665" t="n"/>
      <c r="B32" s="611" t="n"/>
      <c r="V32" s="70" t="n"/>
    </row>
    <row r="33" hidden="1" ht="9.75" customHeight="1" s="680">
      <c r="A33" s="665" t="n"/>
      <c r="B33" s="611" t="n"/>
      <c r="V33" s="70" t="n"/>
    </row>
    <row r="34" ht="3.75" customHeight="1" s="680">
      <c r="A34" s="665" t="n"/>
      <c r="B34" s="611" t="n"/>
      <c r="V34" s="70" t="n"/>
    </row>
    <row r="35">
      <c r="A35" s="71" t="n"/>
      <c r="B35" s="91" t="n"/>
      <c r="D35" s="592" t="inlineStr">
        <is>
          <t>檢附：</t>
        </is>
      </c>
      <c r="V35" s="70" t="n"/>
    </row>
    <row r="36" ht="16.5" customHeight="1" s="680">
      <c r="A36" s="71" t="n"/>
      <c r="B36" s="91" t="n"/>
      <c r="D36" s="76" t="inlineStr">
        <is>
          <t>□筆錄___份、□錄音帶___卷、□受理各類案件紀錄表、□案件證明單影本、</t>
        </is>
      </c>
      <c r="V36" s="70" t="n"/>
    </row>
    <row r="37">
      <c r="A37" s="71" t="n"/>
      <c r="B37" s="91" t="n"/>
      <c r="D37" s="76" t="inlineStr">
        <is>
          <t>□刑案紀錄表、□逮捕通知書、□解送人犯報告書、□其他：_____________</t>
        </is>
      </c>
      <c r="V37" s="70" t="n"/>
    </row>
    <row r="38" ht="27" customHeight="1" s="680">
      <c r="A38" s="92" t="n"/>
      <c r="B38" s="93" t="n"/>
      <c r="N38" s="49" t="n"/>
      <c r="O38" s="49" t="n"/>
      <c r="P38" s="49" t="n"/>
      <c r="Q38" s="49" t="n"/>
      <c r="R38" s="49" t="n"/>
      <c r="S38" s="49" t="n"/>
      <c r="T38" s="49" t="n"/>
      <c r="U38" s="49" t="n"/>
      <c r="V38" s="68" t="n"/>
    </row>
    <row r="39" ht="8.449999999999999" customHeight="1" s="680">
      <c r="A39" s="69" t="n"/>
      <c r="B39" s="50" t="n"/>
      <c r="C39" s="50" t="n"/>
      <c r="D39" s="50" t="n"/>
      <c r="E39" s="50" t="n"/>
      <c r="F39" s="50" t="n"/>
      <c r="G39" s="50" t="n"/>
      <c r="H39" s="50" t="n"/>
      <c r="I39" s="50" t="n"/>
      <c r="J39" s="50" t="n"/>
      <c r="K39" s="50" t="n"/>
      <c r="L39" s="50" t="n"/>
      <c r="M39" s="50" t="n"/>
      <c r="V39" s="70" t="n"/>
    </row>
    <row r="40" ht="14.1" customHeight="1" s="680">
      <c r="A40" s="71" t="n"/>
      <c r="O40" s="592" t="inlineStr">
        <is>
          <t>謹陳</t>
        </is>
      </c>
      <c r="V40" s="70" t="n"/>
    </row>
    <row r="41" ht="4.5" customHeight="1" s="680">
      <c r="A41" s="71" t="n"/>
      <c r="V41" s="70" t="n"/>
    </row>
    <row r="42">
      <c r="A42" s="71" t="inlineStr">
        <is>
          <t xml:space="preserve"> 承辦人： </t>
        </is>
      </c>
      <c r="H42" s="663" t="inlineStr">
        <is>
          <t>主  管：</t>
        </is>
      </c>
      <c r="O42" s="592" t="inlineStr">
        <is>
          <t>主    官</t>
        </is>
      </c>
      <c r="V42" s="70" t="n"/>
    </row>
    <row r="43">
      <c r="A43" s="71" t="n"/>
      <c r="V43" s="70" t="n"/>
    </row>
    <row r="44">
      <c r="A44" s="71" t="n"/>
      <c r="V44" s="70" t="n"/>
    </row>
    <row r="45" ht="18.75" customFormat="1" customHeight="1" s="74" thickBot="1">
      <c r="A45" s="73" t="n"/>
      <c r="V45" s="75" t="n"/>
    </row>
    <row r="46" ht="17.25" customHeight="1" s="680" thickTop="1"/>
  </sheetData>
  <mergeCells count="9">
    <mergeCell ref="F11:Q11"/>
    <mergeCell ref="S5:U5"/>
    <mergeCell ref="K7:V8"/>
    <mergeCell ref="M6:T6"/>
    <mergeCell ref="B6:I6"/>
    <mergeCell ref="B7:I8"/>
    <mergeCell ref="H42:I42"/>
    <mergeCell ref="A10:B34"/>
    <mergeCell ref="F21:U32"/>
  </mergeCells>
  <pageMargins left="0.7874015748031497" right="0.7086614173228347" top="0.8661417322834646" bottom="0.7480314960629921" header="0" footer="0"/>
  <pageSetup orientation="portrait" paperSize="9"/>
</worksheet>
</file>

<file path=xl/worksheets/sheet10.xml><?xml version="1.0" encoding="utf-8"?>
<worksheet xmlns="http://schemas.openxmlformats.org/spreadsheetml/2006/main">
  <sheetPr codeName="工作表46">
    <tabColor theme="9" tint="-0.499984740745262"/>
    <outlinePr summaryBelow="1" summaryRight="1"/>
    <pageSetUpPr/>
  </sheetPr>
  <dimension ref="A1:J13"/>
  <sheetViews>
    <sheetView view="pageBreakPreview" topLeftCell="A7" zoomScale="90" zoomScaleNormal="100" zoomScaleSheetLayoutView="90" workbookViewId="0">
      <selection activeCell="D7" sqref="D7:J7"/>
    </sheetView>
  </sheetViews>
  <sheetFormatPr baseColWidth="8" defaultRowHeight="16.5"/>
  <cols>
    <col width="10.75" customWidth="1" style="680" min="2" max="2"/>
    <col width="6.75" customWidth="1" style="680" min="3" max="3"/>
    <col width="8.5" customWidth="1" style="680" min="4" max="4"/>
    <col width="12.875" customWidth="1" style="680" min="5" max="5"/>
    <col width="3.875" customWidth="1" style="680" min="6" max="6"/>
    <col width="5.5" customWidth="1" style="680" min="7" max="7"/>
    <col width="9.625" customWidth="1" style="680" min="8" max="8"/>
    <col width="13.75" customWidth="1" style="680" min="9" max="9"/>
    <col width="9.625" customWidth="1" style="680" min="10" max="10"/>
  </cols>
  <sheetData>
    <row r="1" ht="43.5" customHeight="1" s="680">
      <c r="A1" s="690">
        <f>CONCATENATE(輸入!S18,輸入!T18,輸入!S19,輸入!T19,輸入!S20,"所呈報單")</f>
        <v/>
      </c>
    </row>
    <row r="2" ht="39" customHeight="1" s="680">
      <c r="A2" s="692" t="inlineStr">
        <is>
          <t>原文字號</t>
        </is>
      </c>
      <c r="B2" s="577" t="n"/>
      <c r="C2" s="577" t="n"/>
      <c r="D2" s="577" t="n"/>
      <c r="E2" s="574" t="n"/>
      <c r="F2" s="691" t="inlineStr">
        <is>
          <t>日期：</t>
        </is>
      </c>
      <c r="G2" s="577" t="n"/>
      <c r="H2" s="1327">
        <f>TODAY()</f>
        <v/>
      </c>
      <c r="I2" s="577" t="n"/>
      <c r="J2" s="574" t="n"/>
    </row>
    <row r="3" ht="39.75" customHeight="1" s="680">
      <c r="A3" s="689" t="inlineStr">
        <is>
          <t>年月日字第號</t>
        </is>
      </c>
      <c r="B3" s="583" t="n"/>
      <c r="C3" s="583" t="n"/>
      <c r="D3" s="583" t="n"/>
      <c r="E3" s="584" t="n"/>
      <c r="F3" s="683" t="inlineStr">
        <is>
          <t>字號：</t>
        </is>
      </c>
      <c r="G3" s="583" t="n"/>
      <c r="H3" s="678" t="inlineStr">
        <is>
          <t>北市       字第     號</t>
        </is>
      </c>
      <c r="I3" s="583" t="n"/>
      <c r="J3" s="584" t="n"/>
    </row>
    <row r="4" ht="37.5" customHeight="1" s="680">
      <c r="A4" s="698" t="inlineStr">
        <is>
          <t>事由</t>
        </is>
      </c>
      <c r="B4" s="581" t="n"/>
      <c r="C4" s="684">
        <f>CONCATENATE("偵辦",下拉用!$D$11,"所報",輸入!$C$2,"案，報請協助調閱相關文件乙案。")</f>
        <v/>
      </c>
      <c r="D4" s="577" t="n"/>
      <c r="E4" s="577" t="n"/>
      <c r="F4" s="577" t="n"/>
      <c r="G4" s="577" t="n"/>
      <c r="H4" s="577" t="n"/>
      <c r="I4" s="577" t="n"/>
      <c r="J4" s="574" t="n"/>
    </row>
    <row r="5" ht="49.5" customHeight="1" s="680">
      <c r="A5" s="695" t="inlineStr">
        <is>
          <t>呈報內容</t>
        </is>
      </c>
      <c r="B5" s="581" t="n"/>
      <c r="C5" s="469" t="inlineStr">
        <is>
          <t>一、</t>
        </is>
      </c>
      <c r="D5" s="682">
        <f>CONCATENATE("本所於",下拉用!$J$9,"受理",下拉用!$D$11,"所報",呈報單!$G$15,"案(",輸入!$C$12,")。")</f>
        <v/>
      </c>
      <c r="E5" s="580" t="n"/>
      <c r="F5" s="580" t="n"/>
      <c r="G5" s="580" t="n"/>
      <c r="H5" s="580" t="n"/>
      <c r="I5" s="580" t="n"/>
      <c r="J5" s="581" t="n"/>
    </row>
    <row r="6" ht="129" customHeight="1" s="680">
      <c r="A6" s="609" t="n"/>
      <c r="B6" s="611" t="n"/>
      <c r="C6" s="352" t="inlineStr">
        <is>
          <t>二、</t>
        </is>
      </c>
      <c r="D6" s="694">
        <f>HLOOKUP(輸入!$H$14,調閱用!$1:$1048576,11,FALSE)</f>
        <v/>
      </c>
      <c r="J6" s="611" t="n"/>
    </row>
    <row r="7" ht="89.25" customHeight="1" s="680">
      <c r="A7" s="609" t="n"/>
      <c r="B7" s="611" t="n"/>
      <c r="C7" s="352" t="inlineStr">
        <is>
          <t>三、</t>
        </is>
      </c>
      <c r="D7" s="694">
        <f>HLOOKUP(輸入!$H$14,調閱用!$1:$1048576,12,FALSE)</f>
        <v/>
      </c>
      <c r="J7" s="611" t="n"/>
    </row>
    <row r="8" ht="24" customHeight="1" s="680">
      <c r="A8" s="609" t="n"/>
      <c r="B8" s="611" t="n"/>
      <c r="C8" s="352" t="inlineStr">
        <is>
          <t>四、</t>
        </is>
      </c>
      <c r="D8" s="679" t="inlineStr">
        <is>
          <t>檢附相關刑案影像，請 鑒核。</t>
        </is>
      </c>
      <c r="J8" s="611" t="n"/>
    </row>
    <row r="9" ht="67.5" customHeight="1" s="680" thickBot="1">
      <c r="A9" s="696" t="n"/>
      <c r="B9" s="697" t="n"/>
      <c r="C9" s="708" t="inlineStr">
        <is>
          <t>五、</t>
        </is>
      </c>
      <c r="D9" s="700">
        <f>CONCATENATE("承 辦 人：",輸入!$T$24,輸入!$O$8,
,CHAR(10),"公務信箱：",輸入!$S$25,
,CHAR(10),"公務電話：",輸入!$T$21)</f>
        <v/>
      </c>
      <c r="E9" s="701" t="n"/>
      <c r="F9" s="701" t="n"/>
      <c r="G9" s="701" t="n"/>
      <c r="H9" s="701" t="n"/>
      <c r="I9" s="701" t="n"/>
      <c r="J9" s="697" t="n"/>
    </row>
    <row r="10" ht="63" customHeight="1" s="680" thickTop="1">
      <c r="A10" s="699" t="inlineStr">
        <is>
          <t>承辦單位</t>
        </is>
      </c>
      <c r="B10" s="677" t="n"/>
      <c r="C10" s="675">
        <f>CONCATENATE(輸入!$S$18,輸入!$T$18,輸入!$S$19,輸入!$T$19,輸入!$S$20,輸入!$T$20)</f>
        <v/>
      </c>
      <c r="D10" s="676" t="n"/>
      <c r="E10" s="676" t="n"/>
      <c r="F10" s="676" t="n"/>
      <c r="G10" s="676" t="n"/>
      <c r="H10" s="676" t="n"/>
      <c r="I10" s="676" t="n"/>
      <c r="J10" s="677" t="n"/>
    </row>
    <row r="11" ht="68.25" customHeight="1" s="680">
      <c r="A11" s="685" t="inlineStr">
        <is>
          <t>呈報單位</t>
        </is>
      </c>
      <c r="B11" s="686" t="n"/>
      <c r="C11" s="693">
        <f>CONCATENATE(輸入!$S$18,輸入!$T$18,輸入!$S$19,輸入!$T$19,"偵查隊")</f>
        <v/>
      </c>
      <c r="D11" s="688" t="n"/>
      <c r="E11" s="688" t="n"/>
      <c r="F11" s="688" t="n"/>
      <c r="G11" s="688" t="n"/>
      <c r="H11" s="688" t="n"/>
      <c r="I11" s="688" t="n"/>
      <c r="J11" s="686" t="n"/>
    </row>
    <row r="12" ht="63" customHeight="1" s="680">
      <c r="A12" s="685" t="inlineStr">
        <is>
          <t>會辦單位</t>
        </is>
      </c>
      <c r="B12" s="686" t="n"/>
      <c r="C12" s="687" t="n"/>
      <c r="D12" s="688" t="n"/>
      <c r="E12" s="688" t="n"/>
      <c r="F12" s="688" t="n"/>
      <c r="G12" s="688" t="n"/>
      <c r="H12" s="688" t="n"/>
      <c r="I12" s="688" t="n"/>
      <c r="J12" s="686" t="n"/>
    </row>
    <row r="13" ht="67.5" customHeight="1" s="680">
      <c r="A13" s="685" t="inlineStr">
        <is>
          <t>批示</t>
        </is>
      </c>
      <c r="B13" s="686" t="n"/>
      <c r="C13" s="687" t="n"/>
      <c r="D13" s="688" t="n"/>
      <c r="E13" s="688" t="n"/>
      <c r="F13" s="688" t="n"/>
      <c r="G13" s="688" t="n"/>
      <c r="H13" s="688" t="n"/>
      <c r="I13" s="688" t="n"/>
      <c r="J13" s="686" t="n"/>
    </row>
  </sheetData>
  <mergeCells count="23">
    <mergeCell ref="D9:J9"/>
    <mergeCell ref="A11:B11"/>
    <mergeCell ref="D8:J8"/>
    <mergeCell ref="H2:J2"/>
    <mergeCell ref="D5:J5"/>
    <mergeCell ref="F3:G3"/>
    <mergeCell ref="C4:J4"/>
    <mergeCell ref="C10:J10"/>
    <mergeCell ref="H3:J3"/>
    <mergeCell ref="A3:E3"/>
    <mergeCell ref="A12:B12"/>
    <mergeCell ref="A1:J1"/>
    <mergeCell ref="F2:G2"/>
    <mergeCell ref="C12:J12"/>
    <mergeCell ref="A2:E2"/>
    <mergeCell ref="C11:J11"/>
    <mergeCell ref="D6:J6"/>
    <mergeCell ref="A5:B9"/>
    <mergeCell ref="A4:B4"/>
    <mergeCell ref="D7:J7"/>
    <mergeCell ref="A10:B10"/>
    <mergeCell ref="A13:B13"/>
    <mergeCell ref="C13:J13"/>
  </mergeCells>
  <printOptions horizontalCentered="1" verticalCentered="1"/>
  <pageMargins left="0.5905511811023623" right="0.5905511811023623" top="0.7874015748031497" bottom="0.5905511811023623" header="0.5905511811023623" footer="0.6889763779527559"/>
  <pageSetup orientation="portrait" paperSize="9"/>
</worksheet>
</file>

<file path=xl/worksheets/sheet11.xml><?xml version="1.0" encoding="utf-8"?>
<worksheet xmlns="http://schemas.openxmlformats.org/spreadsheetml/2006/main">
  <sheetPr codeName="工作表26">
    <tabColor rgb="FFFF0000"/>
    <outlinePr summaryBelow="1" summaryRight="1"/>
    <pageSetUpPr/>
  </sheetPr>
  <dimension ref="A2:AC37"/>
  <sheetViews>
    <sheetView showGridLines="0" showZeros="0" view="pageBreakPreview" topLeftCell="A16" zoomScale="80" zoomScaleNormal="100" zoomScaleSheetLayoutView="80" workbookViewId="0">
      <selection activeCell="Q7" sqref="Q7"/>
    </sheetView>
  </sheetViews>
  <sheetFormatPr baseColWidth="8" defaultRowHeight="16.5"/>
  <cols>
    <col width="2.25" customWidth="1" style="592" min="1" max="1"/>
    <col width="1.5" customWidth="1" style="592" min="2" max="3"/>
    <col width="2.5" customWidth="1" style="592" min="4" max="4"/>
    <col width="2.875" customWidth="1" style="592" min="5" max="6"/>
    <col width="2.125" customWidth="1" style="592" min="7" max="7"/>
    <col width="3.125" customWidth="1" style="592" min="8" max="38"/>
    <col width="9" customWidth="1" style="592" min="39" max="39"/>
    <col width="9" customWidth="1" style="592" min="40" max="16384"/>
  </cols>
  <sheetData>
    <row r="1" ht="8.25" customHeight="1" s="680"/>
    <row r="2" ht="15" customHeight="1" s="680">
      <c r="T2" s="592" t="inlineStr">
        <is>
          <t>檔    號：</t>
        </is>
      </c>
    </row>
    <row r="3" ht="19.5" customHeight="1" s="680">
      <c r="A3" s="324" t="n"/>
      <c r="B3" s="325" t="n"/>
      <c r="R3" s="5" t="n"/>
      <c r="T3" s="592" t="inlineStr">
        <is>
          <t>保存年限：</t>
        </is>
      </c>
      <c r="W3" s="1283" t="n"/>
      <c r="X3" s="1283" t="n"/>
      <c r="Y3" s="1283" t="n"/>
      <c r="Z3" s="1283" t="n"/>
      <c r="AA3" s="1283" t="n"/>
      <c r="AB3" s="1283" t="n"/>
    </row>
    <row r="4" ht="27.75" customHeight="1" s="680">
      <c r="A4" s="324" t="n"/>
      <c r="B4" s="704">
        <f>CONCATENATE(輸入!$S$18,輸入!$T$18,輸入!$S$19,輸入!$T$19,輸入!$S$20,輸入!$T$20)</f>
        <v/>
      </c>
    </row>
    <row r="5" ht="12" customHeight="1" s="680">
      <c r="A5" s="324" t="n"/>
      <c r="B5" s="325" t="n"/>
      <c r="F5" s="326" t="n"/>
    </row>
    <row r="6" ht="21" customHeight="1" s="680">
      <c r="A6" s="324" t="n"/>
      <c r="B6" s="325" t="n"/>
      <c r="D6" s="1283" t="n"/>
      <c r="E6" s="1283" t="n"/>
      <c r="F6" s="1283" t="n"/>
      <c r="G6" s="1283" t="n"/>
      <c r="H6" s="1283" t="n"/>
      <c r="I6" s="1283" t="n"/>
      <c r="J6" s="1283" t="n"/>
      <c r="K6" s="1283" t="n"/>
      <c r="L6" s="1283" t="n"/>
      <c r="M6" s="1283" t="n"/>
      <c r="N6" s="1283" t="n"/>
      <c r="O6" s="1283" t="n"/>
      <c r="Q6" s="327">
        <f>CONCATENATE("機關地址：",輸入!$S$23,"")</f>
        <v/>
      </c>
      <c r="R6" s="327" t="n"/>
      <c r="S6" s="327" t="n"/>
      <c r="T6" s="327" t="n"/>
      <c r="U6" s="327" t="n"/>
      <c r="V6" s="328" t="n"/>
      <c r="W6" s="328" t="n"/>
      <c r="X6" s="328" t="n"/>
      <c r="Y6" s="328" t="n"/>
      <c r="Z6" s="328" t="n"/>
      <c r="AA6" s="328" t="n"/>
      <c r="AB6" s="328" t="n"/>
      <c r="AC6" s="327" t="n"/>
    </row>
    <row r="7" ht="18.75" customHeight="1" s="680">
      <c r="A7" s="324" t="n"/>
      <c r="B7" s="325" t="n"/>
      <c r="D7" s="1283" t="n"/>
      <c r="E7" s="1283" t="n"/>
      <c r="F7" s="1283" t="n"/>
      <c r="G7" s="1283" t="n"/>
      <c r="H7" s="1283" t="n"/>
      <c r="I7" s="1283" t="n"/>
      <c r="J7" s="1283" t="n"/>
      <c r="K7" s="1283" t="n"/>
      <c r="L7" s="1283" t="n"/>
      <c r="M7" s="1283" t="n"/>
      <c r="N7" s="1283" t="n"/>
      <c r="O7" s="1283" t="n"/>
      <c r="Q7" s="328">
        <f>CONCATENATE("聯絡人：  ",輸入!$T$24&amp;輸入!$O$8,"")</f>
        <v/>
      </c>
      <c r="R7" s="328" t="n"/>
      <c r="S7" s="328" t="n"/>
      <c r="T7" s="327" t="n"/>
      <c r="U7" s="328" t="n"/>
      <c r="V7" s="328" t="n"/>
      <c r="W7" s="328" t="n"/>
      <c r="X7" s="328" t="n"/>
      <c r="Y7" s="328" t="n"/>
      <c r="Z7" s="328" t="n"/>
      <c r="AA7" s="328" t="n"/>
      <c r="AB7" s="328" t="n"/>
      <c r="AC7" s="327" t="n"/>
    </row>
    <row r="8" ht="18.75" customHeight="1" s="680">
      <c r="A8" s="324" t="n"/>
      <c r="B8" s="325" t="n"/>
      <c r="D8" s="1283" t="n"/>
      <c r="E8" s="1283" t="n"/>
      <c r="F8" s="1283" t="n"/>
      <c r="G8" s="1283" t="n"/>
      <c r="H8" s="1283" t="n"/>
      <c r="I8" s="1283" t="n"/>
      <c r="J8" s="1283" t="n"/>
      <c r="K8" s="1283" t="n"/>
      <c r="L8" s="1283" t="n"/>
      <c r="M8" s="1283" t="n"/>
      <c r="N8" s="1283" t="n"/>
      <c r="O8" s="1283" t="n"/>
      <c r="Q8" s="328">
        <f>CONCATENATE("聯絡電話：",輸入!$T$21,"")</f>
        <v/>
      </c>
      <c r="R8" s="328" t="n"/>
      <c r="S8" s="328" t="n"/>
      <c r="T8" s="328" t="n"/>
      <c r="U8" s="327" t="n"/>
      <c r="V8" s="328" t="n"/>
      <c r="W8" s="328" t="n"/>
      <c r="X8" s="328" t="n"/>
      <c r="Y8" s="328" t="n"/>
      <c r="Z8" s="328" t="n"/>
      <c r="AA8" s="328" t="n"/>
      <c r="AB8" s="328" t="n"/>
      <c r="AC8" s="327" t="n"/>
    </row>
    <row r="9" ht="18.75" customHeight="1" s="680">
      <c r="A9" s="324" t="n"/>
      <c r="B9" s="325" t="n"/>
      <c r="D9" s="1283" t="n"/>
      <c r="E9" s="1283" t="n"/>
      <c r="F9" s="1283" t="n"/>
      <c r="G9" s="1283" t="n"/>
      <c r="H9" s="1283" t="n"/>
      <c r="I9" s="1283" t="n"/>
      <c r="J9" s="1283" t="n"/>
      <c r="K9" s="1283" t="n"/>
      <c r="L9" s="1283" t="n"/>
      <c r="M9" s="1283" t="n"/>
      <c r="N9" s="1283" t="n"/>
      <c r="O9" s="1283" t="n"/>
      <c r="Q9" s="328" t="inlineStr">
        <is>
          <t>電子信箱：</t>
        </is>
      </c>
      <c r="R9" s="328" t="n"/>
      <c r="S9" s="328" t="n"/>
      <c r="T9" s="328">
        <f>輸入!$S$25</f>
        <v/>
      </c>
      <c r="U9" s="327" t="n"/>
      <c r="V9" s="328" t="n"/>
      <c r="W9" s="328" t="n"/>
      <c r="X9" s="328" t="n"/>
      <c r="Y9" s="328" t="n"/>
      <c r="Z9" s="328" t="n"/>
      <c r="AA9" s="328" t="n"/>
      <c r="AB9" s="328" t="n"/>
      <c r="AC9" s="327" t="n"/>
    </row>
    <row r="10" ht="20.25" customHeight="1" s="680">
      <c r="A10" s="324" t="n"/>
      <c r="B10" s="325" t="n"/>
      <c r="D10" s="1283" t="n"/>
      <c r="E10" s="1283" t="n"/>
      <c r="F10" s="1283" t="n"/>
      <c r="G10" s="1283" t="n"/>
      <c r="H10" s="1283" t="n"/>
      <c r="I10" s="1283" t="n"/>
      <c r="J10" s="1283" t="n"/>
      <c r="K10" s="1283" t="n"/>
      <c r="L10" s="1283" t="n"/>
      <c r="M10" s="1283" t="n"/>
      <c r="N10" s="1283" t="n"/>
      <c r="O10" s="1283" t="n"/>
      <c r="P10" s="1283" t="n"/>
      <c r="AA10" s="328" t="n"/>
      <c r="AB10" s="1283" t="n"/>
    </row>
    <row r="11" ht="20.25" customHeight="1" s="680">
      <c r="A11" s="324" t="n"/>
      <c r="B11" s="325" t="n"/>
      <c r="D11" s="610">
        <f>輸入!$C$7</f>
        <v/>
      </c>
      <c r="E11" s="1283" t="n"/>
      <c r="F11" s="1283" t="n"/>
      <c r="G11" s="1283" t="n"/>
      <c r="H11" s="1283" t="n"/>
      <c r="I11" s="1283" t="n"/>
      <c r="J11" s="1283" t="n"/>
      <c r="K11" s="1283" t="n"/>
      <c r="L11" s="1283" t="n"/>
      <c r="M11" s="1283" t="n"/>
      <c r="N11" s="1283" t="n"/>
      <c r="O11" s="1283" t="n"/>
      <c r="P11" s="1283" t="n"/>
      <c r="AA11" s="328" t="n"/>
      <c r="AB11" s="1283" t="n"/>
    </row>
    <row r="12" ht="26.25" customHeight="1" s="680">
      <c r="A12" s="324" t="n"/>
      <c r="B12" s="325" t="n"/>
      <c r="D12" s="922" t="inlineStr">
        <is>
          <t>受文者：</t>
        </is>
      </c>
      <c r="E12" s="1160" t="n"/>
      <c r="F12" s="1160" t="n"/>
      <c r="G12" s="1160" t="n"/>
      <c r="H12" s="1160" t="inlineStr">
        <is>
          <t>如正副行文單位</t>
        </is>
      </c>
      <c r="I12" s="1160" t="n"/>
      <c r="J12" s="1160" t="n"/>
      <c r="K12" s="1160" t="n"/>
      <c r="L12" s="1160" t="n"/>
      <c r="AA12" s="328" t="n"/>
    </row>
    <row r="13" ht="18.75" customHeight="1" s="680">
      <c r="A13" s="324" t="n"/>
      <c r="B13" s="325" t="n"/>
      <c r="D13" s="592" t="inlineStr">
        <is>
          <t>發文日期：</t>
        </is>
      </c>
      <c r="H13" s="1328">
        <f>TODAY()</f>
        <v/>
      </c>
      <c r="Q13" s="1329" t="n"/>
      <c r="AA13" s="328" t="n"/>
    </row>
    <row r="14" ht="18" customHeight="1" s="680">
      <c r="A14" s="324" t="n"/>
      <c r="B14" s="325" t="n"/>
      <c r="D14" s="592" t="inlineStr">
        <is>
          <t>發文字號：</t>
        </is>
      </c>
      <c r="H14" s="592">
        <f>CONCATENATE(,輸入!$S$19,LEFT(輸入!$S$20,1),"字第",輸入!$C$10,"號")</f>
        <v/>
      </c>
    </row>
    <row r="15" ht="18.75" customHeight="1" s="680">
      <c r="A15" s="706" t="inlineStr">
        <is>
          <t>裝</t>
        </is>
      </c>
      <c r="B15" s="707" t="n"/>
      <c r="D15" s="592" t="inlineStr">
        <is>
          <t>速別：</t>
        </is>
      </c>
      <c r="H15" s="592" t="inlineStr">
        <is>
          <t>最速件</t>
        </is>
      </c>
    </row>
    <row r="16" ht="16.5" customHeight="1" s="680">
      <c r="A16" s="324" t="n"/>
      <c r="B16" s="325" t="n"/>
      <c r="D16" s="709" t="inlineStr">
        <is>
          <t>密等及解密條件或保密期限：</t>
        </is>
      </c>
    </row>
    <row r="17" ht="17.25" customHeight="1" s="680">
      <c r="A17" s="324" t="n"/>
      <c r="B17" s="325" t="n"/>
      <c r="D17" s="592" t="inlineStr">
        <is>
          <t>附件：</t>
        </is>
      </c>
      <c r="Q17" s="1283" t="n"/>
      <c r="R17" s="1283" t="n"/>
      <c r="S17" s="1283" t="n"/>
      <c r="T17" s="1283" t="n"/>
      <c r="U17" s="1283" t="n"/>
      <c r="V17" s="1283" t="n"/>
      <c r="W17" s="1283" t="n"/>
      <c r="X17" s="1283" t="n"/>
      <c r="Y17" s="1283" t="n"/>
      <c r="Z17" s="1283" t="n"/>
      <c r="AA17" s="1283" t="n"/>
    </row>
    <row r="18" ht="24" customHeight="1" s="680">
      <c r="A18" s="324" t="n"/>
      <c r="B18" s="325" t="n"/>
    </row>
    <row r="19" ht="46.5" customHeight="1" s="680">
      <c r="A19" s="324" t="n"/>
      <c r="B19" s="325" t="n"/>
      <c r="D19" s="710" t="inlineStr">
        <is>
          <t>主旨：</t>
        </is>
      </c>
      <c r="G19" s="703">
        <f>CONCATENATE("為偵辦刑事案件，需調閱貴公司相關資料，惠請予協助提供，詳如說明事項，請查照。")</f>
        <v/>
      </c>
    </row>
    <row r="20" ht="24" customHeight="1" s="680">
      <c r="A20" s="324" t="n"/>
      <c r="B20" s="325" t="n"/>
      <c r="D20" s="705" t="inlineStr">
        <is>
          <t>說明：</t>
        </is>
      </c>
    </row>
    <row r="21" ht="46.5" customHeight="1" s="680">
      <c r="A21" s="324" t="n"/>
      <c r="B21" s="325" t="n"/>
      <c r="D21" s="329" t="n"/>
      <c r="E21" s="708" t="inlineStr">
        <is>
          <t>一、</t>
        </is>
      </c>
      <c r="G21" s="703" t="inlineStr">
        <is>
          <t>依據刑事訴訟法第230、231條暨個人資料保護法第15、16、20條辦理。</t>
        </is>
      </c>
    </row>
    <row r="22" ht="82.5" customHeight="1" s="680">
      <c r="A22" s="706" t="inlineStr">
        <is>
          <t>訂</t>
        </is>
      </c>
      <c r="B22" s="707" t="n"/>
      <c r="D22" s="922" t="n"/>
      <c r="E22" s="352" t="inlineStr">
        <is>
          <t>二、</t>
        </is>
      </c>
      <c r="F22" s="1160" t="n"/>
      <c r="G22" s="703">
        <f>CONCATENATE("請惠予協助調閱  貴單位所有之監視錄影檔案或相關紀錄，調閱時間：",下拉用!$J$6,"至",下拉用!$J$7,"之",輸入!H8,"監視錄影畫面記錄等相關紀錄，俾利刑案偵辦，請  查照。")</f>
        <v/>
      </c>
      <c r="AC22" s="922" t="n"/>
    </row>
    <row r="23" ht="23.25" customHeight="1" s="680">
      <c r="A23" s="324" t="n"/>
      <c r="B23" s="325" t="n"/>
      <c r="D23" s="922">
        <f>CONCATENATE("  三、本案承辦人：警員 ",word用!$AQ$2,"，聯絡電話：",輸入!$T$21,"")</f>
        <v/>
      </c>
      <c r="E23" s="922" t="n"/>
      <c r="F23" s="922" t="n"/>
      <c r="G23" s="922" t="n"/>
      <c r="H23" s="922" t="n"/>
      <c r="I23" s="922" t="n"/>
      <c r="J23" s="922" t="n"/>
      <c r="K23" s="922" t="n"/>
      <c r="L23" s="922" t="n"/>
      <c r="M23" s="922" t="n"/>
      <c r="N23" s="922" t="n"/>
      <c r="O23" s="922" t="n"/>
      <c r="P23" s="922" t="n"/>
      <c r="AB23" s="922" t="n"/>
      <c r="AC23" s="922" t="n"/>
    </row>
    <row r="24" ht="21.75" customHeight="1" s="680">
      <c r="A24" s="324" t="n"/>
      <c r="B24" s="325" t="n"/>
      <c r="D24" s="330" t="n"/>
      <c r="E24" s="1144" t="n"/>
      <c r="F24" s="1144" t="n"/>
      <c r="G24" s="1144" t="n"/>
      <c r="H24" s="1144" t="n"/>
      <c r="I24" s="1144" t="n"/>
      <c r="J24" s="1144" t="n"/>
      <c r="K24" s="1144" t="n"/>
      <c r="L24" s="1144" t="n"/>
      <c r="M24" s="1144" t="n"/>
      <c r="N24" s="1144" t="n"/>
      <c r="O24" s="1144" t="n"/>
      <c r="P24" s="1144" t="n"/>
      <c r="Q24" s="703" t="n"/>
      <c r="R24" s="703" t="n"/>
      <c r="S24" s="703" t="n"/>
      <c r="T24" s="703" t="n"/>
      <c r="U24" s="703" t="n"/>
      <c r="V24" s="703" t="n"/>
      <c r="W24" s="703" t="n"/>
      <c r="X24" s="703" t="n"/>
      <c r="Y24" s="703" t="n"/>
      <c r="Z24" s="703" t="n"/>
      <c r="AA24" s="703" t="n"/>
      <c r="AB24" s="1144" t="n"/>
      <c r="AC24" s="1144" t="n"/>
    </row>
    <row r="25" ht="17.25" customHeight="1" s="680">
      <c r="A25" s="324" t="n"/>
      <c r="B25" s="325" t="n"/>
      <c r="D25" s="776" t="inlineStr">
        <is>
          <t>正本：監視器裝設之住家或商、店家</t>
        </is>
      </c>
      <c r="E25" s="776" t="n"/>
      <c r="F25" s="776" t="n"/>
      <c r="G25" s="776" t="n"/>
      <c r="H25" s="776" t="n"/>
      <c r="I25" s="776" t="n"/>
      <c r="J25" s="776" t="n"/>
      <c r="K25" s="776" t="n"/>
      <c r="L25" s="776" t="n"/>
      <c r="M25" s="776" t="n"/>
      <c r="N25" s="776" t="n"/>
      <c r="O25" s="776" t="n"/>
      <c r="P25" s="776" t="n"/>
      <c r="Q25" s="51" t="n"/>
      <c r="R25" s="51" t="n"/>
      <c r="S25" s="51" t="n"/>
      <c r="T25" s="51" t="n"/>
      <c r="U25" s="51" t="n"/>
      <c r="V25" s="51" t="n"/>
      <c r="W25" s="51" t="n"/>
      <c r="X25" s="51" t="n"/>
      <c r="Y25" s="51" t="n"/>
      <c r="Z25" s="51" t="n"/>
      <c r="AA25" s="51" t="n"/>
      <c r="AB25" s="776" t="n"/>
      <c r="AC25" s="776" t="n"/>
    </row>
    <row r="26" ht="12.75" customHeight="1" s="680">
      <c r="A26" s="324" t="n"/>
      <c r="B26" s="325" t="n"/>
      <c r="D26" s="776">
        <f>CONCATENATE("副本：",輸入!$S$18,輸入!$T$18,輸入!$S$19,輸入!$T$19,輸入!$S$20,輸入!$T$20)</f>
        <v/>
      </c>
      <c r="E26" s="776" t="n"/>
      <c r="F26" s="776" t="n"/>
      <c r="G26" s="776" t="n"/>
      <c r="H26" s="776" t="n"/>
      <c r="I26" s="776" t="n"/>
      <c r="J26" s="776" t="n"/>
      <c r="K26" s="776" t="n"/>
      <c r="L26" s="776" t="n"/>
      <c r="M26" s="776" t="n"/>
      <c r="N26" s="776" t="n"/>
      <c r="O26" s="776" t="n"/>
      <c r="P26" s="776" t="n"/>
      <c r="AB26" s="776" t="n"/>
      <c r="AC26" s="776" t="n"/>
    </row>
    <row r="27" ht="28.5" customHeight="1" s="680">
      <c r="A27" s="324" t="n"/>
      <c r="B27" s="325" t="n"/>
      <c r="Q27" s="703" t="n"/>
      <c r="R27" s="703" t="n"/>
      <c r="S27" s="703" t="n"/>
      <c r="T27" s="703" t="n"/>
      <c r="U27" s="703" t="n"/>
      <c r="V27" s="703" t="n"/>
      <c r="W27" s="703" t="n"/>
      <c r="X27" s="703" t="n"/>
      <c r="Y27" s="703" t="n"/>
      <c r="Z27" s="703" t="n"/>
      <c r="AA27" s="703" t="n"/>
    </row>
    <row r="28" ht="21" customHeight="1" s="680">
      <c r="B28" s="325" t="n"/>
      <c r="Q28" s="922" t="n"/>
      <c r="R28" s="922" t="n"/>
      <c r="S28" s="922" t="n"/>
      <c r="T28" s="922" t="n"/>
      <c r="U28" s="922" t="n"/>
      <c r="V28" s="922" t="n"/>
      <c r="W28" s="922" t="n"/>
      <c r="X28" s="922" t="n"/>
      <c r="Y28" s="922" t="n"/>
      <c r="Z28" s="922" t="n"/>
      <c r="AA28" s="922" t="n"/>
    </row>
    <row r="29" ht="21" customHeight="1" s="680">
      <c r="A29" s="663" t="inlineStr">
        <is>
          <t>線</t>
        </is>
      </c>
      <c r="Q29" s="922" t="n"/>
      <c r="R29" s="922" t="n"/>
      <c r="S29" s="922" t="n"/>
      <c r="T29" s="922" t="n"/>
      <c r="U29" s="922" t="n"/>
      <c r="V29" s="922" t="n"/>
      <c r="W29" s="922" t="n"/>
      <c r="X29" s="922" t="n"/>
      <c r="Y29" s="922" t="n"/>
      <c r="Z29" s="922" t="n"/>
      <c r="AA29" s="922" t="n"/>
    </row>
    <row r="30">
      <c r="B30" s="325" t="n"/>
      <c r="Q30" s="1144" t="n"/>
      <c r="R30" s="1144" t="n"/>
      <c r="S30" s="1144" t="n"/>
      <c r="T30" s="1144" t="n"/>
      <c r="U30" s="1144" t="n"/>
      <c r="V30" s="1144" t="n"/>
      <c r="W30" s="1144" t="n"/>
      <c r="X30" s="1144" t="n"/>
      <c r="Y30" s="1144" t="n"/>
      <c r="Z30" s="1144" t="n"/>
      <c r="AA30" s="1144" t="n"/>
    </row>
    <row r="31">
      <c r="B31" s="325" t="n"/>
      <c r="Q31" s="776" t="n"/>
      <c r="R31" s="776" t="n"/>
      <c r="S31" s="776" t="n"/>
      <c r="T31" s="776" t="n"/>
      <c r="U31" s="776" t="n"/>
      <c r="V31" s="776" t="n"/>
      <c r="W31" s="776" t="n"/>
      <c r="X31" s="776" t="n"/>
      <c r="Y31" s="776" t="n"/>
      <c r="Z31" s="776" t="n"/>
      <c r="AA31" s="776" t="n"/>
    </row>
    <row r="32">
      <c r="B32" s="325" t="n"/>
      <c r="Q32" s="776" t="n"/>
      <c r="R32" s="776" t="n"/>
      <c r="S32" s="776" t="n"/>
      <c r="T32" s="776" t="n"/>
      <c r="U32" s="776" t="n"/>
      <c r="V32" s="776" t="n"/>
      <c r="W32" s="776" t="n"/>
      <c r="X32" s="776" t="n"/>
      <c r="Y32" s="776" t="n"/>
      <c r="Z32" s="776" t="n"/>
      <c r="AA32" s="776" t="n"/>
    </row>
    <row r="33">
      <c r="B33" s="325" t="n"/>
    </row>
    <row r="34" ht="4.5" customHeight="1" s="680">
      <c r="B34" s="325" t="n"/>
    </row>
    <row r="35" hidden="1" s="680">
      <c r="B35" s="325" t="n"/>
    </row>
    <row r="36">
      <c r="B36" s="325" t="n"/>
    </row>
    <row r="37">
      <c r="B37" s="325" t="n"/>
    </row>
  </sheetData>
  <mergeCells count="12">
    <mergeCell ref="D16:O16"/>
    <mergeCell ref="D19:F19"/>
    <mergeCell ref="A15:B15"/>
    <mergeCell ref="E21:F21"/>
    <mergeCell ref="G22:AB22"/>
    <mergeCell ref="H13:P13"/>
    <mergeCell ref="G21:AC21"/>
    <mergeCell ref="A29:C29"/>
    <mergeCell ref="B4:AC4"/>
    <mergeCell ref="D20:F20"/>
    <mergeCell ref="A22:B22"/>
    <mergeCell ref="G19:AC19"/>
  </mergeCells>
  <pageMargins left="0.7" right="0.7" top="0.75" bottom="0.75" header="0.3" footer="0.3"/>
  <pageSetup orientation="portrait" paperSize="9" scale="98"/>
  <colBreaks count="1" manualBreakCount="1">
    <brk id="29" min="0" max="18" man="1"/>
  </colBreaks>
</worksheet>
</file>

<file path=xl/worksheets/sheet12.xml><?xml version="1.0" encoding="utf-8"?>
<worksheet xmlns="http://schemas.openxmlformats.org/spreadsheetml/2006/main">
  <sheetPr codeName="工作表3">
    <tabColor rgb="FFFF0000"/>
    <outlinePr summaryBelow="1" summaryRight="1"/>
    <pageSetUpPr/>
  </sheetPr>
  <dimension ref="B1:J23"/>
  <sheetViews>
    <sheetView showGridLines="0" view="pageBreakPreview" topLeftCell="A13" zoomScale="115" zoomScaleNormal="100" zoomScaleSheetLayoutView="115" workbookViewId="0">
      <selection activeCell="F22" sqref="F22"/>
    </sheetView>
  </sheetViews>
  <sheetFormatPr baseColWidth="8" defaultRowHeight="16.5"/>
  <cols>
    <col width="3.25" customWidth="1" style="680" min="1" max="1"/>
    <col width="5.625" customWidth="1" style="680" min="2" max="2"/>
    <col width="12.125" customWidth="1" style="680" min="3" max="3"/>
    <col width="10.25" customWidth="1" style="680" min="5" max="9"/>
  </cols>
  <sheetData>
    <row r="1" ht="39" customHeight="1" s="680">
      <c r="B1" s="714">
        <f>word用!$H$2</f>
        <v/>
      </c>
      <c r="C1" s="642" t="n"/>
      <c r="D1" s="11">
        <f>IF(word用!$R$2="男","先生","女士")</f>
        <v/>
      </c>
      <c r="E1" s="6" t="n"/>
      <c r="F1" s="6" t="n"/>
      <c r="G1" s="6" t="n"/>
      <c r="H1" s="6" t="n"/>
      <c r="I1" s="6" t="n"/>
    </row>
    <row r="2" ht="4.5" customHeight="1" s="680">
      <c r="B2" s="714" t="n"/>
      <c r="C2" s="642" t="n"/>
      <c r="D2" s="11" t="n"/>
      <c r="E2" s="6" t="n"/>
      <c r="F2" s="6" t="n"/>
      <c r="G2" s="6" t="n"/>
      <c r="H2" s="6" t="n"/>
      <c r="I2" s="6" t="n"/>
    </row>
    <row r="3" ht="33.75" customHeight="1" s="680">
      <c r="B3" s="715">
        <f>CONCATENATE("台端因為涉嫌 ",呈報單!$G$15," 罪名，必須接受偵訊，在接受偵訊時可以行使下列權利：")</f>
        <v/>
      </c>
      <c r="C3" s="642" t="n"/>
      <c r="D3" s="642" t="n"/>
      <c r="E3" s="642" t="n"/>
      <c r="F3" s="642" t="n"/>
      <c r="G3" s="642" t="n"/>
      <c r="H3" s="642" t="n"/>
      <c r="I3" s="642" t="n"/>
      <c r="J3" s="13" t="n"/>
    </row>
    <row r="4" ht="33.75" customHeight="1" s="680">
      <c r="B4" s="642" t="n"/>
      <c r="C4" s="642" t="n"/>
      <c r="D4" s="642" t="n"/>
      <c r="E4" s="642" t="n"/>
      <c r="F4" s="642" t="n"/>
      <c r="G4" s="642" t="n"/>
      <c r="H4" s="642" t="n"/>
      <c r="I4" s="642" t="n"/>
      <c r="J4" s="13" t="n"/>
    </row>
    <row r="5" ht="7.5" customHeight="1" s="680">
      <c r="B5" s="715" t="n"/>
      <c r="C5" s="715" t="n"/>
      <c r="D5" s="715" t="n"/>
      <c r="E5" s="715" t="n"/>
      <c r="F5" s="715" t="n"/>
      <c r="G5" s="715" t="n"/>
      <c r="H5" s="715" t="n"/>
      <c r="I5" s="715" t="n"/>
      <c r="J5" s="13" t="n"/>
    </row>
    <row r="6" ht="42" customHeight="1" s="680">
      <c r="B6" s="11" t="inlineStr">
        <is>
          <t>一、</t>
        </is>
      </c>
      <c r="C6" s="712" t="inlineStr">
        <is>
          <t>犯罪嫌疑及所犯所有罪名。罪名經告知後，認為應</t>
        </is>
      </c>
      <c r="D6" s="642" t="n"/>
      <c r="E6" s="642" t="n"/>
      <c r="F6" s="642" t="n"/>
      <c r="G6" s="642" t="n"/>
      <c r="H6" s="642" t="n"/>
      <c r="I6" s="642" t="n"/>
    </row>
    <row r="7" ht="42" customHeight="1" s="680">
      <c r="B7" s="12" t="n"/>
      <c r="C7" s="712" t="inlineStr">
        <is>
          <t>變更者，應再告知。</t>
        </is>
      </c>
      <c r="D7" s="642" t="n"/>
      <c r="E7" s="642" t="n"/>
      <c r="F7" s="642" t="n"/>
      <c r="G7" s="642" t="n"/>
      <c r="H7" s="642" t="n"/>
      <c r="I7" s="642" t="n"/>
    </row>
    <row r="8" ht="42" customHeight="1" s="680">
      <c r="B8" s="11" t="inlineStr">
        <is>
          <t>二、</t>
        </is>
      </c>
      <c r="C8" s="713" t="inlineStr">
        <is>
          <t>得保持緘默，無須違背自己之意思而為陳述。</t>
        </is>
      </c>
      <c r="D8" s="642" t="n"/>
      <c r="E8" s="642" t="n"/>
      <c r="F8" s="642" t="n"/>
      <c r="G8" s="642" t="n"/>
      <c r="H8" s="642" t="n"/>
      <c r="I8" s="642" t="n"/>
    </row>
    <row r="9" ht="42" customHeight="1" s="680">
      <c r="B9" s="11" t="inlineStr">
        <is>
          <t>三、</t>
        </is>
      </c>
      <c r="C9" s="712" t="inlineStr">
        <is>
          <t>得選任辯護人。如為低收入戶、中低收入戶、原住</t>
        </is>
      </c>
      <c r="D9" s="642" t="n"/>
      <c r="E9" s="642" t="n"/>
      <c r="F9" s="642" t="n"/>
      <c r="G9" s="642" t="n"/>
      <c r="H9" s="642" t="n"/>
      <c r="I9" s="642" t="n"/>
    </row>
    <row r="10" ht="42" customHeight="1" s="680">
      <c r="B10" s="12" t="n"/>
      <c r="C10" s="712" t="inlineStr">
        <is>
          <t>民或其他依法令得請求法律扶助者，得請求之。</t>
        </is>
      </c>
      <c r="D10" s="642" t="n"/>
      <c r="E10" s="642" t="n"/>
      <c r="F10" s="642" t="n"/>
      <c r="G10" s="642" t="n"/>
      <c r="H10" s="642" t="n"/>
      <c r="I10" s="642" t="n"/>
    </row>
    <row r="11" ht="42" customHeight="1" s="680">
      <c r="B11" s="11" t="inlineStr">
        <is>
          <t>四、</t>
        </is>
      </c>
      <c r="C11" s="713" t="inlineStr">
        <is>
          <t>得請求調查有利之證據。</t>
        </is>
      </c>
      <c r="D11" s="642" t="n"/>
      <c r="E11" s="642" t="n"/>
      <c r="F11" s="642" t="n"/>
      <c r="G11" s="642" t="n"/>
      <c r="H11" s="642" t="n"/>
      <c r="I11" s="642" t="n"/>
    </row>
    <row r="12" ht="42" customHeight="1" s="680">
      <c r="B12" s="713" t="inlineStr">
        <is>
          <t>五、</t>
        </is>
      </c>
      <c r="C12" s="713" t="inlineStr">
        <is>
          <t>提審法第1條：</t>
        </is>
      </c>
      <c r="D12" s="642" t="n"/>
      <c r="E12" s="642" t="n"/>
      <c r="F12" s="642" t="n"/>
      <c r="G12" s="642" t="n"/>
      <c r="H12" s="642" t="n"/>
      <c r="I12" s="642" t="n"/>
    </row>
    <row r="13" ht="42" customHeight="1" s="680">
      <c r="B13" s="11" t="n"/>
      <c r="C13" s="713" t="inlineStr">
        <is>
          <t>人民被法院以外之任何機關逮捕、拘禁時，其本人</t>
        </is>
      </c>
      <c r="D13" s="642" t="n"/>
      <c r="E13" s="642" t="n"/>
      <c r="F13" s="642" t="n"/>
      <c r="G13" s="642" t="n"/>
      <c r="H13" s="642" t="n"/>
      <c r="I13" s="642" t="n"/>
    </row>
    <row r="14" ht="42" customHeight="1" s="680">
      <c r="B14" s="6" t="n"/>
      <c r="C14" s="713" t="inlineStr">
        <is>
          <t>或他人得向逮捕、拘禁地之地方法院聲請提審。但</t>
        </is>
      </c>
      <c r="D14" s="642" t="n"/>
      <c r="E14" s="642" t="n"/>
      <c r="F14" s="642" t="n"/>
      <c r="G14" s="642" t="n"/>
      <c r="H14" s="642" t="n"/>
      <c r="I14" s="642" t="n"/>
    </row>
    <row r="15" ht="42" customHeight="1" s="680">
      <c r="B15" s="6" t="n"/>
      <c r="C15" s="713" t="inlineStr">
        <is>
          <t>其他法律規定得聲請即時由法院審查者，依其規定。</t>
        </is>
      </c>
      <c r="D15" s="642" t="n"/>
      <c r="E15" s="642" t="n"/>
      <c r="F15" s="642" t="n"/>
      <c r="G15" s="642" t="n"/>
      <c r="H15" s="642" t="n"/>
      <c r="I15" s="642" t="n"/>
    </row>
    <row r="16" ht="42" customHeight="1" s="680">
      <c r="B16" s="6" t="n"/>
      <c r="C16" s="713" t="inlineStr">
        <is>
          <t>前項聲請及第10條之抗告，免徵費用。</t>
        </is>
      </c>
      <c r="D16" s="642" t="n"/>
      <c r="E16" s="642" t="n"/>
      <c r="F16" s="642" t="n"/>
      <c r="G16" s="642" t="n"/>
      <c r="H16" s="6" t="n"/>
      <c r="I16" s="6" t="n"/>
    </row>
    <row r="17" ht="37.5" customHeight="1" s="680">
      <c r="B17" s="6" t="n"/>
      <c r="C17" s="711" t="inlineStr">
        <is>
          <t>被告知人：</t>
        </is>
      </c>
      <c r="D17" s="642" t="n"/>
      <c r="E17" s="642" t="n"/>
      <c r="F17" s="6" t="n"/>
      <c r="G17" s="6" t="n"/>
      <c r="H17" s="6" t="n"/>
      <c r="I17" s="6" t="n"/>
    </row>
    <row r="18" ht="20.25" customHeight="1" s="680">
      <c r="B18" s="6" t="n"/>
      <c r="C18" s="10" t="n"/>
      <c r="D18" s="6" t="n"/>
      <c r="E18" s="6" t="n"/>
      <c r="F18" s="6" t="n"/>
      <c r="G18" s="6" t="n"/>
      <c r="H18" s="6" t="n"/>
      <c r="I18" s="6" t="n"/>
    </row>
    <row r="19" ht="37.5" customHeight="1" s="680">
      <c r="B19" s="6" t="n"/>
      <c r="C19" s="711" t="inlineStr">
        <is>
          <t>司法警察官或司法警察：</t>
        </is>
      </c>
      <c r="D19" s="642" t="n"/>
      <c r="E19" s="642" t="n"/>
      <c r="F19" s="642" t="n"/>
      <c r="G19" s="6">
        <f>IF(ISBLANK(輸入!C10),"","")</f>
        <v/>
      </c>
      <c r="H19" s="6" t="n"/>
      <c r="I19" s="6" t="n"/>
    </row>
    <row r="20" ht="20.25" customHeight="1" s="680">
      <c r="B20" s="6" t="n"/>
      <c r="C20" s="9" t="n"/>
      <c r="D20" s="6" t="n"/>
      <c r="E20" s="6" t="n"/>
      <c r="F20" s="6" t="n"/>
      <c r="G20" s="6" t="n"/>
      <c r="H20" s="6" t="n"/>
      <c r="I20" s="6" t="n"/>
    </row>
    <row r="21" ht="37.5" customHeight="1" s="680">
      <c r="B21" s="6" t="n"/>
      <c r="C21" s="711" t="inlineStr">
        <is>
          <t>告知時間：</t>
        </is>
      </c>
      <c r="D21" s="642" t="n"/>
      <c r="E21" s="642" t="n"/>
      <c r="F21" s="711">
        <f>下拉用!$J$5</f>
        <v/>
      </c>
      <c r="G21" s="642" t="n"/>
      <c r="H21" s="642" t="n"/>
      <c r="I21" s="642" t="n"/>
    </row>
    <row r="22" ht="6.75" customHeight="1" s="680">
      <c r="B22" s="6" t="n"/>
      <c r="C22" s="8" t="n"/>
      <c r="D22" s="6" t="n"/>
      <c r="E22" s="6" t="n"/>
      <c r="F22" s="6" t="n"/>
      <c r="G22" s="6" t="n"/>
      <c r="H22" s="6" t="n"/>
      <c r="I22" s="6" t="n"/>
    </row>
    <row r="23">
      <c r="B23" s="6" t="n"/>
      <c r="C23" s="7" t="inlineStr">
        <is>
          <t>註：本告知單一式二聯，一聯交被告知人，一聯存查。</t>
        </is>
      </c>
      <c r="D23" s="6" t="n"/>
      <c r="E23" s="6" t="n"/>
      <c r="F23" s="6" t="n"/>
      <c r="G23" s="6" t="n"/>
      <c r="H23" s="6" t="n"/>
      <c r="I23" s="6" t="n"/>
    </row>
  </sheetData>
  <mergeCells count="18">
    <mergeCell ref="C14:I14"/>
    <mergeCell ref="B2:C2"/>
    <mergeCell ref="C13:I13"/>
    <mergeCell ref="B3:I4"/>
    <mergeCell ref="C9:I9"/>
    <mergeCell ref="C16:G16"/>
    <mergeCell ref="C8:I8"/>
    <mergeCell ref="C12:I12"/>
    <mergeCell ref="C17:E17"/>
    <mergeCell ref="C6:I6"/>
    <mergeCell ref="C7:I7"/>
    <mergeCell ref="F21:I21"/>
    <mergeCell ref="C10:I10"/>
    <mergeCell ref="C21:E21"/>
    <mergeCell ref="C19:F19"/>
    <mergeCell ref="C15:I15"/>
    <mergeCell ref="C11:I11"/>
    <mergeCell ref="B1:C1"/>
  </mergeCells>
  <pageMargins left="0.7" right="0.7" top="0.75" bottom="0.75" header="0.3" footer="0.3"/>
  <pageSetup orientation="portrait" paperSize="9"/>
</worksheet>
</file>

<file path=xl/worksheets/sheet13.xml><?xml version="1.0" encoding="utf-8"?>
<worksheet xmlns="http://schemas.openxmlformats.org/spreadsheetml/2006/main">
  <sheetPr codeName="工作表4">
    <tabColor rgb="FFFF0000"/>
    <outlinePr summaryBelow="1" summaryRight="1"/>
    <pageSetUpPr/>
  </sheetPr>
  <dimension ref="A1:L19"/>
  <sheetViews>
    <sheetView showGridLines="0" view="pageBreakPreview" topLeftCell="A4" zoomScaleNormal="85" zoomScaleSheetLayoutView="100" workbookViewId="0">
      <selection activeCell="B17" sqref="B17:K17"/>
    </sheetView>
  </sheetViews>
  <sheetFormatPr baseColWidth="8" defaultRowHeight="16.5"/>
  <cols>
    <col width="4.75" customWidth="1" style="680" min="1" max="1"/>
    <col width="7.625" customWidth="1" style="680" min="2" max="9"/>
    <col width="7.875" customWidth="1" style="680" min="10" max="10"/>
    <col width="7.625" customWidth="1" style="680" min="11" max="11"/>
  </cols>
  <sheetData>
    <row r="1" ht="67.5" customHeight="1" s="680">
      <c r="A1" s="22" t="n"/>
      <c r="B1" s="719" t="inlineStr">
        <is>
          <t>夜間偵訊同意書</t>
        </is>
      </c>
      <c r="C1" s="642" t="n"/>
      <c r="D1" s="642" t="n"/>
      <c r="E1" s="642" t="n"/>
      <c r="F1" s="642" t="n"/>
      <c r="G1" s="642" t="n"/>
      <c r="H1" s="642" t="n"/>
      <c r="I1" s="642" t="n"/>
      <c r="J1" s="642" t="n"/>
      <c r="K1" s="642" t="n"/>
      <c r="L1" s="642" t="n"/>
    </row>
    <row r="2" ht="78" customHeight="1" s="680">
      <c r="A2" s="24" t="n"/>
      <c r="B2" s="6" t="n"/>
      <c r="C2" s="6" t="n"/>
      <c r="D2" s="6" t="n"/>
      <c r="E2" s="6" t="n"/>
      <c r="F2" s="6" t="n"/>
      <c r="G2" s="6" t="n"/>
      <c r="H2" s="6" t="n"/>
      <c r="I2" s="6" t="n"/>
      <c r="J2" s="6" t="n"/>
      <c r="K2" s="6" t="n"/>
    </row>
    <row r="3" ht="60.75" customHeight="1" s="680">
      <c r="A3" s="24" t="n"/>
      <c r="B3" s="717">
        <f>CONCATENATE("本人 ",word用!$H$2, " 經告知涉嫌",呈報單!$G$15,"案，同意於夜間接受詢問。")</f>
        <v/>
      </c>
      <c r="C3" s="642" t="n"/>
      <c r="D3" s="642" t="n"/>
      <c r="E3" s="642" t="n"/>
      <c r="F3" s="642" t="n"/>
      <c r="G3" s="642" t="n"/>
      <c r="H3" s="642" t="n"/>
      <c r="I3" s="642" t="n"/>
      <c r="J3" s="642" t="n"/>
      <c r="K3" s="642" t="n"/>
      <c r="L3" s="642" t="n"/>
    </row>
    <row r="4" ht="18" customHeight="1" s="680">
      <c r="A4" s="23" t="n"/>
      <c r="B4" s="642" t="n"/>
      <c r="C4" s="642" t="n"/>
      <c r="D4" s="642" t="n"/>
      <c r="E4" s="642" t="n"/>
      <c r="F4" s="642" t="n"/>
      <c r="G4" s="642" t="n"/>
      <c r="H4" s="642" t="n"/>
      <c r="I4" s="642" t="n"/>
      <c r="J4" s="642" t="n"/>
      <c r="K4" s="642" t="n"/>
      <c r="L4" s="642" t="n"/>
    </row>
    <row r="5" ht="24.75" customHeight="1" s="680">
      <c r="A5" s="332" t="n"/>
      <c r="B5" s="642" t="n"/>
      <c r="C5" s="642" t="n"/>
      <c r="D5" s="642" t="n"/>
      <c r="E5" s="642" t="n"/>
      <c r="F5" s="642" t="n"/>
      <c r="G5" s="642" t="n"/>
      <c r="H5" s="642" t="n"/>
      <c r="I5" s="642" t="n"/>
      <c r="J5" s="642" t="n"/>
      <c r="K5" s="642" t="n"/>
      <c r="L5" s="642" t="n"/>
    </row>
    <row r="6" ht="22.5" customHeight="1" s="680">
      <c r="A6" s="22" t="n"/>
      <c r="B6" s="642" t="n"/>
      <c r="C6" s="642" t="n"/>
      <c r="D6" s="642" t="n"/>
      <c r="E6" s="642" t="n"/>
      <c r="F6" s="642" t="n"/>
      <c r="G6" s="642" t="n"/>
      <c r="H6" s="642" t="n"/>
      <c r="I6" s="642" t="n"/>
      <c r="J6" s="642" t="n"/>
      <c r="K6" s="642" t="n"/>
      <c r="L6" s="642" t="n"/>
    </row>
    <row r="7" ht="51.75" customHeight="1" s="680">
      <c r="A7" s="331" t="n"/>
      <c r="B7" s="642" t="n"/>
      <c r="C7" s="642" t="n"/>
      <c r="D7" s="642" t="n"/>
      <c r="E7" s="642" t="n"/>
      <c r="F7" s="642" t="n"/>
      <c r="G7" s="642" t="n"/>
      <c r="H7" s="642" t="n"/>
      <c r="I7" s="642" t="n"/>
      <c r="J7" s="642" t="n"/>
      <c r="K7" s="642" t="n"/>
      <c r="L7" s="642" t="n"/>
    </row>
    <row r="8" ht="11.25" customHeight="1" s="680">
      <c r="A8" s="18" t="n"/>
      <c r="B8" s="21" t="n"/>
      <c r="C8" s="6" t="n"/>
      <c r="D8" s="6" t="n"/>
      <c r="E8" s="6" t="n"/>
      <c r="F8" s="6" t="n"/>
      <c r="G8" s="6" t="n"/>
      <c r="H8" s="6" t="n"/>
      <c r="I8" s="6" t="n"/>
      <c r="J8" s="6" t="n"/>
      <c r="K8" s="6" t="n"/>
    </row>
    <row r="9" ht="19.5" customHeight="1" s="680">
      <c r="A9" s="18" t="n"/>
      <c r="B9" s="20" t="n"/>
      <c r="C9" s="6" t="n"/>
      <c r="D9" s="6" t="n"/>
      <c r="E9" s="6" t="n"/>
      <c r="F9" s="6" t="n"/>
      <c r="G9" s="6" t="n"/>
      <c r="H9" s="6" t="n"/>
      <c r="I9" s="6" t="n"/>
      <c r="J9" s="6" t="n"/>
      <c r="K9" s="6" t="n"/>
    </row>
    <row r="10" ht="8.25" customHeight="1" s="680">
      <c r="A10" s="18" t="n"/>
      <c r="B10" s="6" t="n"/>
      <c r="C10" s="6" t="n"/>
      <c r="D10" s="6" t="n"/>
      <c r="E10" s="6" t="n"/>
      <c r="F10" s="6" t="n"/>
      <c r="G10" s="6" t="n"/>
      <c r="H10" s="6" t="n"/>
      <c r="I10" s="6" t="n"/>
      <c r="J10" s="6" t="n"/>
      <c r="K10" s="6" t="n"/>
    </row>
    <row r="11" ht="46.5" customHeight="1" s="680">
      <c r="A11" s="6" t="n"/>
      <c r="B11" s="19" t="n"/>
      <c r="C11" s="6" t="n"/>
      <c r="D11" s="6" t="n"/>
      <c r="E11" s="6" t="n"/>
      <c r="F11" s="6" t="n"/>
      <c r="G11" s="6" t="n"/>
      <c r="H11" s="6" t="n"/>
      <c r="I11" s="6" t="n"/>
      <c r="J11" s="6" t="n"/>
      <c r="K11" s="6" t="n"/>
    </row>
    <row r="12" hidden="1" ht="50.25" customHeight="1" s="680">
      <c r="A12" s="6" t="n"/>
      <c r="B12" s="6" t="n"/>
      <c r="C12" s="6" t="n"/>
      <c r="D12" s="6" t="n"/>
      <c r="E12" s="6" t="n"/>
      <c r="F12" s="6" t="n"/>
      <c r="G12" s="6" t="n"/>
      <c r="H12" s="6" t="n"/>
      <c r="I12" s="6" t="n"/>
      <c r="J12" s="6" t="n"/>
      <c r="K12" s="6" t="n"/>
    </row>
    <row r="13" ht="52.5" customHeight="1" s="680">
      <c r="A13" s="6" t="n"/>
      <c r="B13" s="718" t="inlineStr">
        <is>
          <t>涉嫌人簽章：</t>
        </is>
      </c>
      <c r="C13" s="642" t="n"/>
      <c r="D13" s="642" t="n"/>
      <c r="E13" s="642" t="n"/>
      <c r="F13" s="6" t="n"/>
      <c r="G13" s="6" t="n"/>
      <c r="H13" s="6" t="n"/>
      <c r="I13" s="6" t="n"/>
      <c r="J13" s="6" t="n"/>
      <c r="K13" s="6" t="n"/>
    </row>
    <row r="14" ht="37.5" customHeight="1" s="680">
      <c r="A14" s="17" t="n"/>
      <c r="B14" s="6" t="n"/>
      <c r="C14" s="6" t="n"/>
      <c r="D14" s="6" t="n"/>
      <c r="E14" s="6" t="n"/>
      <c r="F14" s="6" t="n"/>
      <c r="G14" s="6" t="n"/>
      <c r="H14" s="6" t="n"/>
      <c r="I14" s="6" t="n"/>
      <c r="J14" s="6" t="n"/>
      <c r="K14" s="6" t="n"/>
    </row>
    <row r="15" ht="52.5" customHeight="1" s="680">
      <c r="A15" s="18" t="n"/>
      <c r="B15" s="718" t="inlineStr">
        <is>
          <t>司法警察：</t>
        </is>
      </c>
      <c r="C15" s="642" t="n"/>
      <c r="D15" s="642" t="n"/>
      <c r="E15" s="642" t="n"/>
      <c r="F15" s="6" t="n"/>
      <c r="G15" s="6" t="n"/>
      <c r="H15" s="6" t="n"/>
      <c r="I15" s="6" t="n"/>
      <c r="J15" s="6" t="n"/>
      <c r="K15" s="6" t="n"/>
    </row>
    <row r="16" ht="37.5" customHeight="1" s="680">
      <c r="A16" s="17" t="n"/>
      <c r="B16" s="6" t="n"/>
      <c r="C16" s="6" t="n"/>
      <c r="D16" s="6" t="n"/>
      <c r="E16" s="6" t="n"/>
      <c r="F16" s="6" t="n"/>
      <c r="G16" s="6" t="n"/>
      <c r="H16" s="6" t="n"/>
      <c r="I16" s="6" t="n"/>
      <c r="J16" s="6" t="n"/>
      <c r="K16" s="6" t="n"/>
    </row>
    <row r="17" ht="27.75" customHeight="1" s="680">
      <c r="A17" s="16" t="n"/>
      <c r="B17" s="716">
        <f>CONCATENATE("　　告知時間:",下拉用!$J$5,"")</f>
        <v/>
      </c>
      <c r="C17" s="642" t="n"/>
      <c r="D17" s="642" t="n"/>
      <c r="E17" s="642" t="n"/>
      <c r="F17" s="642" t="n"/>
      <c r="G17" s="642" t="n"/>
      <c r="H17" s="642" t="n"/>
      <c r="I17" s="642" t="n"/>
      <c r="J17" s="642" t="n"/>
      <c r="K17" s="642" t="n"/>
    </row>
    <row r="18" ht="30" customHeight="1" s="680">
      <c r="A18" s="15" t="n"/>
    </row>
    <row r="19" ht="36.75" customHeight="1" s="680">
      <c r="B19" s="14" t="n"/>
    </row>
  </sheetData>
  <mergeCells count="5">
    <mergeCell ref="B17:K17"/>
    <mergeCell ref="B3:L7"/>
    <mergeCell ref="B13:E13"/>
    <mergeCell ref="B15:E15"/>
    <mergeCell ref="B1:L1"/>
  </mergeCells>
  <pageMargins left="0.4375" right="0.7" top="0.75" bottom="0.75" header="0.3" footer="0.3"/>
  <pageSetup orientation="portrait" paperSize="9"/>
</worksheet>
</file>

<file path=xl/worksheets/sheet14.xml><?xml version="1.0" encoding="utf-8"?>
<worksheet xmlns="http://schemas.openxmlformats.org/spreadsheetml/2006/main">
  <sheetPr codeName="工作表48">
    <tabColor theme="9" tint="-0.499984740745262"/>
    <outlinePr summaryBelow="1" summaryRight="1"/>
    <pageSetUpPr/>
  </sheetPr>
  <dimension ref="A1:O18"/>
  <sheetViews>
    <sheetView view="pageLayout" zoomScaleNormal="100" workbookViewId="0">
      <selection activeCell="G3" sqref="G3:K3"/>
    </sheetView>
  </sheetViews>
  <sheetFormatPr baseColWidth="8" defaultRowHeight="16.5"/>
  <cols>
    <col width="4.875" customWidth="1" style="592" min="1" max="1"/>
    <col width="1.625" customWidth="1" style="592" min="2" max="2"/>
    <col width="3.625" customWidth="1" style="592" min="3" max="3"/>
    <col width="2.25" customWidth="1" style="592" min="4" max="4"/>
    <col width="2.375" customWidth="1" style="592" min="5" max="5"/>
    <col width="3.5" customWidth="1" style="592" min="6" max="6"/>
    <col width="6.5" customWidth="1" style="592" min="7" max="7"/>
    <col width="4.25" customWidth="1" style="592" min="8" max="8"/>
    <col width="3.25" customWidth="1" style="592" min="9" max="9"/>
    <col width="8.375" customWidth="1" style="592" min="10" max="10"/>
    <col width="4.625" customWidth="1" style="592" min="11" max="11"/>
    <col width="8.625" customWidth="1" style="592" min="12" max="12"/>
    <col width="12.625" customWidth="1" style="592" min="13" max="13"/>
    <col width="9" customWidth="1" style="592" min="14" max="14"/>
    <col width="11.375" customWidth="1" style="592" min="15" max="15"/>
    <col width="9" customWidth="1" style="592" min="16" max="16"/>
    <col width="9" customWidth="1" style="592" min="17" max="16384"/>
  </cols>
  <sheetData>
    <row r="1" ht="45.75" customHeight="1" s="680">
      <c r="A1" s="720">
        <f>CONCATENATE(輸入!$S$18,輸入!$T$18,輸入!$S$19,輸入!$T$19,輸入!$S$20,輸入!$T$20,"一般陳報單",)</f>
        <v/>
      </c>
      <c r="B1" s="721" t="n"/>
      <c r="C1" s="721" t="n"/>
      <c r="D1" s="721" t="n"/>
      <c r="E1" s="721" t="n"/>
      <c r="F1" s="721" t="n"/>
      <c r="G1" s="721" t="n"/>
      <c r="H1" s="721" t="n"/>
      <c r="I1" s="721" t="n"/>
      <c r="J1" s="721" t="n"/>
      <c r="K1" s="721" t="n"/>
      <c r="L1" s="721" t="n"/>
      <c r="M1" s="721" t="n"/>
      <c r="N1" s="721" t="n"/>
      <c r="O1" s="722" t="n"/>
    </row>
    <row r="2" ht="45.75" customHeight="1" s="680">
      <c r="A2" s="729" t="inlineStr">
        <is>
          <t>陳報字號</t>
        </is>
      </c>
      <c r="B2" s="577" t="n"/>
      <c r="C2" s="577" t="n"/>
      <c r="D2" s="577" t="n"/>
      <c r="E2" s="577" t="n"/>
      <c r="F2" s="574" t="n"/>
      <c r="G2" s="723" t="inlineStr">
        <is>
          <t>陳報日期</t>
        </is>
      </c>
      <c r="H2" s="577" t="n"/>
      <c r="I2" s="577" t="n"/>
      <c r="J2" s="577" t="n"/>
      <c r="K2" s="574" t="n"/>
      <c r="L2" s="723" t="inlineStr">
        <is>
          <t>主旨</t>
        </is>
      </c>
      <c r="M2" s="577" t="n"/>
      <c r="N2" s="577" t="n"/>
      <c r="O2" s="574" t="n"/>
    </row>
    <row r="3" ht="88.5" customHeight="1" s="680">
      <c r="A3" s="724" t="inlineStr">
        <is>
          <t>北市警    字
第        號</t>
        </is>
      </c>
      <c r="B3" s="577" t="n"/>
      <c r="C3" s="577" t="n"/>
      <c r="D3" s="577" t="n"/>
      <c r="E3" s="577" t="n"/>
      <c r="F3" s="574" t="n"/>
      <c r="G3" s="1330">
        <f>TODAY()</f>
        <v/>
      </c>
      <c r="H3" s="577" t="n"/>
      <c r="I3" s="577" t="n"/>
      <c r="J3" s="577" t="n"/>
      <c r="K3" s="574" t="n"/>
      <c r="L3" s="733">
        <f>CONCATENATE("本所為偵辦【",呈報單!$G$15,"】案，報 請協助通知 ",word用!$H$2,"  到案說明乙案。")</f>
        <v/>
      </c>
      <c r="M3" s="577" t="n"/>
      <c r="N3" s="577" t="n"/>
      <c r="O3" s="574" t="n"/>
    </row>
    <row r="4" ht="41.25" customHeight="1" s="680">
      <c r="A4" s="730" t="inlineStr">
        <is>
          <t>陳報內容</t>
        </is>
      </c>
      <c r="B4" s="581" t="n"/>
      <c r="C4" s="384" t="inlineStr">
        <is>
          <t>主旨：</t>
        </is>
      </c>
      <c r="D4" s="385" t="n"/>
      <c r="E4" s="385" t="n"/>
      <c r="F4" s="734">
        <f>CONCATENATE("本所為偵辦【",呈報單!$G$15,"】案，報 請協助通知 ",word用!$H$2," 到案說明乙案。")</f>
        <v/>
      </c>
      <c r="G4" s="580" t="n"/>
      <c r="H4" s="580" t="n"/>
      <c r="I4" s="580" t="n"/>
      <c r="J4" s="580" t="n"/>
      <c r="K4" s="580" t="n"/>
      <c r="L4" s="580" t="n"/>
      <c r="M4" s="580" t="n"/>
      <c r="N4" s="580" t="n"/>
      <c r="O4" s="735" t="n"/>
    </row>
    <row r="5" ht="218.25" customHeight="1" s="680">
      <c r="A5" s="731" t="n"/>
      <c r="B5" s="611" t="n"/>
      <c r="C5" s="386" t="inlineStr">
        <is>
          <t>說明：</t>
        </is>
      </c>
      <c r="D5" s="386" t="n"/>
      <c r="E5" s="386" t="n"/>
      <c r="F5" s="726">
        <f>IF(輸入!$E$2=下拉用!$B$1,下拉用!$B$6,下拉用!$A$6)</f>
        <v/>
      </c>
      <c r="O5" s="727" t="n"/>
    </row>
    <row r="6" hidden="1" ht="33" customHeight="1" s="680">
      <c r="A6" s="731" t="n"/>
      <c r="B6" s="611" t="n"/>
      <c r="C6" s="386" t="n"/>
      <c r="D6" s="386" t="n"/>
      <c r="E6" s="386" t="n"/>
      <c r="F6" s="474" t="n"/>
      <c r="G6" s="474" t="n"/>
      <c r="H6" s="474" t="n"/>
      <c r="I6" s="474" t="n"/>
      <c r="J6" s="474" t="n"/>
      <c r="K6" s="474" t="n"/>
      <c r="L6" s="474" t="n"/>
      <c r="M6" s="474" t="n"/>
      <c r="N6" s="474" t="n"/>
      <c r="O6" s="726" t="n"/>
    </row>
    <row r="7" ht="22.5" customHeight="1" s="680">
      <c r="A7" s="731" t="n"/>
      <c r="B7" s="611" t="n"/>
      <c r="C7" s="386" t="n"/>
      <c r="D7" s="386" t="n"/>
      <c r="E7" s="386" t="n"/>
      <c r="F7" s="474" t="n"/>
      <c r="G7" s="736" t="inlineStr">
        <is>
          <t>到案時間：</t>
        </is>
      </c>
      <c r="J7" s="1331" t="n">
        <v>11406061800</v>
      </c>
      <c r="N7" s="1332" t="n"/>
      <c r="O7" s="726" t="n"/>
    </row>
    <row r="8" ht="22.5" customHeight="1" s="680">
      <c r="A8" s="731" t="n"/>
      <c r="B8" s="611" t="n"/>
      <c r="C8" s="387" t="n"/>
      <c r="D8" s="387" t="n"/>
      <c r="E8" s="387" t="n"/>
      <c r="F8" s="387" t="n"/>
      <c r="G8" s="388">
        <f>CONCATENATE("戶籍地址: ",word用!$M$2,"")</f>
        <v/>
      </c>
      <c r="H8" s="388" t="n"/>
      <c r="I8" s="388" t="n"/>
      <c r="J8" s="388" t="n"/>
      <c r="K8" s="387" t="n"/>
      <c r="L8" s="387" t="n"/>
      <c r="M8" s="387" t="n"/>
      <c r="N8" s="387" t="n"/>
      <c r="O8" s="389" t="n"/>
    </row>
    <row r="9" ht="22.5" customHeight="1" s="680">
      <c r="A9" s="731" t="n"/>
      <c r="B9" s="611" t="n"/>
      <c r="C9" s="387" t="n"/>
      <c r="D9" s="387" t="n"/>
      <c r="E9" s="387" t="n"/>
      <c r="F9" s="387" t="n"/>
      <c r="G9" s="388">
        <f>CONCATENATE("現住地址：",word用!$N$2,"")</f>
        <v/>
      </c>
      <c r="H9" s="388" t="n"/>
      <c r="I9" s="388" t="n"/>
      <c r="J9" s="388" t="n"/>
      <c r="K9" s="387" t="n"/>
      <c r="L9" s="387" t="n"/>
      <c r="M9" s="387" t="n"/>
      <c r="N9" s="387" t="n"/>
      <c r="O9" s="389" t="n"/>
    </row>
    <row r="10" ht="22.5" customHeight="1" s="680">
      <c r="A10" s="731" t="n"/>
      <c r="B10" s="611" t="n"/>
      <c r="C10" s="387" t="n"/>
      <c r="D10" s="387" t="n"/>
      <c r="E10" s="387" t="n"/>
      <c r="F10" s="387" t="n"/>
      <c r="G10" s="388">
        <f>CONCATENATE("通知地點：",輸入!$S$23,"(",輸入!$S$20,輸入!$T$20,")")</f>
        <v/>
      </c>
      <c r="H10" s="388" t="n"/>
      <c r="I10" s="388" t="n"/>
      <c r="J10" s="388" t="n"/>
      <c r="K10" s="387" t="n"/>
      <c r="L10" s="387" t="n"/>
      <c r="M10" s="387" t="n"/>
      <c r="N10" s="387" t="n"/>
      <c r="O10" s="389" t="n"/>
    </row>
    <row r="11" ht="22.5" customHeight="1" s="680">
      <c r="A11" s="731" t="n"/>
      <c r="B11" s="611" t="n"/>
      <c r="C11" s="387" t="n"/>
      <c r="D11" s="387" t="n"/>
      <c r="E11" s="387" t="n"/>
      <c r="F11" s="387" t="n"/>
      <c r="G11" s="388">
        <f>CONCATENATE("聯絡電話：",輸入!$T$21,"")</f>
        <v/>
      </c>
      <c r="H11" s="388" t="n"/>
      <c r="I11" s="388" t="n"/>
      <c r="J11" s="388" t="n"/>
      <c r="K11" s="387" t="n"/>
      <c r="L11" s="387" t="n"/>
      <c r="M11" s="387" t="n"/>
      <c r="N11" s="387" t="n"/>
      <c r="O11" s="389" t="n"/>
    </row>
    <row r="12" ht="22.5" customHeight="1" s="680">
      <c r="A12" s="731" t="n"/>
      <c r="B12" s="611" t="n"/>
      <c r="C12" s="387" t="n"/>
      <c r="D12" s="387" t="n"/>
      <c r="E12" s="387" t="n"/>
      <c r="F12" s="387" t="n"/>
      <c r="G12" s="388">
        <f>CONCATENATE("公務信箱：",輸入!$S$25,)</f>
        <v/>
      </c>
      <c r="H12" s="388" t="n"/>
      <c r="I12" s="388" t="n"/>
      <c r="J12" s="388" t="n"/>
      <c r="K12" s="387" t="n"/>
      <c r="L12" s="387" t="n"/>
      <c r="M12" s="387" t="n"/>
      <c r="N12" s="387" t="n"/>
      <c r="O12" s="389" t="n"/>
    </row>
    <row r="13" ht="22.5" customHeight="1" s="680">
      <c r="A13" s="731" t="n"/>
      <c r="B13" s="611" t="n"/>
      <c r="C13" s="387" t="n"/>
      <c r="D13" s="387" t="n"/>
      <c r="E13" s="387" t="n"/>
      <c r="F13" s="387" t="n"/>
      <c r="G13" s="388">
        <f>CONCATENATE("承 辦 人：警員 ",輸入!$O$8,"")</f>
        <v/>
      </c>
      <c r="H13" s="388" t="n"/>
      <c r="I13" s="388" t="n"/>
      <c r="J13" s="388" t="n"/>
      <c r="K13" s="387" t="n"/>
      <c r="L13" s="387" t="n"/>
      <c r="M13" s="387" t="n"/>
      <c r="N13" s="387" t="n"/>
      <c r="O13" s="389" t="n"/>
    </row>
    <row r="14" ht="21" customHeight="1" s="680">
      <c r="A14" s="731" t="n"/>
      <c r="B14" s="611" t="n"/>
      <c r="C14" s="390" t="inlineStr">
        <is>
          <t>二、</t>
        </is>
      </c>
      <c r="D14" s="386" t="n"/>
      <c r="E14" s="726">
        <f>CONCATENATE("檢附",呈報單!$G$15,"案陳報單、關係人個資等相關資料。")</f>
        <v/>
      </c>
      <c r="O14" s="727" t="n"/>
    </row>
    <row r="15" ht="24" customHeight="1" s="680">
      <c r="A15" s="732" t="n"/>
      <c r="B15" s="584" t="n"/>
      <c r="C15" s="391" t="inlineStr">
        <is>
          <t>三、報 請鈞長鑒核。</t>
        </is>
      </c>
      <c r="D15" s="391" t="n"/>
      <c r="E15" s="391" t="n"/>
      <c r="F15" s="387" t="n"/>
      <c r="G15" s="387" t="n"/>
      <c r="H15" s="387" t="n"/>
      <c r="I15" s="387" t="n"/>
      <c r="J15" s="387" t="n"/>
      <c r="K15" s="387" t="n"/>
      <c r="L15" s="387" t="n"/>
      <c r="M15" s="392" t="n"/>
      <c r="N15" s="392" t="n"/>
      <c r="O15" s="389" t="n"/>
    </row>
    <row r="16" ht="25.5" customHeight="1" s="680">
      <c r="A16" s="393" t="inlineStr">
        <is>
          <t>承辦人：</t>
        </is>
      </c>
      <c r="B16" s="394" t="n"/>
      <c r="C16" s="394" t="n"/>
      <c r="D16" s="394" t="n"/>
      <c r="E16" s="394" t="n"/>
      <c r="F16" s="394" t="n"/>
      <c r="G16" s="394" t="n"/>
      <c r="H16" s="394" t="inlineStr">
        <is>
          <t>主  管：</t>
        </is>
      </c>
      <c r="I16" s="394" t="n"/>
      <c r="J16" s="394" t="n"/>
      <c r="K16" s="394" t="n"/>
      <c r="L16" s="394" t="n"/>
      <c r="M16" s="53" t="inlineStr">
        <is>
          <t>謹陳</t>
        </is>
      </c>
      <c r="O16" s="351" t="n"/>
    </row>
    <row r="17" ht="25.5" customHeight="1" s="680">
      <c r="A17" s="395" t="n"/>
      <c r="B17" s="53" t="n"/>
      <c r="C17" s="53" t="n"/>
      <c r="D17" s="53" t="n"/>
      <c r="E17" s="53" t="n"/>
      <c r="F17" s="53" t="n"/>
      <c r="G17" s="53" t="n"/>
      <c r="H17" s="53" t="inlineStr">
        <is>
          <t xml:space="preserve"> </t>
        </is>
      </c>
      <c r="I17" s="53" t="n"/>
      <c r="J17" s="53" t="n"/>
      <c r="K17" s="53" t="n"/>
      <c r="L17" s="53" t="n"/>
      <c r="M17" s="53" t="inlineStr">
        <is>
          <t>分局長：</t>
        </is>
      </c>
      <c r="O17" s="80" t="n"/>
    </row>
    <row r="18" ht="94.5" customHeight="1" s="680" thickBot="1">
      <c r="A18" s="396" t="n"/>
      <c r="B18" s="295" t="n"/>
      <c r="C18" s="295" t="n"/>
      <c r="D18" s="295" t="n"/>
      <c r="E18" s="295" t="n"/>
      <c r="F18" s="295" t="n"/>
      <c r="G18" s="295" t="n"/>
      <c r="H18" s="295" t="n"/>
      <c r="I18" s="295" t="n"/>
      <c r="J18" s="295" t="n"/>
      <c r="K18" s="295" t="n"/>
      <c r="L18" s="295" t="n"/>
      <c r="M18" s="295" t="n"/>
      <c r="N18" s="295" t="n"/>
      <c r="O18" s="81" t="n"/>
    </row>
  </sheetData>
  <mergeCells count="13">
    <mergeCell ref="G3:K3"/>
    <mergeCell ref="A2:F2"/>
    <mergeCell ref="A4:B15"/>
    <mergeCell ref="F5:O5"/>
    <mergeCell ref="E14:O14"/>
    <mergeCell ref="L3:O3"/>
    <mergeCell ref="G2:K2"/>
    <mergeCell ref="F4:O4"/>
    <mergeCell ref="A1:O1"/>
    <mergeCell ref="L2:O2"/>
    <mergeCell ref="A3:F3"/>
    <mergeCell ref="J7:M7"/>
    <mergeCell ref="G7:I7"/>
  </mergeCells>
  <pageMargins left="0.7874015748031497" right="0.5905511811023623" top="0.5905511811023623" bottom="0.5905511811023623" header="0.5118110236220472" footer="0.5118110236220472"/>
  <pageSetup orientation="portrait" paperSize="9"/>
</worksheet>
</file>

<file path=xl/worksheets/sheet15.xml><?xml version="1.0" encoding="utf-8"?>
<worksheet xmlns="http://schemas.openxmlformats.org/spreadsheetml/2006/main">
  <sheetPr codeName="工作表11">
    <tabColor rgb="FFFF0000"/>
    <outlinePr summaryBelow="1" summaryRight="1"/>
    <pageSetUpPr/>
  </sheetPr>
  <dimension ref="A1:K23"/>
  <sheetViews>
    <sheetView showGridLines="0" view="pageBreakPreview" zoomScale="85" zoomScaleNormal="100" zoomScaleSheetLayoutView="85" zoomScalePageLayoutView="70" workbookViewId="0">
      <selection activeCell="B21" sqref="B21"/>
    </sheetView>
  </sheetViews>
  <sheetFormatPr baseColWidth="8" defaultRowHeight="16.5"/>
  <cols>
    <col width="24.75" customWidth="1" style="680" min="1" max="4"/>
    <col width="8.625" customWidth="1" style="680" min="5" max="6"/>
    <col width="9.75" customWidth="1" style="680" min="9" max="9"/>
  </cols>
  <sheetData>
    <row r="1" ht="51" customHeight="1" s="680">
      <c r="A1" s="737">
        <f>CONCATENATE(,輸入!$S$18,輸入!$T$18,輸入!$S$19,輸入!$T$19,"執行逮捕、拘禁告知本人通知書")</f>
        <v/>
      </c>
      <c r="B1" s="738" t="n"/>
      <c r="C1" s="738" t="n"/>
      <c r="D1" s="739" t="n"/>
      <c r="E1" s="106" t="n"/>
      <c r="F1" s="106" t="n"/>
      <c r="G1" s="106" t="n"/>
      <c r="H1" s="106" t="n"/>
      <c r="I1" s="106" t="n"/>
    </row>
    <row r="2" ht="27" customHeight="1" s="680">
      <c r="A2" s="740">
        <f>CONCATENATE("台端因涉 ",呈報單!$G$15," 案件，經",輸入!$S$18,輸入!$T$18,輸入!$S$19,輸入!$T$19,"依下列法律之規定逮捕或拘禁，特此通知：")</f>
        <v/>
      </c>
      <c r="B2" s="623" t="n"/>
      <c r="C2" s="623" t="n"/>
      <c r="D2" s="741" t="n"/>
      <c r="E2" s="483" t="n"/>
      <c r="F2" s="483" t="n"/>
      <c r="G2" s="483" t="n"/>
      <c r="H2" s="483" t="n"/>
      <c r="I2" s="483" t="n"/>
      <c r="J2" s="483" t="n"/>
      <c r="K2" s="483" t="n"/>
    </row>
    <row r="3" ht="12" customHeight="1" s="680">
      <c r="A3" s="742" t="n"/>
      <c r="B3" s="642" t="n"/>
      <c r="C3" s="642" t="n"/>
      <c r="D3" s="743" t="n"/>
      <c r="E3" s="483" t="n"/>
      <c r="F3" s="483" t="n"/>
      <c r="G3" s="483" t="n"/>
      <c r="H3" s="483" t="n"/>
      <c r="I3" s="483" t="n"/>
      <c r="J3" s="483" t="n"/>
      <c r="K3" s="483" t="n"/>
    </row>
    <row r="4" ht="15" customHeight="1" s="680">
      <c r="A4" s="742" t="n"/>
      <c r="B4" s="642" t="n"/>
      <c r="C4" s="642" t="n"/>
      <c r="D4" s="743" t="n"/>
      <c r="E4" s="483" t="n"/>
      <c r="F4" s="483" t="n"/>
      <c r="G4" s="483" t="n"/>
      <c r="H4" s="483" t="n"/>
      <c r="I4" s="483" t="n"/>
      <c r="J4" s="483" t="n"/>
      <c r="K4" s="483" t="n"/>
    </row>
    <row r="5" ht="20.25" customFormat="1" customHeight="1" s="43">
      <c r="A5" s="746" t="inlineStr">
        <is>
          <t>□依刑事訴訟法第七十一條之一規定，聲請檢察官核發拘票拘提。</t>
        </is>
      </c>
      <c r="B5" s="642" t="n"/>
      <c r="C5" s="642" t="n"/>
      <c r="D5" s="743" t="n"/>
      <c r="E5" s="483" t="n"/>
      <c r="F5" s="483" t="n"/>
      <c r="G5" s="483" t="n"/>
      <c r="H5" s="483" t="n"/>
      <c r="I5" s="483" t="n"/>
    </row>
    <row r="6" ht="20.25" customFormat="1" customHeight="1" s="43">
      <c r="A6" s="746" t="inlineStr">
        <is>
          <t>□依刑事訴訟法第七十五條或第七十六條規定，執行拘提。</t>
        </is>
      </c>
      <c r="B6" s="642" t="n"/>
      <c r="C6" s="642" t="n"/>
      <c r="D6" s="743" t="n"/>
      <c r="E6" s="483" t="n"/>
      <c r="F6" s="483" t="n"/>
      <c r="G6" s="483" t="n"/>
      <c r="H6" s="483" t="n"/>
      <c r="I6" s="483" t="n"/>
    </row>
    <row r="7" ht="20.25" customFormat="1" customHeight="1" s="43">
      <c r="A7" s="746">
        <f>IF(輸入!$C$2="通緝","■依刑事訴訟法第八十七條規定，因通緝而拘提或逕行逮捕。","□依刑事訴訟法第八十七條規定，因通緝而拘提或逕行逮捕。")</f>
        <v/>
      </c>
      <c r="B7" s="642" t="n"/>
      <c r="C7" s="642" t="n"/>
      <c r="D7" s="743" t="n"/>
      <c r="E7" s="483" t="n"/>
      <c r="F7" s="483" t="n"/>
      <c r="G7" s="483" t="n"/>
      <c r="H7" s="483" t="n"/>
      <c r="I7" s="483" t="n"/>
    </row>
    <row r="8" ht="20.25" customFormat="1" customHeight="1" s="43">
      <c r="A8" s="746">
        <f>IF(輸入!$C$2="通緝","□依刑事訴訟法第八十八條規定，因屬現行犯而逕行逮捕。","■依刑事訴訟法第八十八條規定，因屬現行犯而逕行逮捕。")</f>
        <v/>
      </c>
      <c r="B8" s="642" t="n"/>
      <c r="C8" s="642" t="n"/>
      <c r="D8" s="743" t="n"/>
      <c r="E8" s="483" t="n"/>
      <c r="F8" s="483" t="n"/>
      <c r="G8" s="483" t="n"/>
      <c r="H8" s="483" t="n"/>
      <c r="I8" s="483" t="n"/>
    </row>
    <row r="9" ht="20.25" customFormat="1" customHeight="1" s="43">
      <c r="A9" s="746" t="inlineStr">
        <is>
          <t>□依刑事訴訟法第八十八條之1規定，逕行拘提。</t>
        </is>
      </c>
      <c r="B9" s="642" t="n"/>
      <c r="C9" s="642" t="n"/>
      <c r="D9" s="743" t="n"/>
      <c r="E9" s="483" t="n"/>
      <c r="F9" s="483" t="n"/>
      <c r="G9" s="483" t="n"/>
      <c r="H9" s="483" t="n"/>
      <c r="I9" s="483" t="n"/>
    </row>
    <row r="10" ht="20.25" customFormat="1" customHeight="1" s="43">
      <c r="A10" s="746" t="inlineStr">
        <is>
          <t>□依家庭暴力防治法第二十九條第一項規定，因屬現行犯而逕行逮捕。</t>
        </is>
      </c>
      <c r="B10" s="642" t="n"/>
      <c r="C10" s="642" t="n"/>
      <c r="D10" s="743" t="n"/>
      <c r="E10" s="483" t="n"/>
      <c r="F10" s="483" t="n"/>
      <c r="G10" s="483" t="n"/>
      <c r="H10" s="483" t="n"/>
      <c r="I10" s="483" t="n"/>
      <c r="J10" s="483" t="n"/>
    </row>
    <row r="11" ht="20.25" customFormat="1" customHeight="1" s="43">
      <c r="A11" s="746" t="inlineStr">
        <is>
          <t>□依家庭暴力防治法第二十九條第二項規定，逕行拘提。</t>
        </is>
      </c>
      <c r="B11" s="642" t="n"/>
      <c r="C11" s="642" t="n"/>
      <c r="D11" s="743" t="n"/>
      <c r="E11" s="483" t="n"/>
      <c r="F11" s="483" t="n"/>
      <c r="G11" s="483" t="n"/>
      <c r="H11" s="483" t="n"/>
      <c r="I11" s="483" t="n"/>
    </row>
    <row r="12" ht="20.25" customFormat="1" customHeight="1" s="43">
      <c r="A12" s="746" t="inlineStr">
        <is>
          <t>□依社會秩序維護法第四十二條規定，強制到場。</t>
        </is>
      </c>
      <c r="B12" s="642" t="n"/>
      <c r="C12" s="642" t="n"/>
      <c r="D12" s="743" t="n"/>
      <c r="E12" s="483" t="n"/>
      <c r="F12" s="483" t="n"/>
      <c r="G12" s="483" t="n"/>
      <c r="H12" s="483" t="n"/>
      <c r="I12" s="483" t="n"/>
    </row>
    <row r="13" ht="20.25" customFormat="1" customHeight="1" s="43">
      <c r="A13" s="746" t="inlineStr">
        <is>
          <t>□依少年事件處理法第二十三條規定，執行同行。</t>
        </is>
      </c>
      <c r="B13" s="642" t="n"/>
      <c r="C13" s="642" t="n"/>
      <c r="D13" s="743" t="n"/>
      <c r="E13" s="483" t="n"/>
      <c r="F13" s="483" t="n"/>
      <c r="G13" s="483" t="n"/>
      <c r="H13" s="483" t="n"/>
      <c r="I13" s="483" t="n"/>
    </row>
    <row r="14" ht="20.25" customFormat="1" customHeight="1" s="43">
      <c r="A14" s="746" t="inlineStr">
        <is>
          <t>□依少年事件處理法第二十三條之一規定，執行協尋。</t>
        </is>
      </c>
      <c r="B14" s="642" t="n"/>
      <c r="C14" s="642" t="n"/>
      <c r="D14" s="743" t="n"/>
      <c r="E14" s="483" t="n"/>
      <c r="F14" s="483" t="n"/>
      <c r="G14" s="483" t="n"/>
      <c r="H14" s="483" t="n"/>
      <c r="I14" s="483" t="n"/>
    </row>
    <row r="15" ht="20.25" customFormat="1" customHeight="1" s="43">
      <c r="A15" s="751" t="inlineStr">
        <is>
          <t>□依少年事件處理法第五十九條規定，執行同行或協尋。</t>
        </is>
      </c>
      <c r="B15" s="627" t="n"/>
      <c r="C15" s="627" t="n"/>
      <c r="D15" s="752" t="n"/>
      <c r="E15" s="483" t="n"/>
      <c r="F15" s="483" t="n"/>
    </row>
    <row r="16" ht="50.25" customHeight="1" s="680">
      <c r="A16" s="105" t="inlineStr">
        <is>
          <t>逮捕拘禁時間</t>
        </is>
      </c>
      <c r="B16" s="104">
        <f>下拉用!$J$5</f>
        <v/>
      </c>
      <c r="C16" s="103" t="inlineStr">
        <is>
          <t>逮捕拘禁地點</t>
        </is>
      </c>
      <c r="D16" s="102">
        <f>輸入!$C$7</f>
        <v/>
      </c>
      <c r="E16" s="478" t="n"/>
    </row>
    <row r="17" ht="69" customHeight="1" s="680">
      <c r="A17" s="99" t="inlineStr">
        <is>
          <t>提審規定</t>
        </is>
      </c>
      <c r="B17" s="750" t="inlineStr">
        <is>
          <t>提審法第1條：
　　人民被法院以外之任何機關逮捕、拘禁時，其本人或他人得向逮捕、拘禁地之地方法院聲請提審。但其他法律規定得聲請即時由法院審查者，依其規定。
　　前項聲請及第10條之抗告，免徵費用。</t>
        </is>
      </c>
      <c r="C17" s="631" t="n"/>
      <c r="D17" s="748" t="n"/>
    </row>
    <row r="18" ht="121.5" customHeight="1" s="680">
      <c r="A18" s="99" t="inlineStr">
        <is>
          <t>刑事案件
權利告知</t>
        </is>
      </c>
      <c r="B18" s="750" t="inlineStr">
        <is>
          <t>依刑事訴訟法第八十九條第一項規定，執行拘提或逮捕，應當場告知被告或犯罪嫌疑人拘提或逮捕之原因及第九十五條第一項所列事項：
一、犯罪嫌疑及所犯所有罪名。罪名經告知後，認為應變更者，應再告知。
二、得保持緘默，無須違背自己之意思而為陳述。
三、得選任辯護人。如為低收入戶、中低收入戶、原住民或其他依法令得請求法律扶助者，得請求之。
四、得請求調查有利之證據。</t>
        </is>
      </c>
      <c r="C18" s="631" t="n"/>
      <c r="D18" s="748" t="n"/>
    </row>
    <row r="19" ht="41.25" customHeight="1" s="680">
      <c r="A19" s="99" t="inlineStr">
        <is>
          <t>被通知人姓名</t>
        </is>
      </c>
      <c r="B19" s="101">
        <f>word用!$H$2</f>
        <v/>
      </c>
      <c r="C19" s="97" t="inlineStr">
        <is>
          <t>簽名捺印</t>
        </is>
      </c>
      <c r="D19" s="100" t="n"/>
    </row>
    <row r="20" ht="41.25" customHeight="1" s="680">
      <c r="A20" s="96" t="inlineStr">
        <is>
          <t>通知時間</t>
        </is>
      </c>
      <c r="B20" s="747">
        <f>下拉用!$J$5</f>
        <v/>
      </c>
      <c r="C20" s="631" t="n"/>
      <c r="D20" s="748" t="n"/>
    </row>
    <row r="21" ht="41.25" customHeight="1" s="680">
      <c r="A21" s="99" t="inlineStr">
        <is>
          <t>通知員警</t>
        </is>
      </c>
      <c r="B21" s="98" t="n"/>
      <c r="C21" s="97" t="inlineStr">
        <is>
          <t>聯絡電話</t>
        </is>
      </c>
      <c r="D21" s="417">
        <f>輸入!$T$21</f>
        <v/>
      </c>
    </row>
    <row r="22" ht="41.25" customHeight="1" s="680" thickBot="1">
      <c r="A22" s="96" t="inlineStr">
        <is>
          <t>通知單位</t>
        </is>
      </c>
      <c r="B22" s="749">
        <f>CONCATENATE(輸入!$S$18,輸入!$T$18,輸入!$S$19,輸入!$T$19,輸入!$S$20,輸入!$T$20)</f>
        <v/>
      </c>
      <c r="C22" s="642" t="n"/>
      <c r="D22" s="743" t="n"/>
    </row>
    <row r="23" ht="41.25" customHeight="1" s="680">
      <c r="A23" s="744" t="inlineStr">
        <is>
          <t>註：一、上述□選項應依條文規定及實際情形正確勾選
　　二、本通知由執行之司法警察（官）蓋用職名章，不必蓋用機關印信。</t>
        </is>
      </c>
      <c r="B23" s="745" t="n"/>
      <c r="C23" s="745" t="n"/>
      <c r="D23" s="745" t="n"/>
    </row>
    <row r="24" ht="39.75" customHeight="1" s="680"/>
  </sheetData>
  <mergeCells count="18">
    <mergeCell ref="A1:D1"/>
    <mergeCell ref="A23:D23"/>
    <mergeCell ref="A9:D9"/>
    <mergeCell ref="A5:D5"/>
    <mergeCell ref="A8:D8"/>
    <mergeCell ref="A6:D6"/>
    <mergeCell ref="A12:D12"/>
    <mergeCell ref="B22:D22"/>
    <mergeCell ref="A2:D4"/>
    <mergeCell ref="B17:D17"/>
    <mergeCell ref="A15:D15"/>
    <mergeCell ref="B18:D18"/>
    <mergeCell ref="A7:D7"/>
    <mergeCell ref="A14:D14"/>
    <mergeCell ref="A11:D11"/>
    <mergeCell ref="A10:D10"/>
    <mergeCell ref="A13:D13"/>
    <mergeCell ref="B20:D20"/>
  </mergeCells>
  <pageMargins left="0.2380952380952381" right="0.1785714285714286" top="0.75" bottom="0.75" header="0.3" footer="0.3"/>
  <pageSetup orientation="portrait" paperSize="9"/>
</worksheet>
</file>

<file path=xl/worksheets/sheet16.xml><?xml version="1.0" encoding="utf-8"?>
<worksheet xmlns="http://schemas.openxmlformats.org/spreadsheetml/2006/main">
  <sheetPr codeName="工作表12">
    <tabColor rgb="FFFF0000"/>
    <outlinePr summaryBelow="1" summaryRight="1"/>
    <pageSetUpPr/>
  </sheetPr>
  <dimension ref="A1:K25"/>
  <sheetViews>
    <sheetView showGridLines="0" showWhiteSpace="0" view="pageBreakPreview" topLeftCell="A13" zoomScaleNormal="100" zoomScaleSheetLayoutView="100" zoomScalePageLayoutView="40" workbookViewId="0">
      <selection activeCell="B21" sqref="B21"/>
    </sheetView>
  </sheetViews>
  <sheetFormatPr baseColWidth="8" defaultRowHeight="16.5"/>
  <cols>
    <col width="24.75" customWidth="1" style="680" min="1" max="4"/>
    <col width="8.625" customWidth="1" style="680" min="5" max="6"/>
    <col width="9.75" customWidth="1" style="680" min="9" max="9"/>
  </cols>
  <sheetData>
    <row r="1" ht="51" customHeight="1" s="680">
      <c r="A1" s="737">
        <f>CONCATENATE(,輸入!$S$18,輸入!$T$18,輸入!$S$19,輸入!$T$19,"執行逮捕、拘禁告知親友通知書")</f>
        <v/>
      </c>
      <c r="B1" s="738" t="n"/>
      <c r="C1" s="738" t="n"/>
      <c r="D1" s="739" t="n"/>
      <c r="E1" s="106" t="n"/>
      <c r="F1" s="106" t="n"/>
      <c r="G1" s="106" t="n"/>
      <c r="H1" s="106" t="n"/>
      <c r="I1" s="106" t="n"/>
    </row>
    <row r="2" ht="27" customHeight="1" s="680">
      <c r="A2" s="740">
        <f>CONCATENATE((word用!$H$2),IF(word用!$R$2="男"," 先生"," 女士"),"因涉 ",呈報單!$G$15," 案件，經",輸入!$S$18,輸入!$T$18,輸入!$S$19,輸入!$T$19,"，依下列法律之規定逮捕或拘禁，特此通知：")</f>
        <v/>
      </c>
      <c r="B2" s="623" t="n"/>
      <c r="C2" s="623" t="n"/>
      <c r="D2" s="741" t="n"/>
      <c r="E2" s="483" t="n"/>
      <c r="F2" s="483" t="n"/>
      <c r="G2" s="483" t="n"/>
      <c r="H2" s="483" t="n"/>
      <c r="I2" s="483" t="n"/>
      <c r="J2" s="483" t="n"/>
      <c r="K2" s="483" t="n"/>
    </row>
    <row r="3" ht="12" customHeight="1" s="680">
      <c r="A3" s="742" t="n"/>
      <c r="B3" s="642" t="n"/>
      <c r="C3" s="642" t="n"/>
      <c r="D3" s="743" t="n"/>
      <c r="E3" s="483" t="n"/>
      <c r="F3" s="483" t="n"/>
      <c r="G3" s="483" t="n"/>
      <c r="H3" s="483" t="n"/>
      <c r="I3" s="483" t="n"/>
      <c r="J3" s="483" t="n"/>
      <c r="K3" s="483" t="n"/>
    </row>
    <row r="4" ht="15" customHeight="1" s="680">
      <c r="A4" s="742" t="n"/>
      <c r="B4" s="642" t="n"/>
      <c r="C4" s="642" t="n"/>
      <c r="D4" s="743" t="n"/>
      <c r="E4" s="483" t="n"/>
      <c r="F4" s="483" t="n"/>
      <c r="G4" s="483" t="n"/>
      <c r="H4" s="483" t="n"/>
      <c r="I4" s="483" t="n"/>
      <c r="J4" s="483" t="n"/>
      <c r="K4" s="483" t="n"/>
    </row>
    <row r="5" ht="20.25" customFormat="1" customHeight="1" s="43">
      <c r="A5" s="746" t="inlineStr">
        <is>
          <t>□依刑事訴訟法第七十一條之一規定，聲請檢察官核發拘票拘提。</t>
        </is>
      </c>
      <c r="B5" s="642" t="n"/>
      <c r="C5" s="642" t="n"/>
      <c r="D5" s="743" t="n"/>
      <c r="E5" s="483" t="n"/>
      <c r="F5" s="483" t="n"/>
      <c r="G5" s="483" t="n"/>
      <c r="H5" s="483" t="n"/>
      <c r="I5" s="483" t="n"/>
    </row>
    <row r="6" ht="20.25" customFormat="1" customHeight="1" s="43">
      <c r="A6" s="746" t="inlineStr">
        <is>
          <t>□依刑事訴訟法第七十五條或第七十六條規定，執行拘提。</t>
        </is>
      </c>
      <c r="B6" s="642" t="n"/>
      <c r="C6" s="642" t="n"/>
      <c r="D6" s="743" t="n"/>
      <c r="E6" s="483" t="n"/>
      <c r="F6" s="483" t="n"/>
      <c r="G6" s="483" t="n"/>
      <c r="H6" s="483" t="n"/>
      <c r="I6" s="483" t="n"/>
    </row>
    <row r="7" ht="20.25" customFormat="1" customHeight="1" s="43">
      <c r="A7" s="746">
        <f>IF(輸入!$C$2="通緝","■依刑事訴訟法第八十七條規定，因通緝而拘提或逕行逮捕。","□依刑事訴訟法第八十七條規定，因通緝而拘提或逕行逮捕。")</f>
        <v/>
      </c>
      <c r="B7" s="642" t="n"/>
      <c r="C7" s="642" t="n"/>
      <c r="D7" s="743" t="n"/>
      <c r="E7" s="483" t="n"/>
      <c r="F7" s="483" t="n"/>
      <c r="G7" s="483" t="n"/>
      <c r="H7" s="483" t="n"/>
      <c r="I7" s="483" t="n"/>
    </row>
    <row r="8" ht="20.25" customFormat="1" customHeight="1" s="43">
      <c r="A8" s="746">
        <f>IF(輸入!$C$2="通緝","□依刑事訴訟法第八十八條規定，因屬現行犯而逕行逮捕。","■依刑事訴訟法第八十八條規定，因屬現行犯而逕行逮捕。")</f>
        <v/>
      </c>
      <c r="B8" s="642" t="n"/>
      <c r="C8" s="642" t="n"/>
      <c r="D8" s="743" t="n"/>
      <c r="E8" s="483" t="n"/>
      <c r="F8" s="483" t="n"/>
      <c r="G8" s="483" t="n"/>
      <c r="H8" s="483" t="n"/>
      <c r="I8" s="483" t="n"/>
    </row>
    <row r="9" ht="20.25" customFormat="1" customHeight="1" s="43">
      <c r="A9" s="746" t="inlineStr">
        <is>
          <t>□依刑事訴訟法第八十八條之1規定，逕行拘提。</t>
        </is>
      </c>
      <c r="B9" s="642" t="n"/>
      <c r="C9" s="642" t="n"/>
      <c r="D9" s="743" t="n"/>
      <c r="E9" s="483" t="n"/>
      <c r="F9" s="483" t="n"/>
      <c r="G9" s="483" t="n"/>
      <c r="H9" s="483" t="n"/>
      <c r="I9" s="483" t="n"/>
    </row>
    <row r="10" ht="20.25" customFormat="1" customHeight="1" s="43">
      <c r="A10" s="746" t="inlineStr">
        <is>
          <t>□依家庭暴力防治法第二十九條第一項規定，因屬現行犯而逕行逮捕。</t>
        </is>
      </c>
      <c r="B10" s="642" t="n"/>
      <c r="C10" s="642" t="n"/>
      <c r="D10" s="743" t="n"/>
      <c r="E10" s="483" t="n"/>
      <c r="F10" s="483" t="n"/>
      <c r="G10" s="483" t="n"/>
      <c r="H10" s="483" t="n"/>
      <c r="I10" s="483" t="n"/>
      <c r="J10" s="483" t="n"/>
    </row>
    <row r="11" ht="20.25" customFormat="1" customHeight="1" s="43">
      <c r="A11" s="746" t="inlineStr">
        <is>
          <t>□依家庭暴力防治法第二十九條第二項規定，逕行拘提。</t>
        </is>
      </c>
      <c r="B11" s="642" t="n"/>
      <c r="C11" s="642" t="n"/>
      <c r="D11" s="743" t="n"/>
      <c r="E11" s="483" t="n"/>
      <c r="F11" s="483" t="n"/>
      <c r="G11" s="483" t="n"/>
      <c r="H11" s="483" t="n"/>
      <c r="I11" s="483" t="n"/>
    </row>
    <row r="12" ht="20.25" customFormat="1" customHeight="1" s="43">
      <c r="A12" s="746" t="inlineStr">
        <is>
          <t>□依社會秩序維護法第四十二條規定，強制到場。</t>
        </is>
      </c>
      <c r="B12" s="642" t="n"/>
      <c r="C12" s="642" t="n"/>
      <c r="D12" s="743" t="n"/>
      <c r="E12" s="483" t="n"/>
      <c r="F12" s="483" t="n"/>
      <c r="G12" s="483" t="n"/>
      <c r="H12" s="483" t="n"/>
      <c r="I12" s="483" t="n"/>
    </row>
    <row r="13" ht="20.25" customFormat="1" customHeight="1" s="43">
      <c r="A13" s="746" t="inlineStr">
        <is>
          <t>□依少年事件處理法第二十三條規定，執行同行。</t>
        </is>
      </c>
      <c r="B13" s="642" t="n"/>
      <c r="C13" s="642" t="n"/>
      <c r="D13" s="743" t="n"/>
      <c r="E13" s="483" t="n"/>
      <c r="F13" s="483" t="n"/>
      <c r="G13" s="483" t="n"/>
      <c r="H13" s="483" t="n"/>
      <c r="I13" s="483" t="n"/>
    </row>
    <row r="14" ht="20.25" customFormat="1" customHeight="1" s="43">
      <c r="A14" s="746" t="inlineStr">
        <is>
          <t>□依少年事件處理法第二十三條之一規定，執行協尋。</t>
        </is>
      </c>
      <c r="B14" s="642" t="n"/>
      <c r="C14" s="642" t="n"/>
      <c r="D14" s="743" t="n"/>
      <c r="E14" s="483" t="n"/>
      <c r="F14" s="483" t="n"/>
      <c r="G14" s="483" t="n"/>
      <c r="H14" s="483" t="n"/>
      <c r="I14" s="483" t="n"/>
    </row>
    <row r="15" ht="20.25" customFormat="1" customHeight="1" s="43">
      <c r="A15" s="751" t="inlineStr">
        <is>
          <t>□依少年事件處理法第五十九條規定，執行同行或協尋。</t>
        </is>
      </c>
      <c r="B15" s="627" t="n"/>
      <c r="C15" s="627" t="n"/>
      <c r="D15" s="752" t="n"/>
      <c r="E15" s="483" t="n"/>
      <c r="F15" s="483" t="n"/>
    </row>
    <row r="16" ht="50.25" customHeight="1" s="680">
      <c r="A16" s="105" t="inlineStr">
        <is>
          <t>逮捕拘禁時間</t>
        </is>
      </c>
      <c r="B16" s="104">
        <f>下拉用!$J$5</f>
        <v/>
      </c>
      <c r="C16" s="103" t="inlineStr">
        <is>
          <t>逮捕拘禁地點</t>
        </is>
      </c>
      <c r="D16" s="102">
        <f>輸入!$C$7</f>
        <v/>
      </c>
      <c r="E16" s="478" t="n"/>
    </row>
    <row r="17" ht="68.25" customHeight="1" s="680">
      <c r="A17" s="99" t="inlineStr">
        <is>
          <t>提審規定</t>
        </is>
      </c>
      <c r="B17" s="750" t="inlineStr">
        <is>
          <t>提審法第1條：
　　人民被法院以外之任何機關逮捕、拘禁時，其本人或他人得向逮捕、拘禁地之地方法院聲請提審。但其他法律規定得聲請即時由法院審查者，依其規定。
　　前項聲請及第10條之抗告，免徵費用。</t>
        </is>
      </c>
      <c r="C17" s="631" t="n"/>
      <c r="D17" s="748" t="n"/>
    </row>
    <row r="18" ht="122.25" customHeight="1" s="680">
      <c r="A18" s="99" t="inlineStr">
        <is>
          <t>刑事案件
權利告知</t>
        </is>
      </c>
      <c r="B18" s="750" t="inlineStr">
        <is>
          <t>依刑事訴訟法第八十九條第一項規定，執行拘提或逮捕，應當場告知被告或犯罪嫌疑人拘提或逮捕之原因及第九十五條第一項所列事項：
一、犯罪嫌疑及所犯所有罪名。罪名經告知後，認為應變更者，應再告知。
二、得保持緘默，無須違背自己之意思而為陳述。
三、得選任辯護人。如為低收入戶、中低收入戶、原住民或其他依法令得請求法律扶助者，得請求之。
四、得請求調查有利之證據。</t>
        </is>
      </c>
      <c r="C18" s="631" t="n"/>
      <c r="D18" s="748" t="n"/>
    </row>
    <row r="19" ht="41.25" customHeight="1" s="680">
      <c r="A19" s="99" t="inlineStr">
        <is>
          <t>被通知人姓名</t>
        </is>
      </c>
      <c r="B19" s="101" t="n"/>
      <c r="C19" s="97" t="inlineStr">
        <is>
          <t>簽名捺印</t>
        </is>
      </c>
      <c r="D19" s="100" t="n"/>
    </row>
    <row r="20" ht="41.25" customHeight="1" s="680">
      <c r="A20" s="96" t="inlineStr">
        <is>
          <t>通知時間</t>
        </is>
      </c>
      <c r="B20" s="747">
        <f>下拉用!$J$5</f>
        <v/>
      </c>
      <c r="C20" s="631" t="n"/>
      <c r="D20" s="748" t="n"/>
    </row>
    <row r="21" ht="41.25" customHeight="1" s="680">
      <c r="A21" s="99" t="inlineStr">
        <is>
          <t>通知員警</t>
        </is>
      </c>
      <c r="B21" s="98" t="n"/>
      <c r="C21" s="97" t="inlineStr">
        <is>
          <t>聯絡電話</t>
        </is>
      </c>
      <c r="D21" s="417">
        <f>輸入!$T$21</f>
        <v/>
      </c>
    </row>
    <row r="22" ht="41.25" customHeight="1" s="680" thickBot="1">
      <c r="A22" s="107" t="inlineStr">
        <is>
          <t>通知單位</t>
        </is>
      </c>
      <c r="B22" s="753">
        <f>CONCATENATE(輸入!$S$18,輸入!$T$18,輸入!$S$19,輸入!$T$19,輸入!$S$20,輸入!$T$20)</f>
        <v/>
      </c>
      <c r="C22" s="754" t="n"/>
      <c r="D22" s="755" t="n"/>
    </row>
    <row r="23" ht="41.25" customHeight="1" s="680">
      <c r="A23" s="744" t="inlineStr">
        <is>
          <t>註：一、上述□選項應依條文規定及實際情形正確勾選
　　二、本通知由執行之司法警察（官）蓋用職名章，不必蓋用機關印信。</t>
        </is>
      </c>
      <c r="B23" s="745" t="n"/>
      <c r="C23" s="745" t="n"/>
      <c r="D23" s="745" t="n"/>
    </row>
    <row r="24" ht="41.25" customHeight="1" s="680"/>
    <row r="25" ht="39.75" customHeight="1" s="680">
      <c r="A25" s="6" t="n"/>
      <c r="B25" s="6" t="n"/>
      <c r="C25" s="6" t="n"/>
      <c r="D25" s="6" t="n"/>
    </row>
  </sheetData>
  <mergeCells count="18">
    <mergeCell ref="A1:D1"/>
    <mergeCell ref="A23:D23"/>
    <mergeCell ref="A9:D9"/>
    <mergeCell ref="A5:D5"/>
    <mergeCell ref="A8:D8"/>
    <mergeCell ref="A6:D6"/>
    <mergeCell ref="A12:D12"/>
    <mergeCell ref="B22:D22"/>
    <mergeCell ref="A2:D4"/>
    <mergeCell ref="B17:D17"/>
    <mergeCell ref="B18:D18"/>
    <mergeCell ref="A15:D15"/>
    <mergeCell ref="A7:D7"/>
    <mergeCell ref="A14:D14"/>
    <mergeCell ref="A11:D11"/>
    <mergeCell ref="A10:D10"/>
    <mergeCell ref="A13:D13"/>
    <mergeCell ref="B20:D20"/>
  </mergeCells>
  <pageMargins left="0.2232142857142857" right="0.193452380952381" top="0.75" bottom="0.75" header="0.3" footer="0.3"/>
  <pageSetup orientation="portrait" paperSize="9"/>
</worksheet>
</file>

<file path=xl/worksheets/sheet17.xml><?xml version="1.0" encoding="utf-8"?>
<worksheet xmlns="http://schemas.openxmlformats.org/spreadsheetml/2006/main">
  <sheetPr codeName="工作表13">
    <tabColor rgb="FFFF0000"/>
    <outlinePr summaryBelow="1" summaryRight="1"/>
    <pageSetUpPr/>
  </sheetPr>
  <dimension ref="A1:X23"/>
  <sheetViews>
    <sheetView showGridLines="0" view="pageBreakPreview" zoomScale="115" zoomScaleNormal="85" zoomScaleSheetLayoutView="115" workbookViewId="0">
      <selection activeCell="A22" sqref="A22:X22"/>
    </sheetView>
  </sheetViews>
  <sheetFormatPr baseColWidth="8" defaultRowHeight="16.5"/>
  <cols>
    <col width="3.5" customWidth="1" style="680" min="1" max="36"/>
  </cols>
  <sheetData>
    <row r="1" ht="50.25" customHeight="1" s="680">
      <c r="A1" s="756" t="inlineStr">
        <is>
          <t xml:space="preserve">   得 聲 請 提 審 告 知 書</t>
        </is>
      </c>
    </row>
    <row r="2" ht="20.25" customHeight="1" s="680">
      <c r="A2" s="114" t="n"/>
    </row>
    <row r="3" ht="27.75" customHeight="1" s="680">
      <c r="A3" s="757">
        <f>CONCATENATE((word用!$H$2),IF(word用!$R$2="男","  先生","  女士"))</f>
        <v/>
      </c>
    </row>
    <row r="4" ht="27.75" customHeight="1" s="680"/>
    <row r="5" ht="11.25" customHeight="1" s="680">
      <c r="A5" s="113" t="n"/>
    </row>
    <row r="6" ht="41.25" customFormat="1" customHeight="1" s="762">
      <c r="A6" s="760">
        <f>CONCATENATE("　　臺端因涉嫌 ",呈報單!$G$15," 等罪名，","於 民國",下拉用!$J$5," 在 ",輸入!$C$7," 為本分局員警逮(拘)捕必須接受偵訊，依提審法第1條：")</f>
        <v/>
      </c>
    </row>
    <row r="7" ht="41.25" customFormat="1" customHeight="1" s="762"/>
    <row r="8" ht="41.25" customFormat="1" customHeight="1" s="762"/>
    <row r="9" ht="41.25" customFormat="1" customHeight="1" s="762"/>
    <row r="10" ht="12.75" customFormat="1" customHeight="1" s="761">
      <c r="A10" s="111" t="n"/>
      <c r="B10" s="111" t="n"/>
      <c r="C10" s="111" t="n"/>
      <c r="D10" s="111" t="n"/>
      <c r="E10" s="111" t="n"/>
      <c r="F10" s="111" t="n"/>
      <c r="G10" s="111" t="n"/>
      <c r="H10" s="111" t="n"/>
      <c r="I10" s="111" t="n"/>
      <c r="J10" s="111" t="n"/>
      <c r="K10" s="111" t="n"/>
      <c r="L10" s="111" t="n"/>
      <c r="M10" s="111" t="n"/>
      <c r="N10" s="111" t="n"/>
      <c r="O10" s="111" t="n"/>
      <c r="P10" s="111" t="n"/>
      <c r="Q10" s="111" t="n"/>
      <c r="R10" s="111" t="n"/>
      <c r="S10" s="111" t="n"/>
      <c r="T10" s="111" t="n"/>
      <c r="U10" s="111" t="n"/>
      <c r="V10" s="111" t="n"/>
      <c r="W10" s="111" t="n"/>
      <c r="X10" s="111" t="n"/>
    </row>
    <row r="11" ht="55.5" customFormat="1" customHeight="1" s="761">
      <c r="A11" s="760" t="inlineStr">
        <is>
          <t xml:space="preserve">   人民被法院以外之任何機關逮捕、拘禁時，其本人或他人得向逮捕、拘禁地之地方法院聲請提審。但其他法律規定得聲請即時由法院審查者，依其規定。</t>
        </is>
      </c>
    </row>
    <row r="12" ht="55.5" customFormat="1" customHeight="1" s="761"/>
    <row r="13" ht="55.5" customFormat="1" customHeight="1" s="761"/>
    <row r="14" ht="6.75" customFormat="1" customHeight="1" s="761">
      <c r="A14" s="760" t="n"/>
      <c r="B14" s="760" t="n"/>
      <c r="C14" s="760" t="n"/>
      <c r="D14" s="760" t="n"/>
      <c r="E14" s="760" t="n"/>
      <c r="F14" s="760" t="n"/>
      <c r="G14" s="760" t="n"/>
      <c r="H14" s="760" t="n"/>
      <c r="I14" s="760" t="n"/>
      <c r="J14" s="760" t="n"/>
      <c r="K14" s="760" t="n"/>
      <c r="L14" s="760" t="n"/>
      <c r="M14" s="760" t="n"/>
      <c r="N14" s="760" t="n"/>
      <c r="O14" s="760" t="n"/>
      <c r="P14" s="760" t="n"/>
      <c r="Q14" s="760" t="n"/>
      <c r="R14" s="760" t="n"/>
      <c r="S14" s="760" t="n"/>
      <c r="T14" s="760" t="n"/>
      <c r="U14" s="760" t="n"/>
      <c r="V14" s="760" t="n"/>
      <c r="W14" s="760" t="n"/>
      <c r="X14" s="760" t="n"/>
    </row>
    <row r="15" ht="41.25" customFormat="1" customHeight="1" s="761">
      <c r="A15" s="758" t="inlineStr">
        <is>
          <t xml:space="preserve">　　前項聲請及第10條之抗告，免徵費用。</t>
        </is>
      </c>
    </row>
    <row r="16" ht="41.25" customHeight="1" s="680">
      <c r="A16" s="759" t="inlineStr">
        <is>
          <t xml:space="preserve">　　被逮捕、拘禁之人：                  (簽章)</t>
        </is>
      </c>
    </row>
    <row r="17" ht="41.25" customHeight="1" s="680">
      <c r="A17" s="759" t="inlineStr">
        <is>
          <t xml:space="preserve">　　　是否需告知指定親友：</t>
        </is>
      </c>
    </row>
    <row r="18" ht="35.25" customHeight="1" s="680">
      <c r="A18" s="759" t="inlineStr">
        <is>
          <t xml:space="preserve">       □是，指定親友姓名            關係</t>
        </is>
      </c>
    </row>
    <row r="19" ht="35.25" customHeight="1" s="680">
      <c r="A19" s="763" t="inlineStr">
        <is>
          <t xml:space="preserve">　　　　 □不用。              (簽章)</t>
        </is>
      </c>
    </row>
    <row r="20" ht="35.25" customHeight="1" s="680">
      <c r="A20" s="758" t="inlineStr">
        <is>
          <t xml:space="preserve">　　司法警察官或司法警察：</t>
        </is>
      </c>
    </row>
    <row r="21" ht="13.5" customHeight="1" s="680">
      <c r="A21" s="109" t="n"/>
    </row>
    <row r="22" ht="39" customHeight="1" s="680">
      <c r="A22" s="758">
        <f>CONCATENATE("　　告知時間:",下拉用!$J$5,"")</f>
        <v/>
      </c>
    </row>
    <row r="23">
      <c r="A23" s="108" t="n"/>
    </row>
  </sheetData>
  <mergeCells count="11">
    <mergeCell ref="A20:X20"/>
    <mergeCell ref="A11:X13"/>
    <mergeCell ref="A16:X16"/>
    <mergeCell ref="A15:X15"/>
    <mergeCell ref="A6:X9"/>
    <mergeCell ref="A19:X19"/>
    <mergeCell ref="A1:X1"/>
    <mergeCell ref="A3:I4"/>
    <mergeCell ref="A22:X22"/>
    <mergeCell ref="A17:X17"/>
    <mergeCell ref="A18:X18"/>
  </mergeCells>
  <pageMargins left="0.7" right="0.7" top="0.75" bottom="0.75" header="0.3" footer="0.3"/>
  <pageSetup orientation="portrait" paperSize="9"/>
</worksheet>
</file>

<file path=xl/worksheets/sheet18.xml><?xml version="1.0" encoding="utf-8"?>
<worksheet xmlns="http://schemas.openxmlformats.org/spreadsheetml/2006/main">
  <sheetPr codeName="工作表14">
    <tabColor rgb="FFFF0000"/>
    <outlinePr summaryBelow="1" summaryRight="1"/>
    <pageSetUpPr/>
  </sheetPr>
  <dimension ref="A1:R48"/>
  <sheetViews>
    <sheetView showGridLines="0" view="pageBreakPreview" zoomScaleNormal="100" zoomScaleSheetLayoutView="100" workbookViewId="0">
      <selection activeCell="B9" sqref="B9"/>
    </sheetView>
  </sheetViews>
  <sheetFormatPr baseColWidth="8" defaultRowHeight="16.5"/>
  <cols>
    <col width="7.375" customWidth="1" style="680" min="1" max="1"/>
    <col width="14.375" customWidth="1" style="680" min="2" max="2"/>
    <col width="3.5" customWidth="1" style="680" min="3" max="3"/>
    <col width="11.125" customWidth="1" style="680" min="4" max="4"/>
    <col width="5.75" customWidth="1" style="680" min="5" max="5"/>
    <col width="14.75" customWidth="1" style="680" min="6" max="6"/>
    <col width="22.875" customWidth="1" style="680" min="7" max="7"/>
    <col width="5.25" customWidth="1" style="680" min="8" max="8"/>
    <col width="4" customWidth="1" style="680" min="9" max="9"/>
    <col width="3.75" customWidth="1" style="680" min="10" max="15"/>
    <col width="5.125" customWidth="1" style="680" min="16" max="16"/>
    <col width="16.875" customWidth="1" style="680" min="17" max="17"/>
    <col width="7.375" customWidth="1" style="680" min="18" max="18"/>
  </cols>
  <sheetData>
    <row r="1" ht="6" customHeight="1" s="680">
      <c r="A1" s="149" t="n"/>
      <c r="B1" s="149" t="n"/>
      <c r="C1" s="149" t="n"/>
      <c r="D1" s="149" t="n"/>
      <c r="E1" s="149" t="n"/>
      <c r="F1" s="149" t="n"/>
      <c r="G1" s="149" t="n"/>
      <c r="H1" s="149" t="n"/>
      <c r="I1" s="149" t="n"/>
      <c r="J1" s="149" t="n"/>
      <c r="K1" s="149" t="n"/>
      <c r="L1" s="149" t="n"/>
      <c r="M1" s="149" t="n"/>
      <c r="N1" s="149" t="n"/>
      <c r="O1" s="149" t="n"/>
      <c r="P1" s="149" t="n"/>
      <c r="Q1" s="149" t="n"/>
      <c r="R1" s="149" t="n"/>
    </row>
    <row r="2" ht="21" customHeight="1" s="680"/>
    <row r="3" ht="21" customHeight="1" s="680" thickBot="1">
      <c r="A3" s="148" t="n"/>
      <c r="B3" s="148" t="n"/>
      <c r="C3" s="148" t="n"/>
      <c r="D3" s="148" t="n"/>
      <c r="E3" s="148" t="n"/>
      <c r="F3" s="148" t="n"/>
      <c r="G3" s="148" t="n"/>
      <c r="H3" s="148" t="n"/>
      <c r="I3" s="148" t="n"/>
      <c r="J3" s="148" t="n"/>
      <c r="K3" s="148" t="n"/>
      <c r="L3" s="148" t="n"/>
      <c r="M3" s="148" t="n"/>
      <c r="N3" s="148" t="n"/>
      <c r="O3" s="148" t="n"/>
      <c r="P3" s="148" t="n"/>
      <c r="Q3" s="148" t="n"/>
      <c r="R3" s="148" t="n"/>
    </row>
    <row r="4" ht="25.5" customHeight="1" s="680">
      <c r="B4" s="771">
        <f>CONCATENATE(輸入!$S$18,輸入!$T$18,輸入!$S$19,輸入!$T$19,"候詢人入所通知單")</f>
        <v/>
      </c>
      <c r="C4" s="721" t="n"/>
      <c r="D4" s="721" t="n"/>
      <c r="E4" s="721" t="n"/>
      <c r="F4" s="721" t="n"/>
      <c r="G4" s="721" t="n"/>
      <c r="H4" s="721" t="n"/>
      <c r="I4" s="773">
        <f>CONCATENATE("填單：",LEFT(下拉用!$J$5,10))</f>
        <v/>
      </c>
      <c r="J4" s="721" t="n"/>
      <c r="K4" s="721" t="n"/>
      <c r="L4" s="721" t="n"/>
      <c r="M4" s="721" t="n"/>
      <c r="N4" s="721" t="n"/>
      <c r="O4" s="721" t="n"/>
      <c r="P4" s="721" t="n"/>
      <c r="Q4" s="147" t="n"/>
      <c r="R4" s="13" t="inlineStr">
        <is>
          <t xml:space="preserve">  </t>
        </is>
      </c>
    </row>
    <row r="5" ht="19.5" customHeight="1" s="680">
      <c r="B5" s="482" t="inlineStr">
        <is>
          <t xml:space="preserve">　　　　　　　　　　　　　　　　　　　　　　　　　　　　　　            </t>
        </is>
      </c>
      <c r="C5" s="483" t="n"/>
      <c r="D5" s="483" t="n"/>
      <c r="E5" s="483" t="n"/>
      <c r="F5" s="483" t="n"/>
      <c r="G5" s="483" t="n"/>
      <c r="H5" s="483" t="n"/>
      <c r="I5" s="766" t="inlineStr">
        <is>
          <t>編號：</t>
        </is>
      </c>
      <c r="J5" s="583" t="n"/>
      <c r="K5" s="583" t="n"/>
      <c r="L5" s="583" t="n"/>
      <c r="M5" s="583" t="n"/>
      <c r="N5" s="583" t="n"/>
      <c r="O5" s="583" t="n"/>
      <c r="P5" s="483" t="n"/>
      <c r="Q5" s="484" t="n"/>
      <c r="R5" s="483" t="n"/>
    </row>
    <row r="6" ht="19.5" customHeight="1" s="680">
      <c r="B6" s="774" t="inlineStr">
        <is>
          <t>姓名</t>
        </is>
      </c>
      <c r="C6" s="765" t="inlineStr">
        <is>
          <t>性
別</t>
        </is>
      </c>
      <c r="D6" s="765" t="inlineStr">
        <is>
          <t>出生
年月日</t>
        </is>
      </c>
      <c r="E6" s="765" t="inlineStr">
        <is>
          <t>職業</t>
        </is>
      </c>
      <c r="F6" s="765" t="inlineStr">
        <is>
          <t>身分證
統一編號</t>
        </is>
      </c>
      <c r="G6" s="765" t="inlineStr">
        <is>
          <t>住居所</t>
        </is>
      </c>
      <c r="H6" s="765" t="inlineStr">
        <is>
          <t>拘留
日數</t>
        </is>
      </c>
      <c r="I6" s="579" t="inlineStr">
        <is>
          <t>拘提逮捕</t>
        </is>
      </c>
      <c r="J6" s="577" t="n"/>
      <c r="K6" s="574" t="n"/>
      <c r="L6" s="765" t="inlineStr">
        <is>
          <t>入所時間</t>
        </is>
      </c>
      <c r="M6" s="577" t="n"/>
      <c r="N6" s="577" t="n"/>
      <c r="O6" s="574" t="n"/>
      <c r="P6" s="765" t="inlineStr">
        <is>
          <t>准否接見</t>
        </is>
      </c>
      <c r="Q6" s="146" t="inlineStr">
        <is>
          <t>備考</t>
        </is>
      </c>
      <c r="R6" s="1144" t="n"/>
    </row>
    <row r="7" ht="19.5" customHeight="1" s="680">
      <c r="B7" s="775" t="n"/>
      <c r="C7" s="588" t="n"/>
      <c r="D7" s="588" t="n"/>
      <c r="E7" s="588" t="n"/>
      <c r="F7" s="588" t="n"/>
      <c r="G7" s="588" t="n"/>
      <c r="H7" s="588" t="n"/>
      <c r="I7" s="579" t="inlineStr">
        <is>
          <t>月</t>
        </is>
      </c>
      <c r="J7" s="579" t="inlineStr">
        <is>
          <t>日</t>
        </is>
      </c>
      <c r="K7" s="579" t="inlineStr">
        <is>
          <t>時</t>
        </is>
      </c>
      <c r="L7" s="579" t="inlineStr">
        <is>
          <t>月</t>
        </is>
      </c>
      <c r="M7" s="579" t="inlineStr">
        <is>
          <t>日</t>
        </is>
      </c>
      <c r="N7" s="579" t="inlineStr">
        <is>
          <t>時</t>
        </is>
      </c>
      <c r="O7" s="579" t="inlineStr">
        <is>
          <t>分</t>
        </is>
      </c>
      <c r="P7" s="588" t="n"/>
      <c r="Q7" s="145" t="inlineStr">
        <is>
          <t>（捺指紋）</t>
        </is>
      </c>
      <c r="R7" s="1144" t="n"/>
    </row>
    <row r="8" ht="39" customHeight="1" s="680">
      <c r="B8" s="141" t="n"/>
      <c r="C8" s="661">
        <f>IFERROR(VLOOKUP($B8,個資,11,FALSE),"")</f>
        <v/>
      </c>
      <c r="D8" s="661">
        <f>IFERROR(VLOOKUP($B8,個資,16,FALSE),"")</f>
        <v/>
      </c>
      <c r="E8" s="579">
        <f>IFERROR(VLOOKUP($B8,個資,8,FALSE),"")</f>
        <v/>
      </c>
      <c r="F8" s="661">
        <f>IFERROR(VLOOKUP($B8,個資,2,FALSE),"")</f>
        <v/>
      </c>
      <c r="G8" s="144">
        <f>IFERROR(VLOOKUP($B8,個資,6,FALSE),"")</f>
        <v/>
      </c>
      <c r="H8" s="661" t="n"/>
      <c r="I8" s="661">
        <f>IF(ISBLANK($B8)," ",MID(輸入!$C$11,4,2))</f>
        <v/>
      </c>
      <c r="J8" s="661">
        <f>IF(ISBLANK($B8)," ",MID(輸入!$C$11,6,2))</f>
        <v/>
      </c>
      <c r="K8" s="661">
        <f>IF(ISBLANK($B8)," ",MID(輸入!$C$11,8,2))</f>
        <v/>
      </c>
      <c r="L8" s="143" t="n"/>
      <c r="M8" s="143" t="n"/>
      <c r="N8" s="142" t="n"/>
      <c r="O8" s="142" t="n"/>
      <c r="P8" s="992" t="n"/>
      <c r="Q8" s="140" t="n"/>
      <c r="R8" s="483" t="n"/>
    </row>
    <row r="9" ht="39" customHeight="1" s="680">
      <c r="B9" s="141" t="n"/>
      <c r="C9" s="661">
        <f>IFERROR(VLOOKUP($B9,個資,11,FALSE),"")</f>
        <v/>
      </c>
      <c r="D9" s="661">
        <f>IFERROR(VLOOKUP($B9,個資,16,FALSE),"")</f>
        <v/>
      </c>
      <c r="E9" s="579">
        <f>IFERROR(VLOOKUP($B9,個資,8,FALSE),"")</f>
        <v/>
      </c>
      <c r="F9" s="661">
        <f>IFERROR(VLOOKUP($B9,個資,2,FALSE),"")</f>
        <v/>
      </c>
      <c r="G9" s="144">
        <f>IFERROR(VLOOKUP($B9,個資,6,FALSE),"")</f>
        <v/>
      </c>
      <c r="H9" s="661" t="n"/>
      <c r="I9" s="661">
        <f>IF(ISBLANK($B9)," ",MID(輸入!$C$11,4,2))</f>
        <v/>
      </c>
      <c r="J9" s="661">
        <f>IF(ISBLANK($B9)," ",MID(輸入!$C$11,6,2))</f>
        <v/>
      </c>
      <c r="K9" s="661">
        <f>IF(ISBLANK($B9)," ",MID(輸入!$C$11,8,2))</f>
        <v/>
      </c>
      <c r="L9" s="661" t="n"/>
      <c r="M9" s="661" t="n"/>
      <c r="N9" s="992" t="n"/>
      <c r="O9" s="992" t="n"/>
      <c r="P9" s="992" t="n"/>
      <c r="Q9" s="140" t="n"/>
      <c r="R9" s="483" t="n"/>
    </row>
    <row r="10" ht="39" customHeight="1" s="680">
      <c r="B10" s="141" t="n"/>
      <c r="C10" s="661">
        <f>IFERROR(VLOOKUP($B10,個資,11,FALSE),"")</f>
        <v/>
      </c>
      <c r="D10" s="661">
        <f>IFERROR(VLOOKUP($B10,個資,16,FALSE),"")</f>
        <v/>
      </c>
      <c r="E10" s="579">
        <f>IFERROR(VLOOKUP($B10,個資,8,FALSE),"")</f>
        <v/>
      </c>
      <c r="F10" s="661">
        <f>IFERROR(VLOOKUP($B10,個資,2,FALSE),"")</f>
        <v/>
      </c>
      <c r="G10" s="144">
        <f>IFERROR(VLOOKUP($B10,個資,6,FALSE),"")</f>
        <v/>
      </c>
      <c r="H10" s="992" t="n"/>
      <c r="I10" s="661">
        <f>IF(ISBLANK($B10)," ",MID(輸入!$C$11,4,2))</f>
        <v/>
      </c>
      <c r="J10" s="661">
        <f>IF(ISBLANK($B10)," ",MID(輸入!$C$11,6,2))</f>
        <v/>
      </c>
      <c r="K10" s="661">
        <f>IF(ISBLANK($B10)," ",MID(輸入!$C$11,8,2))</f>
        <v/>
      </c>
      <c r="L10" s="661" t="n"/>
      <c r="M10" s="661" t="n"/>
      <c r="N10" s="992" t="n"/>
      <c r="O10" s="992" t="n"/>
      <c r="P10" s="992" t="n"/>
      <c r="Q10" s="140" t="n"/>
      <c r="R10" s="483" t="n"/>
    </row>
    <row r="11" ht="39" customHeight="1" s="680">
      <c r="B11" s="141" t="n"/>
      <c r="C11" s="661">
        <f>IFERROR(VLOOKUP($B11,個資,11,FALSE),"")</f>
        <v/>
      </c>
      <c r="D11" s="661">
        <f>IFERROR(VLOOKUP($B11,個資,16,FALSE),"")</f>
        <v/>
      </c>
      <c r="E11" s="579">
        <f>IFERROR(VLOOKUP($B11,個資,8,FALSE),"")</f>
        <v/>
      </c>
      <c r="F11" s="661">
        <f>IFERROR(VLOOKUP($B11,個資,2,FALSE),"")</f>
        <v/>
      </c>
      <c r="G11" s="144">
        <f>IFERROR(VLOOKUP($B11,個資,6,FALSE),"")</f>
        <v/>
      </c>
      <c r="H11" s="992" t="n"/>
      <c r="I11" s="661">
        <f>IF(ISBLANK($B11)," ",MID(輸入!$C$11,4,2))</f>
        <v/>
      </c>
      <c r="J11" s="661">
        <f>IF(ISBLANK($B11)," ",MID(輸入!$C$11,6,2))</f>
        <v/>
      </c>
      <c r="K11" s="661">
        <f>IF(ISBLANK($B11)," ",MID(輸入!$C$11,8,2))</f>
        <v/>
      </c>
      <c r="L11" s="992" t="n"/>
      <c r="M11" s="992" t="n"/>
      <c r="N11" s="992" t="n"/>
      <c r="O11" s="992" t="n"/>
      <c r="P11" s="992" t="n"/>
      <c r="Q11" s="140" t="n"/>
      <c r="R11" s="483" t="n"/>
    </row>
    <row r="12" ht="39" customHeight="1" s="680">
      <c r="B12" s="141" t="n"/>
      <c r="C12" s="661">
        <f>IFERROR(VLOOKUP($B12,個資,11,FALSE),"")</f>
        <v/>
      </c>
      <c r="D12" s="661">
        <f>IFERROR(VLOOKUP($B12,個資,16,FALSE),"")</f>
        <v/>
      </c>
      <c r="E12" s="579">
        <f>IFERROR(VLOOKUP($B12,個資,8,FALSE),"")</f>
        <v/>
      </c>
      <c r="F12" s="661">
        <f>IFERROR(VLOOKUP($B12,個資,2,FALSE),"")</f>
        <v/>
      </c>
      <c r="G12" s="144">
        <f>IFERROR(VLOOKUP($B12,個資,6,FALSE),"")</f>
        <v/>
      </c>
      <c r="H12" s="992" t="n"/>
      <c r="I12" s="661">
        <f>IF(ISBLANK($B12)," ",MID(輸入!$C$11,4,2))</f>
        <v/>
      </c>
      <c r="J12" s="661">
        <f>IF(ISBLANK($B12)," ",MID(輸入!$C$11,6,2))</f>
        <v/>
      </c>
      <c r="K12" s="661">
        <f>IF(ISBLANK($B12)," ",MID(輸入!$C$11,8,2))</f>
        <v/>
      </c>
      <c r="L12" s="992" t="n"/>
      <c r="M12" s="992" t="n"/>
      <c r="N12" s="992" t="n"/>
      <c r="O12" s="992" t="n"/>
      <c r="P12" s="992" t="n"/>
      <c r="Q12" s="140" t="n"/>
      <c r="R12" s="483" t="n"/>
    </row>
    <row r="13" ht="19.5" customHeight="1" s="680">
      <c r="B13" s="764" t="n"/>
      <c r="Q13" s="727" t="n"/>
      <c r="R13" s="483" t="n"/>
    </row>
    <row r="14" ht="19.5" customHeight="1" s="680">
      <c r="B14" s="767">
        <f>CONCATENATE("　　上開  ",$B$8,"  等",COUNTA($B$8:$B$12),"人因       ",呈報單!$G$15,"案       送入拘留所候詢室")</f>
        <v/>
      </c>
      <c r="Q14" s="727" t="n"/>
      <c r="R14" s="478" t="n"/>
    </row>
    <row r="15" ht="19.5" customHeight="1" s="680">
      <c r="B15" s="767" t="inlineStr">
        <is>
          <t xml:space="preserve">　　　此　致                                      　　　勤務指揮中心：</t>
        </is>
      </c>
      <c r="Q15" s="727" t="n"/>
      <c r="R15" s="478" t="n"/>
    </row>
    <row r="16" ht="19.5" customHeight="1" s="680">
      <c r="B16" s="767" t="inlineStr">
        <is>
          <t>拘留所：</t>
        </is>
      </c>
      <c r="Q16" s="727" t="n"/>
      <c r="R16" s="478" t="n"/>
    </row>
    <row r="17" ht="19.5" customHeight="1" s="680">
      <c r="B17" s="767" t="inlineStr">
        <is>
          <t xml:space="preserve">承辦人：　                     隊長：  　　　　　　　　  機關主管長官：　　　　　　　　　　　　　　　　　　　　　　　　　　　　　　　　　　　</t>
        </is>
      </c>
      <c r="Q17" s="727" t="n"/>
      <c r="R17" s="478" t="n"/>
    </row>
    <row r="18" ht="19.5" customHeight="1" s="680">
      <c r="B18" s="767" t="n"/>
      <c r="Q18" s="727" t="n"/>
      <c r="R18" s="478" t="n"/>
    </row>
    <row r="19" ht="19.5" customHeight="1" s="680">
      <c r="B19" s="767" t="n"/>
      <c r="Q19" s="727" t="n"/>
      <c r="R19" s="478" t="n"/>
    </row>
    <row r="20" ht="20.25" customHeight="1" s="680" thickBot="1">
      <c r="B20" s="768" t="n"/>
      <c r="C20" s="769" t="n"/>
      <c r="D20" s="769" t="n"/>
      <c r="E20" s="769" t="n"/>
      <c r="F20" s="769" t="n"/>
      <c r="G20" s="769" t="n"/>
      <c r="H20" s="769" t="n"/>
      <c r="I20" s="769" t="n"/>
      <c r="J20" s="769" t="n"/>
      <c r="K20" s="769" t="n"/>
      <c r="L20" s="769" t="n"/>
      <c r="M20" s="769" t="n"/>
      <c r="N20" s="769" t="n"/>
      <c r="O20" s="769" t="n"/>
      <c r="P20" s="769" t="n"/>
      <c r="Q20" s="770" t="n"/>
      <c r="R20" s="478" t="n"/>
    </row>
    <row r="21">
      <c r="B21" s="772" t="inlineStr">
        <is>
          <t>使用說明：一、本通知單一式二聯，紙張尺度（公厘）211X87（直X橫）、裝訂於上方裝訂線。</t>
        </is>
      </c>
      <c r="C21" s="721" t="n"/>
      <c r="D21" s="721" t="n"/>
      <c r="E21" s="721" t="n"/>
      <c r="F21" s="721" t="n"/>
      <c r="G21" s="721" t="n"/>
      <c r="H21" s="721" t="n"/>
      <c r="I21" s="721" t="n"/>
      <c r="J21" s="721" t="n"/>
      <c r="K21" s="721" t="n"/>
    </row>
    <row r="22">
      <c r="B22" s="776" t="inlineStr">
        <is>
          <t xml:space="preserve">　　　　　二、第一聯存根（簽辦用）、第二聯正本（送拘留所）。</t>
        </is>
      </c>
    </row>
    <row r="23" ht="17.25" customHeight="1" s="680">
      <c r="B23" s="139" t="inlineStr">
        <is>
          <t xml:space="preserve"> </t>
        </is>
      </c>
    </row>
    <row r="24">
      <c r="B24" s="138" t="n"/>
      <c r="Q24" s="137" t="inlineStr">
        <is>
          <t>01</t>
        </is>
      </c>
    </row>
    <row r="25" ht="6" customHeight="1" s="680">
      <c r="A25" s="149" t="n"/>
      <c r="B25" s="149" t="n"/>
      <c r="C25" s="149" t="n"/>
      <c r="D25" s="149" t="n"/>
      <c r="E25" s="149" t="n"/>
      <c r="F25" s="149" t="n"/>
      <c r="G25" s="149" t="n"/>
      <c r="H25" s="149" t="n"/>
      <c r="I25" s="149" t="n"/>
      <c r="J25" s="149" t="n"/>
      <c r="K25" s="149" t="n"/>
      <c r="L25" s="149" t="n"/>
      <c r="M25" s="149" t="n"/>
      <c r="N25" s="149" t="n"/>
      <c r="O25" s="149" t="n"/>
      <c r="P25" s="149" t="n"/>
      <c r="Q25" s="149" t="n"/>
      <c r="R25" s="149" t="n"/>
    </row>
    <row r="26" ht="21" customHeight="1" s="680"/>
    <row r="27" ht="21" customHeight="1" s="680" thickBot="1">
      <c r="A27" s="148" t="n"/>
      <c r="B27" s="148" t="n"/>
      <c r="C27" s="148" t="n"/>
      <c r="D27" s="148" t="n"/>
      <c r="E27" s="148" t="n"/>
      <c r="F27" s="148" t="n"/>
      <c r="G27" s="148" t="n"/>
      <c r="H27" s="148" t="n"/>
      <c r="I27" s="148" t="n"/>
      <c r="J27" s="148" t="n"/>
      <c r="K27" s="148" t="n"/>
      <c r="L27" s="148" t="n"/>
      <c r="M27" s="148" t="n"/>
      <c r="N27" s="148" t="n"/>
      <c r="O27" s="148" t="n"/>
      <c r="P27" s="148" t="n"/>
      <c r="Q27" s="148" t="n"/>
      <c r="R27" s="148" t="n"/>
    </row>
    <row r="28" ht="25.5" customHeight="1" s="680">
      <c r="B28" s="771">
        <f>CONCATENATE(輸入!$S$18,輸入!$T$18,輸入!$S$19,輸入!$T$19,"候詢人出所通知單")</f>
        <v/>
      </c>
      <c r="C28" s="721" t="n"/>
      <c r="D28" s="721" t="n"/>
      <c r="E28" s="721" t="n"/>
      <c r="F28" s="721" t="n"/>
      <c r="G28" s="721" t="n"/>
      <c r="H28" s="721" t="n"/>
      <c r="I28" s="773">
        <f>CONCATENATE("填單：",LEFT(下拉用!$J$5,10))</f>
        <v/>
      </c>
      <c r="J28" s="721" t="n"/>
      <c r="K28" s="721" t="n"/>
      <c r="L28" s="721" t="n"/>
      <c r="M28" s="721" t="n"/>
      <c r="N28" s="721" t="n"/>
      <c r="O28" s="721" t="n"/>
      <c r="P28" s="721" t="n"/>
      <c r="Q28" s="147" t="n"/>
      <c r="R28" s="13" t="inlineStr">
        <is>
          <t xml:space="preserve">  </t>
        </is>
      </c>
    </row>
    <row r="29" ht="19.5" customHeight="1" s="680">
      <c r="B29" s="482" t="inlineStr">
        <is>
          <t xml:space="preserve">　　　　　　　　　　　　　　　　　　　　　　　　　　　　　　            </t>
        </is>
      </c>
      <c r="C29" s="483" t="n"/>
      <c r="D29" s="483" t="n"/>
      <c r="E29" s="483" t="n"/>
      <c r="F29" s="483" t="n"/>
      <c r="G29" s="483" t="n"/>
      <c r="H29" s="483" t="n"/>
      <c r="I29" s="766" t="inlineStr">
        <is>
          <t>編號：</t>
        </is>
      </c>
      <c r="J29" s="583" t="n"/>
      <c r="K29" s="583" t="n"/>
      <c r="L29" s="583" t="n"/>
      <c r="M29" s="583" t="n"/>
      <c r="N29" s="583" t="n"/>
      <c r="O29" s="583" t="n"/>
      <c r="P29" s="483" t="n"/>
      <c r="Q29" s="484" t="n"/>
      <c r="R29" s="483" t="n"/>
    </row>
    <row r="30" ht="19.5" customHeight="1" s="680">
      <c r="B30" s="774" t="inlineStr">
        <is>
          <t>姓名</t>
        </is>
      </c>
      <c r="C30" s="765" t="inlineStr">
        <is>
          <t>性
別</t>
        </is>
      </c>
      <c r="D30" s="765" t="inlineStr">
        <is>
          <t>出生
年月日</t>
        </is>
      </c>
      <c r="E30" s="765" t="inlineStr">
        <is>
          <t>職業</t>
        </is>
      </c>
      <c r="F30" s="765" t="inlineStr">
        <is>
          <t>身分證
統一編號</t>
        </is>
      </c>
      <c r="G30" s="765" t="inlineStr">
        <is>
          <t>住居所</t>
        </is>
      </c>
      <c r="H30" s="765" t="inlineStr">
        <is>
          <t>拘留
日數</t>
        </is>
      </c>
      <c r="I30" s="579" t="inlineStr">
        <is>
          <t>拘提逮捕</t>
        </is>
      </c>
      <c r="J30" s="577" t="n"/>
      <c r="K30" s="574" t="n"/>
      <c r="L30" s="765" t="inlineStr">
        <is>
          <t>出所時間</t>
        </is>
      </c>
      <c r="M30" s="577" t="n"/>
      <c r="N30" s="577" t="n"/>
      <c r="O30" s="574" t="n"/>
      <c r="P30" s="765" t="inlineStr">
        <is>
          <t>准否接見</t>
        </is>
      </c>
      <c r="Q30" s="146" t="inlineStr">
        <is>
          <t>備考</t>
        </is>
      </c>
      <c r="R30" s="1144" t="n"/>
    </row>
    <row r="31" ht="19.5" customHeight="1" s="680">
      <c r="B31" s="775" t="n"/>
      <c r="C31" s="588" t="n"/>
      <c r="D31" s="588" t="n"/>
      <c r="E31" s="588" t="n"/>
      <c r="F31" s="588" t="n"/>
      <c r="G31" s="588" t="n"/>
      <c r="H31" s="588" t="n"/>
      <c r="I31" s="579" t="inlineStr">
        <is>
          <t>月</t>
        </is>
      </c>
      <c r="J31" s="579" t="inlineStr">
        <is>
          <t>日</t>
        </is>
      </c>
      <c r="K31" s="579" t="inlineStr">
        <is>
          <t>時</t>
        </is>
      </c>
      <c r="L31" s="579" t="inlineStr">
        <is>
          <t>月</t>
        </is>
      </c>
      <c r="M31" s="579" t="inlineStr">
        <is>
          <t>日</t>
        </is>
      </c>
      <c r="N31" s="579" t="inlineStr">
        <is>
          <t>時</t>
        </is>
      </c>
      <c r="O31" s="579" t="inlineStr">
        <is>
          <t>分</t>
        </is>
      </c>
      <c r="P31" s="588" t="n"/>
      <c r="Q31" s="145" t="inlineStr">
        <is>
          <t>（捺指紋）</t>
        </is>
      </c>
      <c r="R31" s="1144" t="n"/>
    </row>
    <row r="32" ht="39" customHeight="1" s="680">
      <c r="B32" s="141">
        <f>$B8</f>
        <v/>
      </c>
      <c r="C32" s="661">
        <f>IFERROR(VLOOKUP($B8,個資,11,FALSE),"")</f>
        <v/>
      </c>
      <c r="D32" s="661">
        <f>IFERROR(VLOOKUP($B8,個資,16,FALSE),"")</f>
        <v/>
      </c>
      <c r="E32" s="575">
        <f>IFERROR(VLOOKUP($B8,個資,8,FALSE),"")</f>
        <v/>
      </c>
      <c r="F32" s="661">
        <f>IFERROR(VLOOKUP($B8,個資,2,FALSE),"")</f>
        <v/>
      </c>
      <c r="G32" s="144">
        <f>IFERROR(VLOOKUP($B8,個資,6,FALSE),"")</f>
        <v/>
      </c>
      <c r="H32" s="661" t="n"/>
      <c r="I32" s="661">
        <f>IF(ISBLANK($B32)," ",MID(輸入!$C$11,4,2))</f>
        <v/>
      </c>
      <c r="J32" s="661">
        <f>IF(ISBLANK($B32)," ",MID(輸入!$C$11,6,2))</f>
        <v/>
      </c>
      <c r="K32" s="661">
        <f>IF(ISBLANK($B32)," ",MID(輸入!$C$11,8,2))</f>
        <v/>
      </c>
      <c r="L32" s="143" t="n"/>
      <c r="M32" s="143" t="n"/>
      <c r="N32" s="142" t="n"/>
      <c r="O32" s="142" t="n"/>
      <c r="P32" s="992" t="n"/>
      <c r="Q32" s="140" t="n"/>
      <c r="R32" s="483" t="n"/>
    </row>
    <row r="33" ht="39" customHeight="1" s="680">
      <c r="B33" s="141">
        <f>IF(ISBLANK($B9),"",$B9)</f>
        <v/>
      </c>
      <c r="C33" s="661">
        <f>IFERROR(VLOOKUP($B9,個資,11,FALSE),"")</f>
        <v/>
      </c>
      <c r="D33" s="661">
        <f>IFERROR(VLOOKUP($B9,個資,16,FALSE),"")</f>
        <v/>
      </c>
      <c r="E33" s="575">
        <f>IFERROR(VLOOKUP($B9,個資,8,FALSE),"")</f>
        <v/>
      </c>
      <c r="F33" s="661">
        <f>IFERROR(VLOOKUP($B9,個資,2,FALSE),"")</f>
        <v/>
      </c>
      <c r="G33" s="144">
        <f>IFERROR(VLOOKUP($B9,個資,6,FALSE),"")</f>
        <v/>
      </c>
      <c r="H33" s="661" t="n"/>
      <c r="I33" s="661">
        <f>I9</f>
        <v/>
      </c>
      <c r="J33" s="661">
        <f>J9</f>
        <v/>
      </c>
      <c r="K33" s="661">
        <f>K9</f>
        <v/>
      </c>
      <c r="L33" s="661" t="n"/>
      <c r="M33" s="661" t="n"/>
      <c r="N33" s="992" t="n"/>
      <c r="O33" s="992" t="n"/>
      <c r="P33" s="992" t="n"/>
      <c r="Q33" s="140" t="n"/>
      <c r="R33" s="483" t="n"/>
    </row>
    <row r="34" ht="39" customHeight="1" s="680">
      <c r="B34" s="141">
        <f>IF(ISBLANK($B10),"",$B10)</f>
        <v/>
      </c>
      <c r="C34" s="661">
        <f>IFERROR(VLOOKUP($B10,個資,11,FALSE),"")</f>
        <v/>
      </c>
      <c r="D34" s="661">
        <f>IFERROR(VLOOKUP($B10,個資,16,FALSE),"")</f>
        <v/>
      </c>
      <c r="E34" s="575">
        <f>IFERROR(VLOOKUP($B10,個資,8,FALSE),"")</f>
        <v/>
      </c>
      <c r="F34" s="661">
        <f>IFERROR(VLOOKUP($B10,個資,2,FALSE),"")</f>
        <v/>
      </c>
      <c r="G34" s="144">
        <f>IFERROR(VLOOKUP($B10,個資,6,FALSE),"")</f>
        <v/>
      </c>
      <c r="H34" s="992" t="n"/>
      <c r="I34" s="661">
        <f>I10</f>
        <v/>
      </c>
      <c r="J34" s="661">
        <f>J10</f>
        <v/>
      </c>
      <c r="K34" s="661">
        <f>K10</f>
        <v/>
      </c>
      <c r="L34" s="661" t="n"/>
      <c r="M34" s="661" t="n"/>
      <c r="N34" s="992" t="n"/>
      <c r="O34" s="992" t="n"/>
      <c r="P34" s="992" t="n"/>
      <c r="Q34" s="140" t="n"/>
      <c r="R34" s="483" t="n"/>
    </row>
    <row r="35" ht="39" customHeight="1" s="680">
      <c r="B35" s="141">
        <f>IF(ISBLANK($B11),"",$B11)</f>
        <v/>
      </c>
      <c r="C35" s="661">
        <f>IFERROR(VLOOKUP($B11,個資,11,FALSE),"")</f>
        <v/>
      </c>
      <c r="D35" s="661">
        <f>IFERROR(VLOOKUP($B11,個資,16,FALSE),"")</f>
        <v/>
      </c>
      <c r="E35" s="575">
        <f>IFERROR(VLOOKUP($B11,個資,8,FALSE),"")</f>
        <v/>
      </c>
      <c r="F35" s="661">
        <f>IFERROR(VLOOKUP($B11,個資,2,FALSE),"")</f>
        <v/>
      </c>
      <c r="G35" s="144">
        <f>IFERROR(VLOOKUP($B11,個資,6,FALSE),"")</f>
        <v/>
      </c>
      <c r="H35" s="992" t="n"/>
      <c r="I35" s="661">
        <f>I11</f>
        <v/>
      </c>
      <c r="J35" s="661">
        <f>J11</f>
        <v/>
      </c>
      <c r="K35" s="661">
        <f>K11</f>
        <v/>
      </c>
      <c r="L35" s="992" t="n"/>
      <c r="M35" s="992" t="n"/>
      <c r="N35" s="992" t="n"/>
      <c r="O35" s="992" t="n"/>
      <c r="P35" s="992" t="n"/>
      <c r="Q35" s="140" t="n"/>
      <c r="R35" s="483" t="n"/>
    </row>
    <row r="36" ht="39" customHeight="1" s="680">
      <c r="B36" s="141">
        <f>IF(ISBLANK($B12),"",$B12)</f>
        <v/>
      </c>
      <c r="C36" s="661">
        <f>IFERROR(VLOOKUP($B12,個資,11,FALSE),"")</f>
        <v/>
      </c>
      <c r="D36" s="661">
        <f>IFERROR(VLOOKUP($B12,個資,16,FALSE),"")</f>
        <v/>
      </c>
      <c r="E36" s="575">
        <f>IFERROR(VLOOKUP($B12,個資,8,FALSE),"")</f>
        <v/>
      </c>
      <c r="F36" s="661">
        <f>IFERROR(VLOOKUP($B12,個資,2,FALSE),"")</f>
        <v/>
      </c>
      <c r="G36" s="144">
        <f>IFERROR(VLOOKUP($B12,個資,6,FALSE),"")</f>
        <v/>
      </c>
      <c r="H36" s="992" t="n"/>
      <c r="I36" s="661">
        <f>I12</f>
        <v/>
      </c>
      <c r="J36" s="661">
        <f>J12</f>
        <v/>
      </c>
      <c r="K36" s="661">
        <f>K12</f>
        <v/>
      </c>
      <c r="L36" s="992" t="n"/>
      <c r="M36" s="992" t="n"/>
      <c r="N36" s="992" t="n"/>
      <c r="O36" s="992" t="n"/>
      <c r="P36" s="992" t="n"/>
      <c r="Q36" s="140" t="n"/>
      <c r="R36" s="483" t="n"/>
    </row>
    <row r="37" ht="19.5" customHeight="1" s="680">
      <c r="B37" s="764" t="n"/>
      <c r="Q37" s="727" t="n"/>
      <c r="R37" s="483" t="n"/>
    </row>
    <row r="38" ht="19.5" customHeight="1" s="680">
      <c r="B38" s="767">
        <f>CONCATENATE(,"　　上開",word用!H2,"等",COUNTA($B$8:$B$12),"名經偵詢完畢應移送□臺北地檢□士林地檢□新北地檢等請予釋放提出。")</f>
        <v/>
      </c>
      <c r="Q38" s="727" t="n"/>
      <c r="R38" s="478" t="n"/>
    </row>
    <row r="39" ht="19.5" customHeight="1" s="680">
      <c r="B39" s="767" t="inlineStr">
        <is>
          <t xml:space="preserve">　　　此　致                                      　　　勤務指揮中心：</t>
        </is>
      </c>
      <c r="Q39" s="727" t="n"/>
      <c r="R39" s="478" t="n"/>
    </row>
    <row r="40" ht="19.5" customHeight="1" s="680">
      <c r="B40" s="767" t="inlineStr">
        <is>
          <t>拘留所：</t>
        </is>
      </c>
      <c r="Q40" s="727" t="n"/>
      <c r="R40" s="478" t="n"/>
    </row>
    <row r="41" ht="19.5" customHeight="1" s="680">
      <c r="B41" s="767" t="inlineStr">
        <is>
          <t xml:space="preserve">承辦人：　                     隊長：  　　　　　　　　  機關主管長官：　　　　　　　　　　　　　　　　　　　　　　　　　　　　　　　　　　　</t>
        </is>
      </c>
      <c r="Q41" s="727" t="n"/>
      <c r="R41" s="478" t="n"/>
    </row>
    <row r="42" ht="19.5" customHeight="1" s="680">
      <c r="B42" s="767" t="n"/>
      <c r="Q42" s="727" t="n"/>
      <c r="R42" s="478" t="n"/>
    </row>
    <row r="43" ht="19.5" customHeight="1" s="680">
      <c r="B43" s="767" t="n"/>
      <c r="Q43" s="727" t="n"/>
      <c r="R43" s="478" t="n"/>
    </row>
    <row r="44" ht="20.25" customHeight="1" s="680" thickBot="1">
      <c r="B44" s="768" t="n"/>
      <c r="C44" s="769" t="n"/>
      <c r="D44" s="769" t="n"/>
      <c r="E44" s="769" t="n"/>
      <c r="F44" s="769" t="n"/>
      <c r="G44" s="769" t="n"/>
      <c r="H44" s="769" t="n"/>
      <c r="I44" s="769" t="n"/>
      <c r="J44" s="769" t="n"/>
      <c r="K44" s="769" t="n"/>
      <c r="L44" s="769" t="n"/>
      <c r="M44" s="769" t="n"/>
      <c r="N44" s="769" t="n"/>
      <c r="O44" s="769" t="n"/>
      <c r="P44" s="769" t="n"/>
      <c r="Q44" s="770" t="n"/>
      <c r="R44" s="478" t="n"/>
    </row>
    <row r="45">
      <c r="B45" s="772" t="inlineStr">
        <is>
          <t>使用說明：一、本通知單一式二聯，紙張尺度（公厘）211X87（直X橫）、裝訂於上方裝訂線。</t>
        </is>
      </c>
      <c r="C45" s="721" t="n"/>
      <c r="D45" s="721" t="n"/>
      <c r="E45" s="721" t="n"/>
      <c r="F45" s="721" t="n"/>
      <c r="G45" s="721" t="n"/>
      <c r="H45" s="721" t="n"/>
      <c r="I45" s="721" t="n"/>
      <c r="J45" s="721" t="n"/>
      <c r="K45" s="721" t="n"/>
    </row>
    <row r="46">
      <c r="B46" s="776" t="inlineStr">
        <is>
          <t xml:space="preserve">　　　　　二、第一聯存根（簽辦用）、第二聯正本（送拘留所）。</t>
        </is>
      </c>
    </row>
    <row r="47" ht="17.25" customHeight="1" s="680">
      <c r="B47" s="139" t="inlineStr">
        <is>
          <t xml:space="preserve"> </t>
        </is>
      </c>
    </row>
    <row r="48">
      <c r="B48" s="138" t="n"/>
      <c r="Q48" s="137" t="inlineStr">
        <is>
          <t>02</t>
        </is>
      </c>
    </row>
  </sheetData>
  <mergeCells count="46">
    <mergeCell ref="B37:Q37"/>
    <mergeCell ref="C30:C31"/>
    <mergeCell ref="I5:O5"/>
    <mergeCell ref="B40:Q40"/>
    <mergeCell ref="H6:H7"/>
    <mergeCell ref="I29:O29"/>
    <mergeCell ref="L6:O6"/>
    <mergeCell ref="P6:P7"/>
    <mergeCell ref="B15:Q15"/>
    <mergeCell ref="F30:F31"/>
    <mergeCell ref="B20:Q20"/>
    <mergeCell ref="B45:K45"/>
    <mergeCell ref="B4:H4"/>
    <mergeCell ref="B41:Q41"/>
    <mergeCell ref="G6:G7"/>
    <mergeCell ref="E6:E7"/>
    <mergeCell ref="I28:P28"/>
    <mergeCell ref="B16:Q16"/>
    <mergeCell ref="B6:B7"/>
    <mergeCell ref="E30:E31"/>
    <mergeCell ref="G30:G31"/>
    <mergeCell ref="B46:K46"/>
    <mergeCell ref="B22:K22"/>
    <mergeCell ref="B18:Q18"/>
    <mergeCell ref="B21:K21"/>
    <mergeCell ref="B43:Q43"/>
    <mergeCell ref="I30:K30"/>
    <mergeCell ref="B39:Q39"/>
    <mergeCell ref="B30:B31"/>
    <mergeCell ref="I6:K6"/>
    <mergeCell ref="D30:D31"/>
    <mergeCell ref="B42:Q42"/>
    <mergeCell ref="I4:P4"/>
    <mergeCell ref="H30:H31"/>
    <mergeCell ref="B14:Q14"/>
    <mergeCell ref="L30:O30"/>
    <mergeCell ref="P30:P31"/>
    <mergeCell ref="B17:Q17"/>
    <mergeCell ref="B13:Q13"/>
    <mergeCell ref="C6:C7"/>
    <mergeCell ref="B38:Q38"/>
    <mergeCell ref="D6:D7"/>
    <mergeCell ref="B44:Q44"/>
    <mergeCell ref="F6:F7"/>
    <mergeCell ref="B28:H28"/>
    <mergeCell ref="B19:Q19"/>
  </mergeCells>
  <pageMargins left="0.2362204724409449" right="0.2362204724409449" top="0.2362204724409449" bottom="0.2362204724409449" header="0.3149606299212598" footer="0.3149606299212598"/>
  <pageSetup orientation="landscape" paperSize="9"/>
  <rowBreaks count="1" manualBreakCount="1">
    <brk id="24" min="0" max="17" man="1"/>
  </rowBreaks>
</worksheet>
</file>

<file path=xl/worksheets/sheet19.xml><?xml version="1.0" encoding="utf-8"?>
<worksheet xmlns="http://schemas.openxmlformats.org/spreadsheetml/2006/main">
  <sheetPr codeName="工作表55">
    <outlinePr summaryBelow="1" summaryRight="1"/>
    <pageSetUpPr/>
  </sheetPr>
  <dimension ref="A1:Q30"/>
  <sheetViews>
    <sheetView view="pageLayout" topLeftCell="A13" zoomScale="85" zoomScaleNormal="100" zoomScaleSheetLayoutView="100" zoomScalePageLayoutView="85" workbookViewId="0">
      <selection activeCell="F23" sqref="F23:O23"/>
    </sheetView>
  </sheetViews>
  <sheetFormatPr baseColWidth="8" defaultRowHeight="16.5"/>
  <cols>
    <col width="1.125" customWidth="1" style="780" min="1" max="1"/>
    <col width="1.375" customWidth="1" style="780" min="2" max="2"/>
    <col width="2.25" customWidth="1" style="780" min="3" max="3"/>
    <col width="9.75" customWidth="1" style="780" min="4" max="4"/>
    <col width="9.25" customWidth="1" style="780" min="5" max="5"/>
    <col width="1.375" customWidth="1" style="780" min="6" max="6"/>
    <col width="11" customWidth="1" style="780" min="7" max="7"/>
    <col width="6.625" customWidth="1" style="780" min="8" max="8"/>
    <col width="5.125" customWidth="1" style="780" min="9" max="9"/>
    <col width="4.25" customWidth="1" style="780" min="10" max="10"/>
    <col width="14.125" customWidth="1" style="780" min="11" max="11"/>
    <col width="0.875" customWidth="1" style="780" min="12" max="12"/>
    <col width="6.625" customWidth="1" style="780" min="13" max="13"/>
    <col width="7.5" customWidth="1" style="780" min="14" max="14"/>
    <col width="22.125" customWidth="1" style="780" min="15" max="15"/>
    <col width="1.125" customWidth="1" style="780" min="16" max="16"/>
    <col width="1.25" customWidth="1" style="780" min="17" max="17"/>
    <col width="9" customWidth="1" style="780" min="18" max="52"/>
    <col width="9" customWidth="1" style="780" min="53" max="16384"/>
  </cols>
  <sheetData>
    <row r="1" ht="26.25" customHeight="1" s="680">
      <c r="A1" s="796" t="inlineStr">
        <is>
          <t>法律扶助基金會 檢警/少年事件 律師陪同到場- 指派律師通知表114年01月版</t>
        </is>
      </c>
      <c r="B1" s="577" t="n"/>
      <c r="C1" s="577" t="n"/>
      <c r="D1" s="577" t="n"/>
      <c r="E1" s="577" t="n"/>
      <c r="F1" s="577" t="n"/>
      <c r="G1" s="577" t="n"/>
      <c r="H1" s="577" t="n"/>
      <c r="I1" s="577" t="n"/>
      <c r="J1" s="577" t="n"/>
      <c r="K1" s="577" t="n"/>
      <c r="L1" s="577" t="n"/>
      <c r="M1" s="577" t="n"/>
      <c r="N1" s="577" t="n"/>
      <c r="O1" s="577" t="n"/>
      <c r="P1" s="577" t="n"/>
      <c r="Q1" s="574" t="n"/>
    </row>
    <row r="2" ht="24" customHeight="1" s="680">
      <c r="A2" s="777" t="inlineStr">
        <is>
          <t>通報
機關</t>
        </is>
      </c>
      <c r="B2" s="580" t="n"/>
      <c r="C2" s="580" t="n"/>
      <c r="D2" s="581" t="n"/>
      <c r="E2" s="778" t="inlineStr">
        <is>
          <t>___________地方法院                                     _______檢察署</t>
        </is>
      </c>
      <c r="F2" s="580" t="n"/>
      <c r="G2" s="580" t="n"/>
      <c r="H2" s="580" t="n"/>
      <c r="I2" s="580" t="n"/>
      <c r="J2" s="580" t="n"/>
      <c r="K2" s="580" t="n"/>
      <c r="L2" s="580" t="n"/>
      <c r="M2" s="580" t="n"/>
      <c r="N2" s="580" t="n"/>
      <c r="O2" s="580" t="n"/>
      <c r="P2" s="580" t="n"/>
      <c r="Q2" s="581" t="n"/>
    </row>
    <row r="3" ht="24" customHeight="1" s="680">
      <c r="A3" s="609" t="n"/>
      <c r="D3" s="611" t="n"/>
      <c r="E3" s="805">
        <f>CONCATENATE("__",輸入!$S$18,"__",輸入!$T$18,"___",輸入!$S$19,"___",輸入!$T$19,"___隊___",輸入!$S$20,"__分駐/派出所")</f>
        <v/>
      </c>
      <c r="Q3" s="611" t="n"/>
    </row>
    <row r="4" ht="24" customHeight="1" s="680">
      <c r="A4" s="582" t="n"/>
      <c r="B4" s="583" t="n"/>
      <c r="C4" s="583" t="n"/>
      <c r="D4" s="584" t="n"/>
      <c r="E4" s="812" t="inlineStr">
        <is>
          <t>法務部調查局           ________ 調查處/站/組  其他：           ____ (請各單位自行填寫)</t>
        </is>
      </c>
      <c r="F4" s="583" t="n"/>
      <c r="G4" s="583" t="n"/>
      <c r="H4" s="583" t="n"/>
      <c r="I4" s="583" t="n"/>
      <c r="J4" s="583" t="n"/>
      <c r="K4" s="583" t="n"/>
      <c r="L4" s="583" t="n"/>
      <c r="M4" s="583" t="n"/>
      <c r="N4" s="583" t="n"/>
      <c r="O4" s="583" t="n"/>
      <c r="P4" s="583" t="n"/>
      <c r="Q4" s="584" t="n"/>
    </row>
    <row r="5" ht="33" customHeight="1" s="680">
      <c r="A5" s="777" t="inlineStr">
        <is>
          <t>當事人姓名</t>
        </is>
      </c>
      <c r="B5" s="577" t="n"/>
      <c r="C5" s="577" t="n"/>
      <c r="D5" s="574" t="n"/>
      <c r="E5" s="806">
        <f>word用!$H$2</f>
        <v/>
      </c>
      <c r="F5" s="583" t="n"/>
      <c r="G5" s="583" t="n"/>
      <c r="H5" s="584" t="n"/>
      <c r="I5" s="811" t="n"/>
      <c r="J5" s="611" t="n"/>
      <c r="K5" s="808" t="inlineStr">
        <is>
          <t xml:space="preserve">  □原住民族：_____________族。</t>
        </is>
      </c>
      <c r="L5" s="580" t="n"/>
      <c r="M5" s="580" t="n"/>
      <c r="N5" s="580" t="n"/>
      <c r="O5" s="580" t="n"/>
      <c r="P5" s="580" t="n"/>
      <c r="Q5" s="581" t="n"/>
    </row>
    <row r="6" ht="27" customHeight="1" s="680">
      <c r="A6" s="777" t="inlineStr">
        <is>
          <t>當事人電話</t>
        </is>
      </c>
      <c r="B6" s="577" t="n"/>
      <c r="C6" s="577" t="n"/>
      <c r="D6" s="574" t="n"/>
      <c r="E6" s="579">
        <f>IF(word用!$K$2="0","",word用!$K$2)</f>
        <v/>
      </c>
      <c r="F6" s="577" t="n"/>
      <c r="G6" s="577" t="n"/>
      <c r="H6" s="574" t="n"/>
      <c r="I6" s="788" t="inlineStr">
        <is>
          <t>身分別（僅限符合右列情形使用）</t>
        </is>
      </c>
      <c r="J6" s="611" t="n"/>
      <c r="K6" s="784" t="inlineStr">
        <is>
          <t xml:space="preserve"> □因身心障礙，致無法為完全之陳述。
   *障礙別為第【          】類
   （身心障礙者不以持有證明者為限。障礙類別代
   碼，可參身心障礙證明背面資訊填載）</t>
        </is>
      </c>
      <c r="Q6" s="611" t="n"/>
    </row>
    <row r="7" ht="43.5" customHeight="1" s="680">
      <c r="A7" s="777" t="inlineStr">
        <is>
          <t>身分證
居留證/護照</t>
        </is>
      </c>
      <c r="B7" s="577" t="n"/>
      <c r="C7" s="577" t="n"/>
      <c r="D7" s="574" t="n"/>
      <c r="E7" s="579">
        <f>UPPER(VLOOKUP($E$5,個資,2,FALSE))</f>
        <v/>
      </c>
      <c r="F7" s="577" t="n"/>
      <c r="G7" s="577" t="n"/>
      <c r="H7" s="574" t="n"/>
      <c r="I7" s="609" t="n"/>
      <c r="J7" s="611" t="n"/>
      <c r="K7" s="609" t="n"/>
      <c r="Q7" s="611" t="n"/>
    </row>
    <row r="8" ht="27.75" customHeight="1" s="680">
      <c r="A8" s="777" t="inlineStr">
        <is>
          <t>涉犯罪名</t>
        </is>
      </c>
      <c r="B8" s="580" t="n"/>
      <c r="C8" s="580" t="n"/>
      <c r="D8" s="581" t="n"/>
      <c r="E8" s="785">
        <f>呈報單!$G$15</f>
        <v/>
      </c>
      <c r="F8" s="580" t="n"/>
      <c r="G8" s="580" t="n"/>
      <c r="H8" s="581" t="n"/>
      <c r="I8" s="609" t="n"/>
      <c r="J8" s="611" t="n"/>
      <c r="K8" s="795" t="inlineStr">
        <is>
          <t xml:space="preserve"> □少年(12歲以上18歲未滿之人)</t>
        </is>
      </c>
      <c r="Q8" s="611" t="n"/>
    </row>
    <row r="9" ht="27.75" customHeight="1" s="680">
      <c r="A9" s="609" t="n"/>
      <c r="D9" s="611" t="n"/>
      <c r="E9" s="609" t="n"/>
      <c r="H9" s="611" t="n"/>
      <c r="I9" s="609" t="n"/>
      <c r="J9" s="611" t="n"/>
      <c r="K9" s="818" t="inlineStr">
        <is>
          <t xml:space="preserve"> □第一次接受訊問，涉犯最輕本刑三年以上有
   期徒刑或高等法院管轄第一審之罪。
 □非第一次接受訊問，涉犯殺人罪(§271第1項)、
   妨害性自主殺人罪(§226之1前段)、強盜殺人罪(§
   332第1項)、擄人勒贖殺人罪(§348第1項)。</t>
        </is>
      </c>
      <c r="Q9" s="611" t="n"/>
    </row>
    <row r="10" ht="58.5" customHeight="1" s="680">
      <c r="A10" s="582" t="n"/>
      <c r="B10" s="583" t="n"/>
      <c r="C10" s="583" t="n"/>
      <c r="D10" s="584" t="n"/>
      <c r="E10" s="814" t="inlineStr">
        <is>
          <t>如涉犯殺人罪者請勾選：刑法□§271I殺人罪、□§226-1前段妨害性自主殺人罪、□§332 I強盜殺人罪、□§348I擄人勒贖殺人罪、□其他</t>
        </is>
      </c>
      <c r="F10" s="583" t="n"/>
      <c r="G10" s="583" t="n"/>
      <c r="H10" s="584" t="n"/>
      <c r="I10" s="582" t="n"/>
      <c r="J10" s="584" t="n"/>
      <c r="K10" s="582" t="n"/>
      <c r="L10" s="583" t="n"/>
      <c r="M10" s="583" t="n"/>
      <c r="N10" s="583" t="n"/>
      <c r="O10" s="583" t="n"/>
      <c r="P10" s="583" t="n"/>
      <c r="Q10" s="584" t="n"/>
    </row>
    <row r="11" ht="22.5" customHeight="1" s="680">
      <c r="A11" s="793" t="inlineStr">
        <is>
          <t>預計偵訊時間：______年______月_______日_______時________分</t>
        </is>
      </c>
      <c r="B11" s="580" t="n"/>
      <c r="C11" s="580" t="n"/>
      <c r="D11" s="580" t="n"/>
      <c r="E11" s="580" t="n"/>
      <c r="F11" s="580" t="n"/>
      <c r="G11" s="580" t="n"/>
      <c r="H11" s="580" t="n"/>
      <c r="I11" s="580" t="n"/>
      <c r="J11" s="580" t="n"/>
      <c r="K11" s="580" t="n"/>
      <c r="L11" s="580" t="n"/>
      <c r="M11" s="580" t="n"/>
      <c r="N11" s="580" t="n"/>
      <c r="O11" s="580" t="n"/>
      <c r="P11" s="580" t="n"/>
      <c r="Q11" s="581" t="n"/>
    </row>
    <row r="12" ht="22.5" customHeight="1" s="680">
      <c r="A12" s="810">
        <f>CONCATENATE("偵訊機關地址：",輸入!S23)</f>
        <v/>
      </c>
      <c r="B12" s="583" t="n"/>
      <c r="C12" s="583" t="n"/>
      <c r="D12" s="583" t="n"/>
      <c r="E12" s="583" t="n"/>
      <c r="F12" s="583" t="n"/>
      <c r="G12" s="583" t="n"/>
      <c r="H12" s="583" t="n"/>
      <c r="I12" s="583" t="n"/>
      <c r="J12" s="583" t="n"/>
      <c r="K12" s="583" t="n"/>
      <c r="L12" s="583" t="n"/>
      <c r="M12" s="583" t="n"/>
      <c r="N12" s="583" t="n"/>
      <c r="O12" s="583" t="n"/>
      <c r="P12" s="583" t="n"/>
      <c r="Q12" s="584" t="n"/>
    </row>
    <row r="13" ht="27" customHeight="1" s="680">
      <c r="B13" s="797" t="inlineStr">
        <is>
          <t>由當事人自行填寫</t>
        </is>
      </c>
      <c r="C13" s="611" t="n"/>
      <c r="D13" s="813" t="inlineStr">
        <is>
          <t xml:space="preserve"> □需要陪偵律師</t>
        </is>
      </c>
      <c r="F13" s="611" t="n"/>
      <c r="G13" s="790" t="inlineStr">
        <is>
          <t xml:space="preserve"> 請自本通知單傳真到達法扶起，協助指派律師到達通報機關所在地點。經法扶
 回傳本通知單起4小時後，若無律師到場，將逕行依法詢問。</t>
        </is>
      </c>
      <c r="P13" s="791" t="n"/>
    </row>
    <row r="14" ht="12" customHeight="1" s="680">
      <c r="B14" s="731" t="n"/>
      <c r="C14" s="611" t="n"/>
      <c r="D14" s="732" t="n"/>
      <c r="E14" s="583" t="n"/>
      <c r="F14" s="584" t="n"/>
      <c r="G14" s="582" t="n"/>
      <c r="H14" s="583" t="n"/>
      <c r="I14" s="583" t="n"/>
      <c r="J14" s="583" t="n"/>
      <c r="K14" s="583" t="n"/>
      <c r="L14" s="583" t="n"/>
      <c r="M14" s="583" t="n"/>
      <c r="N14" s="583" t="n"/>
      <c r="O14" s="583" t="n"/>
      <c r="P14" s="792" t="n"/>
    </row>
    <row r="15" ht="19.5" customHeight="1" s="680">
      <c r="B15" s="731" t="n"/>
      <c r="C15" s="611" t="n"/>
      <c r="D15" s="779" t="inlineStr">
        <is>
          <t xml:space="preserve"> □當事人表示
  不需要陪偵律師</t>
        </is>
      </c>
      <c r="E15" s="580" t="n"/>
      <c r="F15" s="581" t="n"/>
      <c r="G15" s="798" t="inlineStr">
        <is>
          <t xml:space="preserve"> 當事人所述原因：</t>
        </is>
      </c>
      <c r="H15" s="580" t="n"/>
      <c r="I15" s="580" t="n"/>
      <c r="J15" s="580" t="n"/>
      <c r="K15" s="580" t="n"/>
      <c r="L15" s="581" t="n"/>
      <c r="M15" s="786" t="inlineStr">
        <is>
          <t xml:space="preserve">當事人
簽名 </t>
        </is>
      </c>
      <c r="N15" s="581" t="n"/>
      <c r="O15" s="402" t="n"/>
      <c r="P15" s="403" t="n"/>
    </row>
    <row r="16" ht="18" customHeight="1" s="680">
      <c r="B16" s="731" t="n"/>
      <c r="C16" s="611" t="n"/>
      <c r="D16" s="731" t="n"/>
      <c r="F16" s="611" t="n"/>
      <c r="G16" s="809" t="inlineStr">
        <is>
          <t xml:space="preserve">  □不需要律師，可自行處理</t>
        </is>
      </c>
      <c r="L16" s="611" t="n"/>
      <c r="M16" s="609" t="n"/>
      <c r="N16" s="611" t="n"/>
      <c r="O16" s="404" t="n"/>
      <c r="P16" s="405" t="n"/>
    </row>
    <row r="17" ht="18" customHeight="1" s="680">
      <c r="B17" s="731" t="n"/>
      <c r="C17" s="611" t="n"/>
      <c r="D17" s="731" t="n"/>
      <c r="F17" s="611" t="n"/>
      <c r="G17" s="819" t="inlineStr">
        <is>
          <t xml:space="preserve">  □不願等候律師到場</t>
        </is>
      </c>
      <c r="L17" s="611" t="n"/>
      <c r="M17" s="609" t="n"/>
      <c r="N17" s="611" t="n"/>
      <c r="O17" s="799" t="inlineStr">
        <is>
          <t xml:space="preserve"> 註：本會指派律師均不收費</t>
        </is>
      </c>
      <c r="P17" s="727" t="n"/>
    </row>
    <row r="18" ht="20.25" customHeight="1" s="680" thickBot="1">
      <c r="B18" s="732" t="n"/>
      <c r="C18" s="584" t="n"/>
      <c r="D18" s="781" t="n"/>
      <c r="E18" s="769" t="n"/>
      <c r="F18" s="782" t="n"/>
      <c r="G18" s="787" t="inlineStr">
        <is>
          <t xml:space="preserve">  □已自行委任律師</t>
        </is>
      </c>
      <c r="H18" s="769" t="n"/>
      <c r="I18" s="769" t="n"/>
      <c r="J18" s="769" t="n"/>
      <c r="K18" s="769" t="n"/>
      <c r="L18" s="782" t="n"/>
      <c r="M18" s="582" t="n"/>
      <c r="N18" s="584" t="n"/>
      <c r="O18" s="800" t="n"/>
      <c r="P18" s="801" t="n"/>
    </row>
    <row r="19" ht="66" customHeight="1" s="680" thickBot="1">
      <c r="B19" s="802" t="inlineStr">
        <is>
          <t>※請適時保護自己：1.您可以詢問自己罪名是什麼；2.可以請求律師到場；3.律師到  場前，可以不回答問題；4.律師
  到場後，有充分時間與律師討論案情。
※申請律師後最遲於 45 分鐘內即可得知有無律師；律師平均約 1~4 小時抵達偵訊機關。如後續有偵查中辯護或法
  律扶助之需求，可請陪偵律師協助您填寫「法律扶助申請書」進行申請。</t>
        </is>
      </c>
      <c r="C19" s="803" t="n"/>
      <c r="D19" s="803" t="n"/>
      <c r="E19" s="803" t="n"/>
      <c r="F19" s="803" t="n"/>
      <c r="G19" s="803" t="n"/>
      <c r="H19" s="803" t="n"/>
      <c r="I19" s="803" t="n"/>
      <c r="J19" s="803" t="n"/>
      <c r="K19" s="803" t="n"/>
      <c r="L19" s="803" t="n"/>
      <c r="M19" s="803" t="n"/>
      <c r="N19" s="803" t="n"/>
      <c r="O19" s="803" t="n"/>
      <c r="P19" s="804" t="n"/>
    </row>
    <row r="20" ht="24" customHeight="1" s="680">
      <c r="B20" s="1195" t="n"/>
      <c r="C20" s="807" t="inlineStr">
        <is>
          <t>通報機關聯絡人</t>
        </is>
      </c>
      <c r="E20" s="611" t="n"/>
      <c r="F20" s="816">
        <f>CONCATENATE(輸入!$T$24,"  ",輸入!$U$24,)</f>
        <v/>
      </c>
      <c r="G20" s="721" t="n"/>
      <c r="H20" s="721" t="n"/>
      <c r="I20" s="721" t="n"/>
      <c r="J20" s="817" t="n"/>
      <c r="K20" s="777" t="inlineStr">
        <is>
          <t>電話</t>
        </is>
      </c>
      <c r="L20" s="789">
        <f>輸入!$T$21</f>
        <v/>
      </c>
      <c r="M20" s="577" t="n"/>
      <c r="N20" s="577" t="n"/>
      <c r="O20" s="574" t="n"/>
      <c r="P20" s="1195" t="n"/>
    </row>
    <row r="21" ht="25.5" customHeight="1" s="680">
      <c r="B21" s="1195" t="n"/>
      <c r="C21" s="582" t="n"/>
      <c r="D21" s="583" t="n"/>
      <c r="E21" s="584" t="n"/>
      <c r="F21" s="582" t="n"/>
      <c r="G21" s="583" t="n"/>
      <c r="H21" s="583" t="n"/>
      <c r="I21" s="583" t="n"/>
      <c r="J21" s="584" t="n"/>
      <c r="K21" s="777" t="inlineStr">
        <is>
          <t>傳真</t>
        </is>
      </c>
      <c r="L21" s="789">
        <f>輸入!$T$22</f>
        <v/>
      </c>
      <c r="M21" s="577" t="n"/>
      <c r="N21" s="577" t="n"/>
      <c r="O21" s="574" t="n"/>
      <c r="P21" s="1195" t="n"/>
    </row>
    <row r="22" ht="24" customHeight="1" s="680">
      <c r="B22" s="1195" t="n"/>
      <c r="C22" s="777" t="inlineStr">
        <is>
          <t>傳真通知法扶時間</t>
        </is>
      </c>
      <c r="D22" s="577" t="n"/>
      <c r="E22" s="574" t="n"/>
      <c r="F22" s="765" t="inlineStr">
        <is>
          <t xml:space="preserve">   年    月   日     時     分</t>
        </is>
      </c>
      <c r="G22" s="577" t="n"/>
      <c r="H22" s="577" t="n"/>
      <c r="I22" s="577" t="n"/>
      <c r="J22" s="577" t="n"/>
      <c r="K22" s="577" t="n"/>
      <c r="L22" s="577" t="n"/>
      <c r="M22" s="577" t="n"/>
      <c r="N22" s="577" t="n"/>
      <c r="O22" s="574" t="n"/>
      <c r="P22" s="1195" t="n"/>
    </row>
    <row r="23" ht="36.75" customHeight="1" s="680">
      <c r="B23" s="1195" t="n"/>
      <c r="C23" s="777" t="inlineStr">
        <is>
          <t>表單下載</t>
        </is>
      </c>
      <c r="D23" s="577" t="n"/>
      <c r="E23" s="574" t="n"/>
      <c r="F23" s="655" t="inlineStr">
        <is>
          <t>法扶會官網（http://www.laf.org.tw）下載路徑：下載專區&gt;&gt;檢警專案。
傳真後請致電客服中心，確認是否收到，謝謝。</t>
        </is>
      </c>
      <c r="G23" s="577" t="n"/>
      <c r="H23" s="577" t="n"/>
      <c r="I23" s="577" t="n"/>
      <c r="J23" s="577" t="n"/>
      <c r="K23" s="577" t="n"/>
      <c r="L23" s="577" t="n"/>
      <c r="M23" s="577" t="n"/>
      <c r="N23" s="577" t="n"/>
      <c r="O23" s="574" t="n"/>
      <c r="P23" s="1195" t="n"/>
    </row>
    <row r="24" ht="18.75" customHeight="1" s="680">
      <c r="B24" s="1195" t="n"/>
      <c r="C24" s="446" t="n"/>
      <c r="D24" s="446" t="n"/>
      <c r="E24" s="446" t="n"/>
      <c r="F24" s="422" t="n"/>
      <c r="G24" s="422" t="n"/>
      <c r="H24" s="422" t="n"/>
      <c r="I24" s="422" t="n"/>
      <c r="J24" s="422" t="n"/>
      <c r="K24" s="422" t="n"/>
      <c r="L24" s="422" t="n"/>
      <c r="M24" s="422" t="n"/>
      <c r="N24" s="422" t="n"/>
      <c r="O24" s="422" t="n"/>
      <c r="P24" s="1195" t="n"/>
    </row>
    <row r="25" ht="20.25" customHeight="1" s="680">
      <c r="B25" s="401" t="inlineStr">
        <is>
          <t xml:space="preserve"> </t>
        </is>
      </c>
      <c r="C25" s="423" t="n"/>
      <c r="D25" s="423" t="n"/>
      <c r="E25" s="423" t="n"/>
      <c r="F25" s="423" t="n"/>
      <c r="G25" s="424" t="inlineStr">
        <is>
          <t>以下欄位由 法律扶助基金會-檢警客服中心 填寫</t>
        </is>
      </c>
      <c r="H25" s="424" t="n"/>
      <c r="I25" s="424" t="n"/>
      <c r="J25" s="424" t="n"/>
      <c r="K25" s="424" t="n"/>
      <c r="L25" s="424" t="n"/>
      <c r="M25" s="424" t="n"/>
      <c r="N25" s="424" t="n"/>
      <c r="O25" s="424" t="n"/>
      <c r="P25" s="401" t="n"/>
    </row>
    <row r="26" ht="29.25" customHeight="1" s="680">
      <c r="C26" s="794" t="inlineStr">
        <is>
          <t>是否指派律師</t>
        </is>
      </c>
      <c r="D26" s="580" t="n"/>
      <c r="E26" s="581" t="n"/>
      <c r="F26" s="798" t="inlineStr">
        <is>
          <t xml:space="preserve"> □是 □否，原因：□不符合身分別   □無律師可前往   □其他：</t>
        </is>
      </c>
      <c r="G26" s="580" t="n"/>
      <c r="H26" s="580" t="n"/>
      <c r="I26" s="580" t="n"/>
      <c r="J26" s="580" t="n"/>
      <c r="K26" s="580" t="n"/>
      <c r="L26" s="580" t="n"/>
      <c r="M26" s="580" t="n"/>
      <c r="N26" s="580" t="n"/>
      <c r="O26" s="581" t="n"/>
    </row>
    <row r="27" ht="21.75" customHeight="1" s="680">
      <c r="C27" s="777" t="inlineStr">
        <is>
          <t>律師預計到場時間</t>
        </is>
      </c>
      <c r="D27" s="577" t="n"/>
      <c r="E27" s="574" t="n"/>
      <c r="F27" s="783" t="inlineStr">
        <is>
          <t xml:space="preserve">　　　　年　　　　月　　　　日　　　　時　　　　分（24小時制）</t>
        </is>
      </c>
      <c r="G27" s="577" t="n"/>
      <c r="H27" s="577" t="n"/>
      <c r="I27" s="577" t="n"/>
      <c r="J27" s="577" t="n"/>
      <c r="K27" s="577" t="n"/>
      <c r="L27" s="577" t="n"/>
      <c r="M27" s="577" t="n"/>
      <c r="N27" s="577" t="n"/>
      <c r="O27" s="574" t="n"/>
    </row>
    <row r="28" ht="33.75" customHeight="1" s="680">
      <c r="C28" s="786" t="inlineStr">
        <is>
          <t>陪訊律師姓名</t>
        </is>
      </c>
      <c r="D28" s="577" t="n"/>
      <c r="E28" s="574" t="n"/>
      <c r="F28" s="573" t="n"/>
      <c r="G28" s="577" t="n"/>
      <c r="H28" s="577" t="n"/>
      <c r="I28" s="577" t="n"/>
      <c r="J28" s="574" t="n"/>
      <c r="K28" s="786" t="inlineStr">
        <is>
          <t>陪訊律師電話</t>
        </is>
      </c>
      <c r="L28" s="574" t="n"/>
      <c r="M28" s="587" t="n"/>
      <c r="N28" s="577" t="n"/>
      <c r="O28" s="574" t="n"/>
    </row>
    <row r="29" ht="21" customHeight="1" s="680">
      <c r="C29" s="794" t="inlineStr">
        <is>
          <t>客服中心承辦人</t>
        </is>
      </c>
      <c r="D29" s="580" t="n"/>
      <c r="E29" s="581" t="n"/>
      <c r="F29" s="573" t="n"/>
      <c r="G29" s="574" t="n"/>
      <c r="H29" s="777" t="inlineStr">
        <is>
          <t>電話</t>
        </is>
      </c>
      <c r="I29" s="815" t="inlineStr">
        <is>
          <t>02-2559-2119</t>
        </is>
      </c>
      <c r="J29" s="577" t="n"/>
      <c r="K29" s="577" t="n"/>
      <c r="L29" s="577" t="n"/>
      <c r="M29" s="574" t="n"/>
      <c r="N29" s="486" t="inlineStr">
        <is>
          <t>傳真</t>
        </is>
      </c>
      <c r="O29" s="421" t="inlineStr">
        <is>
          <t>02-2322-5587</t>
        </is>
      </c>
      <c r="P29" s="419" t="n"/>
      <c r="Q29" s="420" t="n"/>
    </row>
    <row r="30" ht="22.5" customHeight="1" s="680">
      <c r="C30" s="777" t="inlineStr">
        <is>
          <t>回傳通報機關時間</t>
        </is>
      </c>
      <c r="D30" s="577" t="n"/>
      <c r="E30" s="574" t="n"/>
      <c r="F30" s="765" t="inlineStr">
        <is>
          <t xml:space="preserve">　　　　年　　　　月　　　　日　　　　時　　　　分（24小時制）</t>
        </is>
      </c>
      <c r="G30" s="577" t="n"/>
      <c r="H30" s="577" t="n"/>
      <c r="I30" s="577" t="n"/>
      <c r="J30" s="577" t="n"/>
      <c r="K30" s="577" t="n"/>
      <c r="L30" s="577" t="n"/>
      <c r="M30" s="577" t="n"/>
      <c r="N30" s="577" t="n"/>
      <c r="O30" s="574" t="n"/>
    </row>
  </sheetData>
  <mergeCells count="54">
    <mergeCell ref="F22:O22"/>
    <mergeCell ref="A5:D5"/>
    <mergeCell ref="E2:Q2"/>
    <mergeCell ref="D15:F18"/>
    <mergeCell ref="F27:O27"/>
    <mergeCell ref="F29:G29"/>
    <mergeCell ref="A8:D10"/>
    <mergeCell ref="E8:H9"/>
    <mergeCell ref="M15:N18"/>
    <mergeCell ref="A2:D4"/>
    <mergeCell ref="G18:L18"/>
    <mergeCell ref="C22:E22"/>
    <mergeCell ref="I6:J10"/>
    <mergeCell ref="L21:O21"/>
    <mergeCell ref="G13:P14"/>
    <mergeCell ref="E7:H7"/>
    <mergeCell ref="A11:Q11"/>
    <mergeCell ref="A1:Q1"/>
    <mergeCell ref="B13:C18"/>
    <mergeCell ref="M28:O28"/>
    <mergeCell ref="G15:L15"/>
    <mergeCell ref="O17:P18"/>
    <mergeCell ref="C27:E27"/>
    <mergeCell ref="C23:E23"/>
    <mergeCell ref="B19:P19"/>
    <mergeCell ref="E3:Q3"/>
    <mergeCell ref="E5:H5"/>
    <mergeCell ref="C20:E21"/>
    <mergeCell ref="K5:Q5"/>
    <mergeCell ref="C28:E28"/>
    <mergeCell ref="G16:L16"/>
    <mergeCell ref="A6:D6"/>
    <mergeCell ref="A12:Q12"/>
    <mergeCell ref="F30:O30"/>
    <mergeCell ref="A7:D7"/>
    <mergeCell ref="I5:J5"/>
    <mergeCell ref="F28:J28"/>
    <mergeCell ref="E4:Q4"/>
    <mergeCell ref="C30:E30"/>
    <mergeCell ref="D13:F14"/>
    <mergeCell ref="E10:H10"/>
    <mergeCell ref="I29:M29"/>
    <mergeCell ref="F26:O26"/>
    <mergeCell ref="F20:J21"/>
    <mergeCell ref="K28:L28"/>
    <mergeCell ref="K9:Q10"/>
    <mergeCell ref="E6:H6"/>
    <mergeCell ref="G17:L17"/>
    <mergeCell ref="C26:E26"/>
    <mergeCell ref="L20:O20"/>
    <mergeCell ref="C29:E29"/>
    <mergeCell ref="K8:Q8"/>
    <mergeCell ref="F23:O23"/>
    <mergeCell ref="K6:Q7"/>
  </mergeCells>
  <pageMargins left="0.2362204724409449" right="0.2362204724409449" top="0.7480314960629921" bottom="0.7480314960629921" header="0.3149606299212598" footer="0.3149606299212598"/>
  <pageSetup orientation="portrait" paperSize="9" scale="93"/>
</worksheet>
</file>

<file path=xl/worksheets/sheet20.xml><?xml version="1.0" encoding="utf-8"?>
<worksheet xmlns="http://schemas.openxmlformats.org/spreadsheetml/2006/main">
  <sheetPr codeName="工作表16">
    <tabColor rgb="FF92D050"/>
    <outlinePr summaryBelow="1" summaryRight="1"/>
    <pageSetUpPr/>
  </sheetPr>
  <dimension ref="A1:G16"/>
  <sheetViews>
    <sheetView view="pageBreakPreview" zoomScale="85" zoomScaleNormal="100" zoomScaleSheetLayoutView="85" zoomScalePageLayoutView="85" workbookViewId="0">
      <selection activeCell="G4" sqref="G4:G5"/>
    </sheetView>
  </sheetViews>
  <sheetFormatPr baseColWidth="8" defaultRowHeight="16.5"/>
  <cols>
    <col width="10.75" customWidth="1" style="680" min="6" max="6"/>
    <col width="30.125" customWidth="1" style="680" min="7" max="7"/>
  </cols>
  <sheetData>
    <row r="1" ht="26.25" customHeight="1" s="680" thickTop="1">
      <c r="A1" s="829">
        <f>CONCATENATE(輸入!$S$18,輸入!$T$18,輸入!$S$19,輸入!$T$19)</f>
        <v/>
      </c>
      <c r="B1" s="830" t="n"/>
      <c r="C1" s="830" t="n"/>
      <c r="D1" s="830" t="n"/>
      <c r="E1" s="830" t="n"/>
      <c r="F1" s="830" t="n"/>
      <c r="G1" s="831" t="n"/>
    </row>
    <row r="2" ht="49.5" customHeight="1" s="680" thickBot="1">
      <c r="A2" s="845" t="inlineStr">
        <is>
          <t>刑法第185條之3第1項第1款酒精呼氣測定紀錄表</t>
        </is>
      </c>
      <c r="B2" s="670" t="n"/>
      <c r="C2" s="670" t="n"/>
      <c r="D2" s="670" t="n"/>
      <c r="E2" s="670" t="n"/>
      <c r="F2" s="670" t="n"/>
      <c r="G2" s="671" t="n"/>
    </row>
    <row r="3" ht="32.25" customHeight="1" s="680" thickBot="1">
      <c r="A3" s="824" t="inlineStr">
        <is>
          <t>受測人姓名</t>
        </is>
      </c>
      <c r="B3" s="804" t="n"/>
      <c r="C3" s="837">
        <f>word用!H2</f>
        <v/>
      </c>
      <c r="D3" s="803" t="n"/>
      <c r="E3" s="804" t="n"/>
      <c r="F3" s="490" t="inlineStr">
        <is>
          <t>測定時間</t>
        </is>
      </c>
      <c r="G3" s="119">
        <f>調閱用!$G$24</f>
        <v/>
      </c>
    </row>
    <row r="4" ht="16.5" customHeight="1" s="680">
      <c r="A4" s="822" t="inlineStr">
        <is>
          <t>當事人自述</t>
        </is>
      </c>
      <c r="B4" s="823" t="n"/>
      <c r="C4" s="1333">
        <f>IF(ISBLANK(輸入!$H$8),"    時    分",輸入!$H$8)</f>
        <v/>
      </c>
      <c r="D4" s="721" t="n"/>
      <c r="E4" s="847" t="n"/>
      <c r="F4" s="837" t="inlineStr">
        <is>
          <t>是否漱口</t>
        </is>
      </c>
      <c r="G4" s="839" t="inlineStr">
        <is>
          <t>□是 □否</t>
        </is>
      </c>
    </row>
    <row r="5" ht="16.5" customHeight="1" s="680" thickBot="1">
      <c r="A5" s="844" t="inlineStr">
        <is>
          <t>喝酒後經過時間</t>
        </is>
      </c>
      <c r="B5" s="801" t="n"/>
      <c r="C5" s="843" t="n"/>
      <c r="D5" s="670" t="n"/>
      <c r="E5" s="801" t="n"/>
      <c r="F5" s="838" t="n"/>
      <c r="G5" s="840" t="n"/>
    </row>
    <row r="6" ht="16.5" customHeight="1" s="680">
      <c r="A6" s="832" t="inlineStr">
        <is>
          <t>酒精測定
方式與結果</t>
        </is>
      </c>
      <c r="B6" s="833" t="n"/>
      <c r="C6" s="835" t="inlineStr">
        <is>
          <t xml:space="preserve"> V以呼氣測試酒精濃度 (附測定表)</t>
        </is>
      </c>
      <c r="D6" s="721" t="n"/>
      <c r="E6" s="721" t="n"/>
      <c r="F6" s="721" t="n"/>
      <c r="G6" s="836" t="n"/>
    </row>
    <row r="7" ht="16.5" customHeight="1" s="680">
      <c r="A7" s="665" t="n"/>
      <c r="B7" s="727" t="n"/>
      <c r="C7" s="825" t="inlineStr">
        <is>
          <t>□以抽血檢驗酒精濃度 (附檢驗單)</t>
        </is>
      </c>
      <c r="G7" s="669" t="n"/>
    </row>
    <row r="8" ht="33" customHeight="1" s="680">
      <c r="A8" s="665" t="n"/>
      <c r="B8" s="727" t="n"/>
      <c r="C8" s="825" t="inlineStr">
        <is>
          <t>□以_________(尿液、唾液或其他檢體)檢驗酒精濃度(附檢驗單)</t>
        </is>
      </c>
      <c r="G8" s="669" t="n"/>
    </row>
    <row r="9" ht="33" customHeight="1" s="680" thickBot="1">
      <c r="A9" s="834" t="n"/>
      <c r="B9" s="801" t="n"/>
      <c r="C9" s="820" t="inlineStr">
        <is>
          <t>□抽血檢驗酒精濃度(mg/dL)換算百分比濃度為：     ％ 【(mg/dL)/1000】</t>
        </is>
      </c>
      <c r="D9" s="769" t="n"/>
      <c r="E9" s="769" t="n"/>
      <c r="F9" s="769" t="n"/>
      <c r="G9" s="821" t="n"/>
    </row>
    <row r="10" ht="212.25" customHeight="1" s="680">
      <c r="A10" s="832" t="inlineStr">
        <is>
          <t>酒精濃度
檢測單</t>
        </is>
      </c>
      <c r="B10" s="833" t="n"/>
      <c r="C10" s="841" t="inlineStr">
        <is>
          <t>( 黏貼處 )</t>
        </is>
      </c>
      <c r="D10" s="721" t="n"/>
      <c r="E10" s="721" t="n"/>
      <c r="F10" s="721" t="n"/>
      <c r="G10" s="842" t="n"/>
    </row>
    <row r="11" ht="261.75" customHeight="1" s="680" thickBot="1">
      <c r="A11" s="834" t="n"/>
      <c r="B11" s="801" t="n"/>
      <c r="C11" s="843" t="n"/>
      <c r="D11" s="670" t="n"/>
      <c r="E11" s="670" t="n"/>
      <c r="F11" s="670" t="n"/>
      <c r="G11" s="671" t="n"/>
    </row>
    <row r="12">
      <c r="A12" s="118" t="inlineStr">
        <is>
          <t>填</t>
        </is>
      </c>
      <c r="B12" s="826" t="n"/>
      <c r="C12" s="722" t="n"/>
      <c r="D12" s="489" t="inlineStr">
        <is>
          <t>備</t>
        </is>
      </c>
      <c r="E12" s="848" t="n"/>
      <c r="F12" s="721" t="n"/>
      <c r="G12" s="836" t="n"/>
    </row>
    <row r="13">
      <c r="A13" s="118" t="inlineStr">
        <is>
          <t>表</t>
        </is>
      </c>
      <c r="B13" s="731" t="n"/>
      <c r="C13" s="791" t="n"/>
      <c r="D13" s="489" t="n"/>
      <c r="E13" s="731" t="n"/>
      <c r="G13" s="849" t="n"/>
    </row>
    <row r="14" ht="17.25" customHeight="1" s="680" thickBot="1">
      <c r="A14" s="117" t="inlineStr">
        <is>
          <t>人</t>
        </is>
      </c>
      <c r="B14" s="827" t="n"/>
      <c r="C14" s="828" t="n"/>
      <c r="D14" s="116" t="inlineStr">
        <is>
          <t>註</t>
        </is>
      </c>
      <c r="E14" s="827" t="n"/>
      <c r="F14" s="850" t="n"/>
      <c r="G14" s="851" t="n"/>
    </row>
    <row r="15" ht="17.25" customHeight="1" s="680" thickTop="1">
      <c r="A15" s="115" t="n"/>
      <c r="B15" s="115" t="n"/>
      <c r="C15" s="115" t="n"/>
      <c r="D15" s="115" t="n"/>
      <c r="E15" s="115" t="n"/>
      <c r="F15" s="115" t="n"/>
      <c r="G15" s="115" t="n"/>
    </row>
    <row r="16">
      <c r="A16" s="108" t="n"/>
    </row>
  </sheetData>
  <mergeCells count="18">
    <mergeCell ref="A4:B4"/>
    <mergeCell ref="C9:G9"/>
    <mergeCell ref="C7:G7"/>
    <mergeCell ref="B12:C14"/>
    <mergeCell ref="A1:G1"/>
    <mergeCell ref="A6:B9"/>
    <mergeCell ref="C6:G6"/>
    <mergeCell ref="F4:F5"/>
    <mergeCell ref="G4:G5"/>
    <mergeCell ref="C10:G11"/>
    <mergeCell ref="A5:B5"/>
    <mergeCell ref="A10:B11"/>
    <mergeCell ref="A2:G2"/>
    <mergeCell ref="C4:E5"/>
    <mergeCell ref="C3:E3"/>
    <mergeCell ref="E12:G14"/>
    <mergeCell ref="C8:G8"/>
    <mergeCell ref="A3:B3"/>
  </mergeCells>
  <pageMargins left="0.7" right="0.7" top="0.75" bottom="0.75" header="0.3" footer="0.3"/>
  <pageSetup orientation="portrait" paperSize="9"/>
</worksheet>
</file>

<file path=xl/worksheets/sheet21.xml><?xml version="1.0" encoding="utf-8"?>
<worksheet xmlns="http://schemas.openxmlformats.org/spreadsheetml/2006/main">
  <sheetPr codeName="工作表17">
    <tabColor rgb="FF92D050"/>
    <outlinePr summaryBelow="1" summaryRight="1"/>
    <pageSetUpPr/>
  </sheetPr>
  <dimension ref="A1:U25"/>
  <sheetViews>
    <sheetView showGridLines="0" view="pageBreakPreview" topLeftCell="A13" zoomScaleNormal="100" zoomScaleSheetLayoutView="100" workbookViewId="0">
      <selection activeCell="A3" sqref="A3:U6"/>
    </sheetView>
  </sheetViews>
  <sheetFormatPr baseColWidth="8" defaultRowHeight="16.5"/>
  <cols>
    <col width="4.125" customWidth="1" style="680" min="1" max="42"/>
  </cols>
  <sheetData>
    <row r="1" ht="36.75" customHeight="1" s="680">
      <c r="A1" s="852" t="inlineStr">
        <is>
          <t xml:space="preserve">  酒後駕車代保管車輛領回授權委託書</t>
        </is>
      </c>
    </row>
    <row r="2" ht="36.75" customHeight="1" s="680">
      <c r="A2" s="852" t="n"/>
      <c r="B2" s="852" t="n"/>
      <c r="C2" s="852" t="n"/>
      <c r="D2" s="852" t="n"/>
      <c r="E2" s="852" t="n"/>
      <c r="F2" s="852" t="n"/>
      <c r="G2" s="852" t="n"/>
      <c r="H2" s="852" t="n"/>
      <c r="I2" s="852" t="n"/>
      <c r="J2" s="852" t="n"/>
      <c r="K2" s="852" t="n"/>
      <c r="L2" s="852" t="n"/>
      <c r="M2" s="852" t="n"/>
      <c r="N2" s="852" t="n"/>
      <c r="O2" s="852" t="n"/>
      <c r="P2" s="852" t="n"/>
      <c r="Q2" s="852" t="n"/>
      <c r="R2" s="852" t="n"/>
      <c r="S2" s="852" t="n"/>
      <c r="T2" s="852" t="n"/>
      <c r="U2" s="852" t="n"/>
    </row>
    <row r="3" ht="39" customHeight="1" s="680">
      <c r="A3" s="855">
        <f>CONCATENATE("　　本人",IF(ISNUMBER(SEARCH("涉嫌人",輸入!$M$17)),輸入!$B$17,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所駕之",word用!$Z$2,"（車號：",UPPER(word用!$AA$2),"號）一部，於",LEFT(下拉用!$J$10,10),"為貴單位代保管，經委託（受託人）代為領回該車輛，其所生之權利義務由本人負責，特立本委託書為憑。")</f>
        <v/>
      </c>
    </row>
    <row r="4" ht="39" customHeight="1" s="680"/>
    <row r="5" ht="39" customHeight="1" s="680"/>
    <row r="6" ht="30" customHeight="1" s="680"/>
    <row r="7" ht="30" customHeight="1" s="680">
      <c r="A7" s="855" t="n"/>
      <c r="B7" s="855" t="n"/>
      <c r="C7" s="855" t="n"/>
      <c r="D7" s="855" t="n"/>
      <c r="E7" s="855" t="n"/>
      <c r="F7" s="855" t="n"/>
      <c r="G7" s="855" t="n"/>
      <c r="H7" s="855" t="n"/>
      <c r="I7" s="855" t="n"/>
      <c r="J7" s="855" t="n"/>
      <c r="K7" s="855" t="n"/>
      <c r="L7" s="855" t="n"/>
      <c r="M7" s="855" t="n"/>
      <c r="N7" s="855" t="n"/>
      <c r="O7" s="855" t="n"/>
      <c r="P7" s="855" t="n"/>
      <c r="Q7" s="855" t="n"/>
      <c r="R7" s="855" t="n"/>
      <c r="S7" s="855" t="n"/>
      <c r="T7" s="855" t="n"/>
      <c r="U7" s="855" t="n"/>
    </row>
    <row r="8" ht="39" customHeight="1" s="680">
      <c r="A8" s="162" t="inlineStr">
        <is>
          <t>此致</t>
        </is>
      </c>
    </row>
    <row r="9" ht="18.75" customHeight="1" s="680">
      <c r="A9" s="162" t="n"/>
    </row>
    <row r="10" ht="39" customHeight="1" s="680">
      <c r="A10" s="162">
        <f>CONCATENATE(輸入!$S$18,輸入!$T$18,輸入!$S$19,輸入!$T$19)</f>
        <v/>
      </c>
    </row>
    <row r="11" ht="39" customHeight="1" s="680">
      <c r="A11" s="162" t="n"/>
    </row>
    <row r="12" ht="30.75" customHeight="1" s="680">
      <c r="A12" s="853">
        <f>CONCATENATE("委託人：       　　　　       　　　(簽章或法人印鑑)")</f>
        <v/>
      </c>
    </row>
    <row r="13" ht="30.75" customHeight="1" s="680">
      <c r="A13" s="161">
        <f>CONCATENATE("身分證號碼：")</f>
        <v/>
      </c>
    </row>
    <row r="14" ht="30.75" customHeight="1" s="680">
      <c r="A14" s="161">
        <f>CONCATENATE("出生年月日：")</f>
        <v/>
      </c>
    </row>
    <row r="15" ht="30.75" customHeight="1" s="680">
      <c r="A15" s="161">
        <f>CONCATENATE("地址：")</f>
        <v/>
      </c>
    </row>
    <row r="16" ht="30.75" customHeight="1" s="680">
      <c r="A16" s="161">
        <f>CONCATENATE("聯絡電話：",輸入!AK29)</f>
        <v/>
      </c>
    </row>
    <row r="17" ht="6.75" customHeight="1" s="680">
      <c r="A17" s="161" t="n"/>
    </row>
    <row r="18" ht="30.75" customHeight="1" s="680">
      <c r="A18" s="161">
        <f>CONCATENATE("受委託人：")</f>
        <v/>
      </c>
    </row>
    <row r="19" ht="30.75" customHeight="1" s="680">
      <c r="A19" s="161">
        <f>CONCATENATE("身分證號碼：")</f>
        <v/>
      </c>
    </row>
    <row r="20" ht="30.75" customHeight="1" s="680">
      <c r="A20" s="161">
        <f>CONCATENATE("出生年月日：")</f>
        <v/>
      </c>
    </row>
    <row r="21" ht="30.75" customHeight="1" s="680">
      <c r="A21" s="161">
        <f>CONCATENATE("地址：")</f>
        <v/>
      </c>
    </row>
    <row r="22" ht="30.75" customHeight="1" s="680">
      <c r="A22" s="161">
        <f>CONCATENATE("聯絡電話：")</f>
        <v/>
      </c>
    </row>
    <row r="23" ht="13.5" customHeight="1" s="680">
      <c r="A23" s="592" t="n"/>
    </row>
    <row r="24" ht="13.5" customHeight="1" s="680">
      <c r="A24" s="592" t="n"/>
    </row>
    <row r="25" ht="27.75" customHeight="1" s="680">
      <c r="A25" s="854" t="inlineStr">
        <is>
          <t>中華民國　　年　　月　　日　　時　　分</t>
        </is>
      </c>
    </row>
  </sheetData>
  <mergeCells count="4">
    <mergeCell ref="A1:U1"/>
    <mergeCell ref="A12:U12"/>
    <mergeCell ref="A25:U25"/>
    <mergeCell ref="A3:U6"/>
  </mergeCells>
  <pageMargins left="0.7" right="0.7" top="0.75" bottom="0.75" header="0.3" footer="0.3"/>
  <pageSetup orientation="portrait" paperSize="9"/>
</worksheet>
</file>

<file path=xl/worksheets/sheet22.xml><?xml version="1.0" encoding="utf-8"?>
<worksheet xmlns="http://schemas.openxmlformats.org/spreadsheetml/2006/main">
  <sheetPr codeName="工作表18">
    <tabColor rgb="FF92D050"/>
    <outlinePr summaryBelow="1" summaryRight="1"/>
    <pageSetUpPr/>
  </sheetPr>
  <dimension ref="A1:F27"/>
  <sheetViews>
    <sheetView view="pageBreakPreview" topLeftCell="A10" zoomScale="70" zoomScaleNormal="100" zoomScaleSheetLayoutView="70" workbookViewId="0">
      <selection activeCell="A12" sqref="A12:F14"/>
    </sheetView>
  </sheetViews>
  <sheetFormatPr baseColWidth="8" defaultRowHeight="16.5"/>
  <cols>
    <col width="25.25" customWidth="1" style="680" min="1" max="1"/>
    <col width="6.125" customWidth="1" style="680" min="2" max="3"/>
    <col width="19.25" customWidth="1" style="680" min="4" max="4"/>
    <col width="16.125" customWidth="1" style="680" min="5" max="5"/>
    <col width="14.5" customWidth="1" style="680" min="6" max="6"/>
    <col width="2.75" customWidth="1" style="680" min="7" max="62"/>
  </cols>
  <sheetData>
    <row r="1" ht="30" customHeight="1" s="680" thickBot="1">
      <c r="A1" s="856">
        <f>CONCATENATE(輸入!F7,輸入!X6,輸入!AO7,輸入!AV7,"酒扣保管汽(機)車領回單")</f>
        <v/>
      </c>
      <c r="B1" s="850" t="n"/>
      <c r="C1" s="850" t="n"/>
      <c r="D1" s="850" t="n"/>
      <c r="E1" s="850" t="n"/>
      <c r="F1" s="850" t="n"/>
    </row>
    <row r="2" ht="21" customHeight="1" s="680" thickBot="1" thickTop="1">
      <c r="A2" s="65" t="inlineStr">
        <is>
          <t>品名</t>
        </is>
      </c>
      <c r="B2" s="64" t="inlineStr">
        <is>
          <t>單位</t>
        </is>
      </c>
      <c r="C2" s="64" t="inlineStr">
        <is>
          <t>數量</t>
        </is>
      </c>
      <c r="D2" s="64" t="inlineStr">
        <is>
          <t>規格</t>
        </is>
      </c>
      <c r="E2" s="64" t="inlineStr">
        <is>
          <t>特徵</t>
        </is>
      </c>
      <c r="F2" s="63" t="inlineStr">
        <is>
          <t>備考</t>
        </is>
      </c>
    </row>
    <row r="3" ht="41.25" customHeight="1" s="680" thickBot="1" thickTop="1">
      <c r="A3" s="62">
        <f>CONCATENATE(輸入!$K$3,"(",UPPER(輸入!$K$4),")")</f>
        <v/>
      </c>
      <c r="B3" s="61" t="inlineStr">
        <is>
          <t>臺</t>
        </is>
      </c>
      <c r="C3" s="61" t="inlineStr">
        <is>
          <t>壹</t>
        </is>
      </c>
      <c r="D3" s="61" t="n"/>
      <c r="E3" s="60" t="n"/>
      <c r="F3" s="57" t="n"/>
    </row>
    <row r="4" ht="41.25" customHeight="1" s="680" thickBot="1" thickTop="1">
      <c r="A4" s="59" t="n"/>
      <c r="B4" s="58" t="n"/>
      <c r="C4" s="58" t="n"/>
      <c r="D4" s="58" t="n"/>
      <c r="E4" s="58" t="n"/>
      <c r="F4" s="57" t="n"/>
    </row>
    <row r="5" ht="41.25" customHeight="1" s="680" thickBot="1" thickTop="1">
      <c r="A5" s="59" t="n"/>
      <c r="B5" s="58" t="n"/>
      <c r="C5" s="58" t="n"/>
      <c r="D5" s="58" t="n"/>
      <c r="E5" s="58" t="n"/>
      <c r="F5" s="57" t="n"/>
    </row>
    <row r="6" ht="41.25" customHeight="1" s="680" thickBot="1" thickTop="1">
      <c r="A6" s="59" t="n"/>
      <c r="B6" s="58" t="n"/>
      <c r="C6" s="58" t="n"/>
      <c r="D6" s="58" t="n"/>
      <c r="E6" s="58" t="n"/>
      <c r="F6" s="57" t="n"/>
    </row>
    <row r="7" ht="41.25" customHeight="1" s="680" thickBot="1" thickTop="1">
      <c r="A7" s="59" t="n"/>
      <c r="B7" s="58" t="n"/>
      <c r="C7" s="58" t="n"/>
      <c r="D7" s="58" t="n"/>
      <c r="E7" s="58" t="n"/>
      <c r="F7" s="57" t="n"/>
    </row>
    <row r="8" ht="41.25" customHeight="1" s="680" thickBot="1" thickTop="1">
      <c r="A8" s="59" t="n"/>
      <c r="B8" s="58" t="n"/>
      <c r="C8" s="58" t="n"/>
      <c r="D8" s="58" t="n"/>
      <c r="E8" s="58" t="n"/>
      <c r="F8" s="57" t="n"/>
    </row>
    <row r="9" ht="41.25" customHeight="1" s="680" thickBot="1" thickTop="1">
      <c r="A9" s="59" t="n"/>
      <c r="B9" s="58" t="n"/>
      <c r="C9" s="58" t="n"/>
      <c r="D9" s="58" t="n"/>
      <c r="E9" s="58" t="n"/>
      <c r="F9" s="57" t="n"/>
    </row>
    <row r="10" ht="41.25" customHeight="1" s="680" thickBot="1" thickTop="1">
      <c r="A10" s="59" t="n"/>
      <c r="B10" s="58" t="n"/>
      <c r="C10" s="58" t="n"/>
      <c r="D10" s="58" t="n"/>
      <c r="E10" s="58" t="n"/>
      <c r="F10" s="57" t="n"/>
    </row>
    <row r="11" ht="8.25" customHeight="1" s="680" thickTop="1">
      <c r="A11" s="56" t="n"/>
      <c r="B11" s="56" t="n"/>
      <c r="C11" s="56" t="n"/>
      <c r="D11" s="56" t="n"/>
      <c r="E11" s="56" t="n"/>
      <c r="F11" s="56" t="n"/>
    </row>
    <row r="12" ht="23.25" customHeight="1" s="680">
      <c r="A12" s="857">
        <f>CONCATENATE("上列物品係於民國",LEFT(下拉用!$J$5,10),"因",呈報單!$G$15,"查扣，現經領回，現將物品發還，與扣車時外觀相符並無損壞，確認無誤後領回，如有冒領情事願負法律責任。")</f>
        <v/>
      </c>
    </row>
    <row r="13" ht="23.25" customHeight="1" s="680"/>
    <row r="14" ht="23.25" customHeight="1" s="680"/>
    <row r="15" ht="12" customHeight="1" s="680">
      <c r="A15" s="857" t="n"/>
      <c r="B15" s="857" t="n"/>
      <c r="C15" s="857" t="n"/>
      <c r="D15" s="857" t="n"/>
      <c r="E15" s="857" t="n"/>
      <c r="F15" s="857" t="n"/>
    </row>
    <row r="16" ht="23.25" customHeight="1" s="680">
      <c r="A16" s="52" t="inlineStr">
        <is>
          <t>此    致</t>
        </is>
      </c>
    </row>
    <row r="17" ht="33" customHeight="1" s="680">
      <c r="A17" s="53">
        <f>CONCATENATE(輸入!$S$18,輸入!$T$18,輸入!$S$19,輸入!$T$19)</f>
        <v/>
      </c>
    </row>
    <row r="18" ht="30" customHeight="1" s="680">
      <c r="A18" s="858">
        <f>CONCATENATE("　　　　　　具領人：    　　　　(簽名)","　年齡：      　　職業：")</f>
        <v/>
      </c>
    </row>
    <row r="19" ht="30" customHeight="1" s="680">
      <c r="A19" s="52">
        <f>CONCATENATE("　　　　　　身分證統一編號：")</f>
        <v/>
      </c>
    </row>
    <row r="20" ht="30" customHeight="1" s="680">
      <c r="A20" s="52">
        <f>CONCATENATE("　　　　　　住址：")</f>
        <v/>
      </c>
    </row>
    <row r="21" ht="30" customHeight="1" s="680">
      <c r="A21" s="55" t="n"/>
    </row>
    <row r="22" ht="30" customHeight="1" s="680">
      <c r="A22" s="52" t="inlineStr">
        <is>
          <t xml:space="preserve">　　　　　　保證人：　　　　　　商號名稱：</t>
        </is>
      </c>
    </row>
    <row r="23" ht="30" customHeight="1" s="680">
      <c r="A23" s="55" t="inlineStr">
        <is>
          <t xml:space="preserve">　　　　　　姓名：                      年齡：           聯絡電話：</t>
        </is>
      </c>
    </row>
    <row r="24" ht="30" customHeight="1" s="680">
      <c r="A24" s="52" t="inlineStr">
        <is>
          <t xml:space="preserve">　　　　　　住址：</t>
        </is>
      </c>
    </row>
    <row r="25" ht="22.5" customHeight="1" s="680">
      <c r="A25" s="54" t="n"/>
    </row>
    <row r="26" ht="22.5" customHeight="1" s="680">
      <c r="A26" s="54" t="n"/>
    </row>
    <row r="27" ht="25.5" customHeight="1" s="680">
      <c r="A27" s="53" t="inlineStr">
        <is>
          <t>中  華  民  國　　　　年　　　　月　　　　日</t>
        </is>
      </c>
      <c r="B27" s="53" t="n"/>
      <c r="C27" s="53" t="n"/>
      <c r="D27" s="53" t="n"/>
      <c r="E27" s="53" t="n"/>
      <c r="F27" s="53" t="n"/>
    </row>
  </sheetData>
  <mergeCells count="3">
    <mergeCell ref="A1:F1"/>
    <mergeCell ref="A12:F14"/>
    <mergeCell ref="A18:F18"/>
  </mergeCells>
  <pageMargins left="0.7" right="0.7" top="0.75" bottom="0.75" header="0.3" footer="0.3"/>
  <pageSetup orientation="portrait" paperSize="9" scale="95"/>
</worksheet>
</file>

<file path=xl/worksheets/sheet23.xml><?xml version="1.0" encoding="utf-8"?>
<worksheet xmlns="http://schemas.openxmlformats.org/spreadsheetml/2006/main">
  <sheetPr codeName="工作表42">
    <tabColor theme="9" tint="-0.249977111117893"/>
    <outlinePr summaryBelow="1" summaryRight="1"/>
    <pageSetUpPr/>
  </sheetPr>
  <dimension ref="A1:U18"/>
  <sheetViews>
    <sheetView showGridLines="0" view="pageBreakPreview" topLeftCell="A10" zoomScaleNormal="100" zoomScaleSheetLayoutView="100" workbookViewId="0">
      <selection activeCell="F8" sqref="F8:H8"/>
    </sheetView>
  </sheetViews>
  <sheetFormatPr baseColWidth="8" defaultRowHeight="16.5"/>
  <cols>
    <col width="4" customWidth="1" style="680" min="1" max="26"/>
  </cols>
  <sheetData>
    <row r="1" ht="33.75" customHeight="1" s="680">
      <c r="A1" s="862">
        <f>CONCATENATE(輸入!$S$18,輸入!$T$18,輸入!$S$19,輸入!$T$19)</f>
        <v/>
      </c>
    </row>
    <row r="2" ht="33.75" customHeight="1" s="680">
      <c r="A2" s="862" t="inlineStr">
        <is>
          <t>查扣物品檢驗結果無毒品成分代為毀棄同意書</t>
        </is>
      </c>
    </row>
    <row r="3" ht="33.75" customHeight="1" s="680">
      <c r="A3" s="759">
        <f>CONCATENATE("查獲時間:",下拉用!$J$5)</f>
        <v/>
      </c>
    </row>
    <row r="4" ht="33.75" customHeight="1" s="680">
      <c r="A4" s="759">
        <f>CONCATENATE("查獲地點:",輸入!$C$7)</f>
        <v/>
      </c>
    </row>
    <row r="5" ht="33.75" customHeight="1" s="680">
      <c r="A5" s="759">
        <f>CONCATENATE("查獲單位:",輸入!$S$20,輸入!$T$20)</f>
        <v/>
      </c>
    </row>
    <row r="6" ht="33.75" customHeight="1" s="680">
      <c r="A6" s="162" t="inlineStr">
        <is>
          <t>扣押物品初驗含毒品成分目錄表</t>
        </is>
      </c>
      <c r="B6" s="162" t="n"/>
      <c r="C6" s="162" t="n"/>
      <c r="D6" s="162" t="n"/>
      <c r="E6" s="162" t="n"/>
      <c r="F6" s="162" t="n"/>
      <c r="G6" s="162" t="n"/>
      <c r="H6" s="162" t="n"/>
      <c r="I6" s="162" t="n"/>
      <c r="J6" s="162" t="n"/>
      <c r="K6" s="162" t="n"/>
      <c r="L6" s="162" t="n"/>
      <c r="M6" s="162" t="n"/>
      <c r="N6" s="162" t="n"/>
      <c r="O6" s="162" t="n"/>
      <c r="P6" s="162" t="n"/>
      <c r="Q6" s="162" t="n"/>
      <c r="R6" s="162" t="n"/>
      <c r="S6" s="162" t="n"/>
      <c r="T6" s="162" t="n"/>
      <c r="U6" s="162" t="n"/>
    </row>
    <row r="7" ht="33.75" customHeight="1" s="680">
      <c r="A7" s="861" t="inlineStr">
        <is>
          <t>品名</t>
        </is>
      </c>
      <c r="B7" s="577" t="n"/>
      <c r="C7" s="577" t="n"/>
      <c r="D7" s="577" t="n"/>
      <c r="E7" s="574" t="n"/>
      <c r="F7" s="861" t="inlineStr">
        <is>
          <t>單位</t>
        </is>
      </c>
      <c r="G7" s="577" t="n"/>
      <c r="H7" s="574" t="n"/>
      <c r="I7" s="861" t="inlineStr">
        <is>
          <t>數量</t>
        </is>
      </c>
      <c r="J7" s="577" t="n"/>
      <c r="K7" s="574" t="n"/>
      <c r="L7" s="861" t="inlineStr">
        <is>
          <t>所有人</t>
        </is>
      </c>
      <c r="M7" s="577" t="n"/>
      <c r="N7" s="577" t="n"/>
      <c r="O7" s="577" t="n"/>
      <c r="P7" s="577" t="n"/>
      <c r="Q7" s="574" t="n"/>
      <c r="R7" s="861" t="inlineStr">
        <is>
          <t>備考</t>
        </is>
      </c>
      <c r="S7" s="577" t="n"/>
      <c r="T7" s="577" t="n"/>
      <c r="U7" s="574" t="n"/>
    </row>
    <row r="8" ht="48.75" customHeight="1" s="680">
      <c r="A8" s="859">
        <f>CONCATENATE(輸入!$H$7)</f>
        <v/>
      </c>
      <c r="B8" s="577" t="n"/>
      <c r="C8" s="577" t="n"/>
      <c r="D8" s="577" t="n"/>
      <c r="E8" s="574" t="n"/>
      <c r="F8" s="692">
        <f>輸入!$H$11</f>
        <v/>
      </c>
      <c r="G8" s="577" t="n"/>
      <c r="H8" s="574" t="n"/>
      <c r="I8" s="859">
        <f>輸入!$H$10</f>
        <v/>
      </c>
      <c r="J8" s="577" t="n"/>
      <c r="K8" s="574" t="n"/>
      <c r="L8" s="860" t="n"/>
      <c r="M8" s="577" t="n"/>
      <c r="N8" s="577" t="n"/>
      <c r="O8" s="577" t="n"/>
      <c r="P8" s="577" t="n"/>
      <c r="Q8" s="574" t="n"/>
      <c r="R8" s="655">
        <f>CONCATENATE("毛重：",IF(輸入!$H$8&gt;0,輸入!$H$8&amp;"公克","殘渣無法磅秤"),CHAR(10),"淨重：",IF(輸入!$H$9&gt;0,輸入!$H$9&amp;"公克","殘渣無法磅秤"))</f>
        <v/>
      </c>
      <c r="S8" s="577" t="n"/>
      <c r="T8" s="577" t="n"/>
      <c r="U8" s="574" t="n"/>
    </row>
    <row r="9" ht="48.75" customHeight="1" s="680">
      <c r="A9" s="859" t="n"/>
      <c r="B9" s="577" t="n"/>
      <c r="C9" s="577" t="n"/>
      <c r="D9" s="577" t="n"/>
      <c r="E9" s="574" t="n"/>
      <c r="F9" s="692" t="n"/>
      <c r="G9" s="577" t="n"/>
      <c r="H9" s="574" t="n"/>
      <c r="I9" s="859" t="n"/>
      <c r="J9" s="577" t="n"/>
      <c r="K9" s="574" t="n"/>
      <c r="L9" s="860" t="n"/>
      <c r="M9" s="577" t="n"/>
      <c r="N9" s="577" t="n"/>
      <c r="O9" s="577" t="n"/>
      <c r="P9" s="577" t="n"/>
      <c r="Q9" s="574" t="n"/>
      <c r="R9" s="579" t="n"/>
      <c r="S9" s="577" t="n"/>
      <c r="T9" s="577" t="n"/>
      <c r="U9" s="574" t="n"/>
    </row>
    <row r="10" ht="48.75" customHeight="1" s="680">
      <c r="A10" s="859">
        <f>IF(被害人筆錄!B9=FALSE,IF(下拉用!#REF!=FALSE,CONCATENATE(輸入!H33)," ")," ")</f>
        <v/>
      </c>
      <c r="B10" s="577" t="n"/>
      <c r="C10" s="577" t="n"/>
      <c r="D10" s="577" t="n"/>
      <c r="E10" s="574" t="n"/>
      <c r="F10" s="692">
        <f>IF(被害人筆錄!B9=FALSE,IF(下拉用!#REF!=FALSE,CONCATENATE(輸入!T34)," ")," ")</f>
        <v/>
      </c>
      <c r="G10" s="577" t="n"/>
      <c r="H10" s="574" t="n"/>
      <c r="I10" s="859">
        <f>IF(被害人筆錄!B9=FALSE,IF(下拉用!#REF!=FALSE,CONCATENATE(輸入!T33)," ")," ")</f>
        <v/>
      </c>
      <c r="J10" s="577" t="n"/>
      <c r="K10" s="574" t="n"/>
      <c r="L10" s="860" t="n"/>
      <c r="M10" s="577" t="n"/>
      <c r="N10" s="577" t="n"/>
      <c r="O10" s="577" t="n"/>
      <c r="P10" s="577" t="n"/>
      <c r="Q10" s="574" t="n"/>
      <c r="R10" s="655">
        <f>IF(被害人筆錄!B9=FALSE,IF(下拉用!#REF!=FALSE,CONCATENATE(IF(輸入!T33&gt;1,IF(下拉用!#REF!=TRUE,"殘渣無法磅秤",IF(下拉用!#REF!=TRUE,CONCATENATE("總毛重：",輸入!AD33,輸入!#REF!,"、總淨重：殘渣無法磅秤"),CONCATENATE("總毛重：",輸入!AD33,輸入!#REF!,"、總淨重：",輸入!AD34,輸入!#REF!))),IF(下拉用!#REF!=TRUE,"殘渣無法磅秤",IF(下拉用!#REF!=TRUE,CONCATENATE("毛重：",輸入!AD33,輸入!#REF!,"、淨重：殘渣無法磅秤"),CONCATENATE("毛重：",輸入!AD33,輸入!#REF!,"、淨重：",輸入!AD34,輸入!#REF!)))))," ")," ")</f>
        <v/>
      </c>
      <c r="S10" s="577" t="n"/>
      <c r="T10" s="577" t="n"/>
      <c r="U10" s="574" t="n"/>
    </row>
    <row r="11" ht="48.75" customHeight="1" s="680">
      <c r="A11" s="859">
        <f>IF(被害人筆錄!B9=FALSE,IF(下拉用!#REF!=FALSE,IF(下拉用!#REF!=FALSE,CONCATENATE(輸入!H35)," ")," ")," ")</f>
        <v/>
      </c>
      <c r="B11" s="577" t="n"/>
      <c r="C11" s="577" t="n"/>
      <c r="D11" s="577" t="n"/>
      <c r="E11" s="574" t="n"/>
      <c r="F11" s="692">
        <f>IF(被害人筆錄!B9=FALSE,IF(下拉用!#REF!=FALSE,IF(下拉用!#REF!=FALSE,CONCATENATE(輸入!T36)," ")," ")," ")</f>
        <v/>
      </c>
      <c r="G11" s="577" t="n"/>
      <c r="H11" s="574" t="n"/>
      <c r="I11" s="859">
        <f>IF(被害人筆錄!B9=FALSE,IF(下拉用!#REF!=FALSE,IF(下拉用!#REF!=FALSE,CONCATENATE(輸入!T35)," ")," ")," ")</f>
        <v/>
      </c>
      <c r="J11" s="577" t="n"/>
      <c r="K11" s="574" t="n"/>
      <c r="L11" s="860" t="n"/>
      <c r="M11" s="577" t="n"/>
      <c r="N11" s="577" t="n"/>
      <c r="O11" s="577" t="n"/>
      <c r="P11" s="577" t="n"/>
      <c r="Q11" s="574" t="n"/>
      <c r="R11" s="579">
        <f>IF(被害人筆錄!B9=FALSE,IF(下拉用!#REF!=FALSE,IF(下拉用!#REF!=FALSE,CONCATENATE(IF(輸入!T35&gt;1,IF(下拉用!#REF!=TRUE,"殘渣無法磅秤",IF(下拉用!#REF!=TRUE,CONCATENATE("總毛重：",輸入!AD35,輸入!#REF!,"、總淨重：殘渣無法磅秤"),CONCATENATE("總毛重：",輸入!AD35,輸入!#REF!,"、總淨重：",輸入!AD36,輸入!#REF!))),IF(下拉用!#REF!=TRUE,"殘渣無法磅秤",IF(下拉用!#REF!=TRUE,CONCATENATE("毛重：",輸入!AD35,輸入!#REF!,"、淨重：殘渣無法磅秤"),CONCATENATE("毛重：",輸入!AD35,輸入!#REF!,"、淨重：",輸入!AD36,輸入!#REF!)))))," ")," ")," ")</f>
        <v/>
      </c>
      <c r="S11" s="577" t="n"/>
      <c r="T11" s="577" t="n"/>
      <c r="U11" s="574" t="n"/>
    </row>
    <row r="12" ht="37.5" customHeight="1" s="680">
      <c r="A12" s="162" t="n"/>
    </row>
    <row r="13" ht="37.5" customHeight="1" s="680">
      <c r="A13" s="162" t="n"/>
    </row>
    <row r="14" ht="33.75" customHeight="1" s="680">
      <c r="A14" s="759" t="inlineStr">
        <is>
          <t>本人               同意以上物品，若送專業單位檢驗</t>
        </is>
      </c>
    </row>
    <row r="15" ht="33.75" customHeight="1" s="680">
      <c r="A15" s="759" t="inlineStr">
        <is>
          <t>結果無毒品成分，放棄領回，並由警察機關代為毀棄。</t>
        </is>
      </c>
    </row>
    <row r="16" ht="74.25" customHeight="1" s="680">
      <c r="A16" s="162" t="n"/>
    </row>
    <row r="17" ht="33.75" customHeight="1" s="680">
      <c r="A17" s="759" t="inlineStr">
        <is>
          <t>受執行人:                      (簽名捺印)</t>
        </is>
      </c>
    </row>
    <row r="18" ht="33.75" customHeight="1" s="680">
      <c r="A18" s="759" t="inlineStr">
        <is>
          <t>查獲員警:                      (職名章)</t>
        </is>
      </c>
    </row>
  </sheetData>
  <mergeCells count="34">
    <mergeCell ref="A11:E11"/>
    <mergeCell ref="F8:H8"/>
    <mergeCell ref="L8:Q8"/>
    <mergeCell ref="A18:U18"/>
    <mergeCell ref="A3:U3"/>
    <mergeCell ref="R9:U9"/>
    <mergeCell ref="A2:U2"/>
    <mergeCell ref="R8:U8"/>
    <mergeCell ref="L10:Q10"/>
    <mergeCell ref="A7:E7"/>
    <mergeCell ref="I8:K8"/>
    <mergeCell ref="A5:U5"/>
    <mergeCell ref="L9:Q9"/>
    <mergeCell ref="F9:H9"/>
    <mergeCell ref="R11:U11"/>
    <mergeCell ref="A14:U14"/>
    <mergeCell ref="A17:U17"/>
    <mergeCell ref="R10:U10"/>
    <mergeCell ref="A4:U4"/>
    <mergeCell ref="I10:K10"/>
    <mergeCell ref="L11:Q11"/>
    <mergeCell ref="I9:K9"/>
    <mergeCell ref="R7:U7"/>
    <mergeCell ref="A8:E8"/>
    <mergeCell ref="F11:H11"/>
    <mergeCell ref="F10:H10"/>
    <mergeCell ref="L7:Q7"/>
    <mergeCell ref="I11:K11"/>
    <mergeCell ref="A15:U15"/>
    <mergeCell ref="A10:E10"/>
    <mergeCell ref="F7:H7"/>
    <mergeCell ref="A1:U1"/>
    <mergeCell ref="A9:E9"/>
    <mergeCell ref="I7:K7"/>
  </mergeCells>
  <pageMargins left="0.7" right="0.7" top="0.75" bottom="0.75" header="0.3" footer="0.3"/>
  <pageSetup orientation="portrait" paperSize="9"/>
</worksheet>
</file>

<file path=xl/worksheets/sheet24.xml><?xml version="1.0" encoding="utf-8"?>
<worksheet xmlns="http://schemas.openxmlformats.org/spreadsheetml/2006/main">
  <sheetPr codeName="工作表39">
    <tabColor theme="9" tint="-0.249977111117893"/>
    <outlinePr summaryBelow="1" summaryRight="1"/>
    <pageSetUpPr/>
  </sheetPr>
  <dimension ref="A1:D27"/>
  <sheetViews>
    <sheetView showGridLines="0" view="pageBreakPreview" topLeftCell="A4" zoomScaleNormal="100" zoomScaleSheetLayoutView="100" workbookViewId="0">
      <selection activeCell="C12" sqref="C12:C15"/>
    </sheetView>
  </sheetViews>
  <sheetFormatPr baseColWidth="8" defaultRowHeight="16.5"/>
  <cols>
    <col width="12.875" customWidth="1" style="680" min="1" max="1"/>
    <col width="23.875" customWidth="1" style="680" min="2" max="3"/>
    <col width="29.875" customWidth="1" style="680" min="4" max="4"/>
  </cols>
  <sheetData>
    <row r="1" ht="73.5" customHeight="1" s="680" thickTop="1">
      <c r="A1" s="863">
        <f>CONCATENATE(輸入!$S$18,輸入!$T$18,輸入!$S$19,輸入!$T$19)</f>
        <v/>
      </c>
      <c r="B1" s="864" t="n"/>
      <c r="C1" s="864" t="n"/>
      <c r="D1" s="865" t="n"/>
    </row>
    <row r="2" ht="49.5" customHeight="1" s="680" thickBot="1">
      <c r="A2" s="884" t="inlineStr">
        <is>
          <t>查獲涉嫌毒品危害防制條例毒品初步鑑驗報告書</t>
        </is>
      </c>
      <c r="B2" s="881" t="n"/>
      <c r="C2" s="881" t="n"/>
      <c r="D2" s="882" t="n"/>
    </row>
    <row r="3" ht="9.75" customHeight="1" s="680" thickTop="1">
      <c r="A3" s="877" t="inlineStr">
        <is>
          <t>案類</t>
        </is>
      </c>
      <c r="B3" s="498" t="inlineStr">
        <is>
          <t xml:space="preserve">
</t>
        </is>
      </c>
      <c r="C3" s="885" t="inlineStr">
        <is>
          <t>涉嫌人</t>
        </is>
      </c>
      <c r="D3" s="885" t="inlineStr">
        <is>
          <t>查獲時間地點</t>
        </is>
      </c>
    </row>
    <row r="4" ht="9.75" customHeight="1" s="680">
      <c r="A4" s="876" t="n"/>
      <c r="B4" s="499" t="n"/>
      <c r="C4" s="876" t="n"/>
      <c r="D4" s="876" t="n"/>
    </row>
    <row r="5" ht="9.75" customHeight="1" s="680" thickBot="1">
      <c r="A5" s="876" t="n"/>
      <c r="B5" s="499" t="n"/>
      <c r="C5" s="869" t="n"/>
      <c r="D5" s="869" t="n"/>
    </row>
    <row r="6" ht="29.25" customHeight="1" s="680" thickTop="1">
      <c r="A6" s="876" t="n"/>
      <c r="B6" s="499">
        <f>IF(輸入!$H$7=下拉用!$F$2," V一、海洛因","□一、海洛因")</f>
        <v/>
      </c>
      <c r="C6" s="887">
        <f>word用!$H$2</f>
        <v/>
      </c>
      <c r="D6" s="886">
        <f>CONCATENATE("查獲時間：",下拉用!$J$5)</f>
        <v/>
      </c>
    </row>
    <row r="7" ht="29.25" customHeight="1" s="680">
      <c r="A7" s="876" t="n"/>
      <c r="B7" s="499">
        <f>IF(輸入!$H$7=下拉用!$F$3," V二、安非他命","□二、安非他命")</f>
        <v/>
      </c>
      <c r="C7" s="876" t="n"/>
      <c r="D7" s="876" t="n"/>
    </row>
    <row r="8" ht="29.25" customHeight="1" s="680">
      <c r="A8" s="876" t="n"/>
      <c r="B8" s="499">
        <f>IF(輸入!$H$7=下拉用!$F$4," V三、愷他命","□三、愷他命")</f>
        <v/>
      </c>
      <c r="C8" s="876" t="n"/>
      <c r="D8" s="868">
        <f>CONCATENATE("查獲地點：",輸入!$C$7)</f>
        <v/>
      </c>
    </row>
    <row r="9" ht="29.25" customHeight="1" s="680" thickBot="1">
      <c r="A9" s="869" t="n"/>
      <c r="B9" s="500">
        <f>IF(輸入!$H$7=下拉用!$F$5," V四、一粒眠","□四、一粒眠")</f>
        <v/>
      </c>
      <c r="C9" s="869" t="n"/>
      <c r="D9" s="869" t="n"/>
    </row>
    <row r="10" ht="15" customHeight="1" s="680" thickTop="1">
      <c r="A10" s="889" t="inlineStr">
        <is>
          <t>初步
鑑驗
單位</t>
        </is>
      </c>
      <c r="B10" s="875">
        <f>CONCATENATE(輸入!$S$18,輸入!$T$18,CHAR(10),輸入!$S$19,輸入!$T$19,CHAR(10),輸入!$S$20,輸入!$T$20)</f>
        <v/>
      </c>
      <c r="C10" s="878" t="inlineStr">
        <is>
          <t>職別　姓名</t>
        </is>
      </c>
      <c r="D10" s="872" t="inlineStr">
        <is>
          <t>鑑驗時間地點</t>
        </is>
      </c>
    </row>
    <row r="11" ht="15" customHeight="1" s="680" thickBot="1">
      <c r="A11" s="876" t="n"/>
      <c r="B11" s="876" t="n"/>
      <c r="C11" s="869" t="n"/>
      <c r="D11" s="869" t="n"/>
    </row>
    <row r="12" ht="36.75" customHeight="1" s="680" thickTop="1">
      <c r="A12" s="876" t="n"/>
      <c r="B12" s="876" t="n"/>
      <c r="C12" s="890" t="inlineStr">
        <is>
          <t xml:space="preserve"> </t>
        </is>
      </c>
      <c r="D12" s="886">
        <f>CONCATENATE("鑑驗時間：",下拉用!$J$6)</f>
        <v/>
      </c>
    </row>
    <row r="13" ht="12.75" customHeight="1" s="680">
      <c r="A13" s="876" t="n"/>
      <c r="B13" s="876" t="n"/>
      <c r="C13" s="876" t="n"/>
      <c r="D13" s="876" t="n"/>
    </row>
    <row r="14" ht="52.5" customHeight="1" s="680">
      <c r="A14" s="876" t="n"/>
      <c r="B14" s="876" t="n"/>
      <c r="C14" s="876" t="n"/>
      <c r="D14" s="868">
        <f>CONCATENATE("鑑驗地點：",IF(輸入!$H$6=輸入!$C$7,輸入!$H$6,輸入!$S$23&amp;"("&amp;輸入!$S$20&amp;輸入!$T$20&amp;")"))</f>
        <v/>
      </c>
    </row>
    <row r="15" ht="7.5" customHeight="1" s="680" thickBot="1">
      <c r="A15" s="188" t="n"/>
      <c r="B15" s="501" t="n"/>
      <c r="C15" s="869" t="n"/>
      <c r="D15" s="869" t="n"/>
    </row>
    <row r="16" ht="45.75" customHeight="1" s="680" thickTop="1">
      <c r="A16" s="879" t="inlineStr">
        <is>
          <t>鑑驗
物品
及
數量</t>
        </is>
      </c>
      <c r="B16" s="871">
        <f>CONCATENATE("種　　類：",輸入!$H$7)</f>
        <v/>
      </c>
      <c r="C16" s="864" t="n"/>
      <c r="D16" s="865" t="n"/>
    </row>
    <row r="17" ht="45.75" customHeight="1" s="680">
      <c r="A17" s="876" t="n"/>
      <c r="B17" s="874">
        <f>CONCATENATE("重　　量：毛重：",IF(輸入!$H$8&gt;0,輸入!$H$8&amp;"公克","殘渣無法磅秤"),"、淨重：",IF(輸入!$H$9&gt;0,輸入!$H$9&amp;"公克","殘渣無法磅秤"))</f>
        <v/>
      </c>
      <c r="C17" s="642" t="n"/>
      <c r="D17" s="867" t="n"/>
    </row>
    <row r="18" ht="45.75" customHeight="1" s="680">
      <c r="A18" s="876" t="n"/>
      <c r="B18" s="874">
        <f>CONCATENATE("數　　量：",輸入!$H$10,輸入!$H$11)</f>
        <v/>
      </c>
      <c r="C18" s="642" t="n"/>
      <c r="D18" s="867" t="n"/>
    </row>
    <row r="19" ht="17.25" customHeight="1" s="680" thickBot="1">
      <c r="A19" s="869" t="n"/>
      <c r="B19" s="880" t="n"/>
      <c r="C19" s="881" t="n"/>
      <c r="D19" s="882" t="n"/>
    </row>
    <row r="20" ht="45" customHeight="1" s="680" thickTop="1">
      <c r="A20" s="186" t="inlineStr">
        <is>
          <t>初  步</t>
        </is>
      </c>
      <c r="B20" s="888">
        <f>CONCATENATE("一、經本分局依",輸入!$T$16,"之毒品原物二合一測試劑初步檢驗結果：")</f>
        <v/>
      </c>
      <c r="C20" s="864" t="n"/>
      <c r="D20" s="865" t="n"/>
    </row>
    <row r="21" ht="27.75" customHeight="1" s="680">
      <c r="A21" s="187" t="n"/>
      <c r="B21" s="873">
        <f>IF(輸入!$H$7=下拉用!$F$2," V 呈嗎啡、海洛因反應","□ 呈嗎啡、海洛因反應")</f>
        <v/>
      </c>
      <c r="C21" s="642" t="n"/>
      <c r="D21" s="867" t="n"/>
    </row>
    <row r="22" ht="27.75" customHeight="1" s="680">
      <c r="A22" s="186" t="inlineStr">
        <is>
          <t>鑑  驗</t>
        </is>
      </c>
      <c r="B22" s="873">
        <f>IF(輸入!$H$7=下拉用!$F$3," V 呈安非他命反應","□ 呈安非他命反應")</f>
        <v/>
      </c>
      <c r="C22" s="642" t="n"/>
      <c r="D22" s="867" t="n"/>
    </row>
    <row r="23" ht="27.75" customHeight="1" s="680">
      <c r="A23" s="187" t="n"/>
      <c r="B23" s="873">
        <f>IF(輸入!$H$7=下拉用!$F$4," V 呈愷他命反應","□ 呈愷他命反應")</f>
        <v/>
      </c>
      <c r="C23" s="642" t="n"/>
      <c r="D23" s="867" t="n"/>
    </row>
    <row r="24" ht="27.75" customHeight="1" s="680">
      <c r="A24" s="186" t="inlineStr">
        <is>
          <t>結  果</t>
        </is>
      </c>
      <c r="B24" s="873">
        <f>IF(輸入!$H$7=下拉用!$F$4,"V 呈一粒眠反應","□ 呈一粒眠反應")</f>
        <v/>
      </c>
      <c r="C24" s="642" t="n"/>
      <c r="D24" s="867" t="n"/>
    </row>
    <row r="25" ht="3" customHeight="1" s="680">
      <c r="A25" s="185" t="n"/>
      <c r="B25" s="870" t="n"/>
      <c r="C25" s="642" t="n"/>
      <c r="D25" s="867" t="n"/>
    </row>
    <row r="26" ht="21.75" customHeight="1" s="680">
      <c r="A26" s="185" t="n"/>
      <c r="B26" s="866" t="inlineStr">
        <is>
          <t>二、鑑驗測試應在涉嫌人面前為之。</t>
        </is>
      </c>
      <c r="C26" s="642" t="n"/>
      <c r="D26" s="867" t="n"/>
    </row>
    <row r="27" ht="30.75" customHeight="1" s="680" thickBot="1">
      <c r="A27" s="184" t="n"/>
      <c r="B27" s="883" t="inlineStr">
        <is>
          <t xml:space="preserve">　　　　　　　　　　　　　　涉嫌人簽章：</t>
        </is>
      </c>
      <c r="C27" s="881" t="n"/>
      <c r="D27" s="882" t="n"/>
    </row>
    <row r="28" ht="17.25" customHeight="1" s="680" thickTop="1"/>
  </sheetData>
  <mergeCells count="28">
    <mergeCell ref="B10:B14"/>
    <mergeCell ref="B23:D23"/>
    <mergeCell ref="A3:A9"/>
    <mergeCell ref="B17:D17"/>
    <mergeCell ref="C10:C11"/>
    <mergeCell ref="A16:A19"/>
    <mergeCell ref="B19:D19"/>
    <mergeCell ref="C3:C5"/>
    <mergeCell ref="A10:A14"/>
    <mergeCell ref="C12:C15"/>
    <mergeCell ref="D12:D13"/>
    <mergeCell ref="B24:D24"/>
    <mergeCell ref="B20:D20"/>
    <mergeCell ref="A1:D1"/>
    <mergeCell ref="B26:D26"/>
    <mergeCell ref="D8:D9"/>
    <mergeCell ref="B25:D25"/>
    <mergeCell ref="D14:D15"/>
    <mergeCell ref="B16:D16"/>
    <mergeCell ref="D10:D11"/>
    <mergeCell ref="B22:D22"/>
    <mergeCell ref="B27:D27"/>
    <mergeCell ref="B18:D18"/>
    <mergeCell ref="B21:D21"/>
    <mergeCell ref="A2:D2"/>
    <mergeCell ref="D3:D5"/>
    <mergeCell ref="D6:D7"/>
    <mergeCell ref="C6:C9"/>
  </mergeCells>
  <pageMargins left="0.40625" right="0.3020833333333333" top="0.75" bottom="0.75" header="0.3" footer="0.3"/>
  <pageSetup orientation="portrait" paperSize="9"/>
</worksheet>
</file>

<file path=xl/worksheets/sheet25.xml><?xml version="1.0" encoding="utf-8"?>
<worksheet xmlns="http://schemas.openxmlformats.org/spreadsheetml/2006/main">
  <sheetPr codeName="工作表29">
    <tabColor theme="9" tint="-0.249977111117893"/>
    <outlinePr summaryBelow="1" summaryRight="1"/>
    <pageSetUpPr/>
  </sheetPr>
  <dimension ref="A1:AS37"/>
  <sheetViews>
    <sheetView showGridLines="0" showRuler="0" view="pageLayout" topLeftCell="A20" zoomScaleNormal="85" workbookViewId="0">
      <selection activeCell="D11" sqref="D11:J11"/>
    </sheetView>
  </sheetViews>
  <sheetFormatPr baseColWidth="8" defaultColWidth="9" defaultRowHeight="16.5"/>
  <cols>
    <col width="15.75" customWidth="1" style="592" min="1" max="1"/>
    <col width="4.5" customWidth="1" style="592" min="2" max="2"/>
    <col width="0.375" customWidth="1" style="592" min="3" max="3"/>
    <col width="0.5" customWidth="1" style="592" min="4" max="4"/>
    <col width="1.75" customWidth="1" style="592" min="5" max="5"/>
    <col width="1.25" customWidth="1" style="592" min="6" max="6"/>
    <col width="2.625" customWidth="1" style="592" min="7" max="7"/>
    <col width="3.375" customWidth="1" style="592" min="8" max="8"/>
    <col width="1.75" customWidth="1" style="592" min="9" max="9"/>
    <col width="12.25" customWidth="1" style="592" min="10" max="10"/>
    <col width="1.125" customWidth="1" style="592" min="11" max="11"/>
    <col width="1.625" customWidth="1" style="592" min="12" max="12"/>
    <col width="0.875" customWidth="1" style="592" min="13" max="13"/>
    <col width="0.5" customWidth="1" style="592" min="14" max="14"/>
    <col width="1.375" customWidth="1" style="592" min="15" max="15"/>
    <col width="1.125" customWidth="1" style="592" min="16" max="16"/>
    <col width="1.25" customWidth="1" style="592" min="17" max="17"/>
    <col width="2.125" customWidth="1" style="592" min="18" max="18"/>
    <col width="2.75" customWidth="1" style="592" min="19" max="19"/>
    <col width="3.5" customWidth="1" style="592" min="20" max="20"/>
    <col width="1.5" customWidth="1" style="592" min="21" max="21"/>
    <col width="0.875" customWidth="1" style="592" min="22" max="23"/>
    <col width="0.75" customWidth="1" style="592" min="24" max="24"/>
    <col width="1.625" customWidth="1" style="592" min="25" max="26"/>
    <col width="2.5" customWidth="1" style="592" min="27" max="27"/>
    <col width="2" customWidth="1" style="592" min="28" max="29"/>
    <col width="1.875" customWidth="1" style="592" min="30" max="30"/>
    <col width="1.625" customWidth="1" style="592" min="31" max="32"/>
    <col width="2.5" customWidth="1" style="592" min="33" max="33"/>
    <col width="3" customWidth="1" style="592" min="34" max="34"/>
    <col width="6.25" customWidth="1" style="592" min="35" max="35"/>
    <col width="9" customWidth="1" style="592" min="36" max="36"/>
    <col width="9" customWidth="1" style="592" min="37" max="16384"/>
  </cols>
  <sheetData>
    <row r="1" ht="25.5" customHeight="1" s="680">
      <c r="A1" s="854" t="inlineStr">
        <is>
          <t>刑事警察局委託辦理濫用藥物尿液檢驗</t>
        </is>
      </c>
    </row>
    <row r="2" ht="36.75" customHeight="1" s="680">
      <c r="A2" s="906" t="inlineStr">
        <is>
          <t>檢體監管紀錄表</t>
        </is>
      </c>
    </row>
    <row r="3" hidden="1" ht="2.25" customHeight="1" s="680"/>
    <row r="4" ht="1.5" customHeight="1" s="680">
      <c r="A4" s="49" t="n"/>
      <c r="B4" s="49" t="n"/>
      <c r="C4" s="49" t="n"/>
      <c r="D4" s="49" t="n"/>
      <c r="E4" s="49" t="n"/>
      <c r="F4" s="49" t="n"/>
      <c r="G4" s="49" t="n"/>
      <c r="H4" s="49" t="n"/>
      <c r="I4" s="49" t="n"/>
      <c r="J4" s="49" t="n"/>
      <c r="K4" s="49" t="n"/>
      <c r="L4" s="49" t="n"/>
      <c r="M4" s="49" t="n"/>
      <c r="N4" s="49" t="n"/>
      <c r="O4" s="49" t="n"/>
      <c r="P4" s="49" t="n"/>
      <c r="Q4" s="49" t="n"/>
      <c r="R4" s="49" t="n"/>
      <c r="S4" s="49" t="n"/>
      <c r="T4" s="49" t="n"/>
      <c r="U4" s="49" t="n"/>
      <c r="V4" s="49" t="n"/>
      <c r="W4" s="49" t="n"/>
      <c r="X4" s="49" t="n"/>
      <c r="Y4" s="49" t="n"/>
      <c r="Z4" s="49" t="n"/>
      <c r="AA4" s="49" t="n"/>
      <c r="AB4" s="49" t="n"/>
      <c r="AC4" s="49" t="n"/>
      <c r="AD4" s="49" t="n"/>
      <c r="AE4" s="49" t="n"/>
      <c r="AF4" s="49" t="n"/>
      <c r="AG4" s="49" t="n"/>
      <c r="AH4" s="49" t="n"/>
      <c r="AI4" s="49" t="n"/>
    </row>
    <row r="5" ht="45.2" customFormat="1" customHeight="1" s="50">
      <c r="A5" s="206" t="inlineStr">
        <is>
          <t>尿液檢體編號:</t>
        </is>
      </c>
      <c r="AI5" s="270" t="n"/>
      <c r="AJ5" s="592" t="n"/>
      <c r="AK5" s="592" t="n"/>
      <c r="AL5" s="592" t="n"/>
      <c r="AM5" s="592" t="n"/>
      <c r="AN5" s="592" t="n"/>
      <c r="AO5" s="592" t="n"/>
      <c r="AP5" s="592" t="n"/>
      <c r="AQ5" s="592" t="n"/>
      <c r="AR5" s="592" t="n"/>
      <c r="AS5" s="592" t="n"/>
    </row>
    <row r="6" hidden="1" ht="9.75" customHeight="1" s="680">
      <c r="A6" s="891" t="n"/>
      <c r="AI6" s="91" t="n"/>
    </row>
    <row r="7" ht="17.1" customFormat="1" customHeight="1" s="268">
      <c r="A7" s="305" t="inlineStr">
        <is>
          <t>如有「出矯治機構應受尿液採驗人處理系統」編號請補註記於後。</t>
        </is>
      </c>
      <c r="B7" s="306" t="n"/>
      <c r="C7" s="306" t="n"/>
      <c r="D7" s="306" t="n"/>
      <c r="E7" s="306" t="n"/>
      <c r="F7" s="306" t="n"/>
      <c r="G7" s="306" t="n"/>
      <c r="H7" s="306" t="n"/>
      <c r="I7" s="306" t="n"/>
      <c r="J7" s="306" t="n"/>
      <c r="AI7" s="272" t="n"/>
    </row>
    <row r="8" hidden="1" ht="3" customHeight="1" s="680">
      <c r="A8" s="275" t="n"/>
      <c r="B8" s="276" t="n"/>
      <c r="C8" s="276" t="n"/>
      <c r="AI8" s="91" t="n"/>
    </row>
    <row r="9" ht="25.5" customHeight="1" s="680">
      <c r="A9" s="279" t="inlineStr">
        <is>
          <t>受採尿者姓名</t>
        </is>
      </c>
      <c r="B9" s="280" t="n"/>
      <c r="C9" s="280" t="n"/>
      <c r="D9" s="895">
        <f>word用!$H$2</f>
        <v/>
      </c>
      <c r="E9" s="896" t="n"/>
      <c r="F9" s="896" t="n"/>
      <c r="G9" s="896" t="n"/>
      <c r="H9" s="896" t="n"/>
      <c r="I9" s="896" t="n"/>
      <c r="J9" s="897" t="n"/>
      <c r="K9" s="315" t="inlineStr">
        <is>
          <t>性別</t>
        </is>
      </c>
      <c r="L9" s="316" t="n"/>
      <c r="M9" s="316" t="n"/>
      <c r="N9" s="316" t="n"/>
      <c r="O9" s="316" t="n"/>
      <c r="P9" s="316" t="n"/>
      <c r="Q9" s="316" t="n"/>
      <c r="R9" s="316" t="n"/>
      <c r="S9" s="296" t="n"/>
      <c r="T9" s="296" t="n"/>
      <c r="U9" s="905">
        <f>IF(word用!$R$2=下拉用!$E$2,"■男 □女","□男 ■女")</f>
        <v/>
      </c>
      <c r="V9" s="893" t="n"/>
      <c r="W9" s="893" t="n"/>
      <c r="X9" s="893" t="n"/>
      <c r="Y9" s="893" t="n"/>
      <c r="Z9" s="893" t="n"/>
      <c r="AA9" s="893" t="n"/>
      <c r="AB9" s="893" t="n"/>
      <c r="AC9" s="893" t="n"/>
      <c r="AD9" s="893" t="n"/>
      <c r="AE9" s="893" t="n"/>
      <c r="AF9" s="893" t="n"/>
      <c r="AG9" s="893" t="n"/>
      <c r="AH9" s="893" t="n"/>
      <c r="AI9" s="894" t="n"/>
    </row>
    <row r="10" hidden="1" ht="3.75" customHeight="1" s="680">
      <c r="A10" s="275" t="n"/>
      <c r="B10" s="276" t="n"/>
      <c r="C10" s="276" t="n"/>
      <c r="D10" s="284" t="n"/>
      <c r="E10" s="276" t="n"/>
      <c r="F10" s="276" t="n"/>
      <c r="G10" s="281" t="n"/>
      <c r="H10" s="281" t="n"/>
      <c r="I10" s="281" t="n"/>
      <c r="J10" s="283" t="n"/>
      <c r="K10" s="281" t="n"/>
      <c r="L10" s="281" t="n"/>
      <c r="M10" s="285" t="n"/>
      <c r="N10" s="282" t="n"/>
      <c r="O10" s="282" t="n"/>
      <c r="P10" s="282" t="n"/>
      <c r="Q10" s="282" t="n"/>
      <c r="R10" s="282" t="n"/>
      <c r="S10" s="282" t="n"/>
      <c r="T10" s="282" t="n"/>
      <c r="U10" s="299" t="n"/>
      <c r="V10" s="282" t="n"/>
      <c r="W10" s="282" t="n"/>
      <c r="X10" s="282" t="n"/>
      <c r="Y10" s="282" t="n"/>
      <c r="Z10" s="282" t="n"/>
      <c r="AA10" s="282" t="n"/>
      <c r="AB10" s="282" t="n"/>
      <c r="AC10" s="282" t="n"/>
      <c r="AD10" s="282" t="n"/>
      <c r="AE10" s="282" t="n"/>
      <c r="AF10" s="282" t="n"/>
      <c r="AG10" s="282" t="n"/>
      <c r="AH10" s="282" t="n"/>
      <c r="AI10" s="297" t="n"/>
    </row>
    <row r="11" ht="25.5" customHeight="1" s="680">
      <c r="A11" s="279" t="inlineStr">
        <is>
          <t>出生年月日</t>
        </is>
      </c>
      <c r="B11" s="280" t="n"/>
      <c r="C11" s="280" t="n"/>
      <c r="D11" s="908">
        <f>CONCATENATE(LEFT(word用!$L$2,2),"年",MID(word用!$L$2,4,2),"月",RIGHT(word用!$L$2,2),"日")</f>
        <v/>
      </c>
      <c r="J11" s="909" t="n"/>
      <c r="K11" s="290" t="inlineStr">
        <is>
          <t>身分證字號</t>
        </is>
      </c>
      <c r="L11" s="291" t="n"/>
      <c r="M11" s="292" t="n"/>
      <c r="N11" s="296" t="n"/>
      <c r="O11" s="296" t="n"/>
      <c r="P11" s="296" t="n"/>
      <c r="Q11" s="296" t="n"/>
      <c r="R11" s="296" t="n"/>
      <c r="S11" s="296" t="n"/>
      <c r="T11" s="296" t="n"/>
      <c r="U11" s="892">
        <f>UPPER(word用!$I$2)</f>
        <v/>
      </c>
      <c r="V11" s="893" t="n"/>
      <c r="W11" s="893" t="n"/>
      <c r="X11" s="893" t="n"/>
      <c r="Y11" s="893" t="n"/>
      <c r="Z11" s="893" t="n"/>
      <c r="AA11" s="893" t="n"/>
      <c r="AB11" s="893" t="n"/>
      <c r="AC11" s="893" t="n"/>
      <c r="AD11" s="893" t="n"/>
      <c r="AE11" s="893" t="n"/>
      <c r="AF11" s="893" t="n"/>
      <c r="AG11" s="893" t="n"/>
      <c r="AH11" s="893" t="n"/>
      <c r="AI11" s="894" t="n"/>
    </row>
    <row r="12" hidden="1" ht="0.75" customHeight="1" s="680">
      <c r="A12" s="275" t="n"/>
      <c r="B12" s="276" t="n"/>
      <c r="C12" s="276" t="n"/>
      <c r="D12" s="314" t="n"/>
      <c r="I12" s="291" t="n"/>
      <c r="J12" s="289" t="n"/>
      <c r="K12" s="293" t="n"/>
      <c r="L12" s="293" t="n"/>
      <c r="M12" s="294" t="n"/>
      <c r="N12" s="293" t="n"/>
      <c r="O12" s="293" t="n"/>
      <c r="P12" s="293" t="n"/>
      <c r="Q12" s="293" t="n"/>
      <c r="R12" s="293" t="n"/>
      <c r="S12" s="293" t="n"/>
      <c r="T12" s="293" t="n"/>
      <c r="U12" s="282" t="n"/>
      <c r="V12" s="282" t="n"/>
      <c r="W12" s="282" t="n"/>
      <c r="X12" s="282" t="n"/>
      <c r="Y12" s="282" t="n"/>
      <c r="Z12" s="282" t="n"/>
      <c r="AA12" s="282" t="n"/>
      <c r="AB12" s="282" t="n"/>
      <c r="AC12" s="282" t="n"/>
      <c r="AD12" s="297" t="n"/>
      <c r="AE12" s="282" t="n"/>
      <c r="AF12" s="282" t="n"/>
      <c r="AG12" s="282" t="n"/>
      <c r="AH12" s="282" t="n"/>
      <c r="AI12" s="297" t="n"/>
    </row>
    <row r="13" ht="45.2" customHeight="1" s="680">
      <c r="A13" s="277" t="inlineStr">
        <is>
          <t>採尿單位</t>
        </is>
      </c>
      <c r="B13" s="278" t="n"/>
      <c r="C13" s="278" t="n"/>
      <c r="D13" s="899">
        <f>CONCATENATE(輸入!$S$18,輸入!$T$18,CHAR(10),輸入!$S$19,輸入!$T$19,輸入!$S$20,輸入!$T$20)</f>
        <v/>
      </c>
      <c r="E13" s="896" t="n"/>
      <c r="F13" s="896" t="n"/>
      <c r="G13" s="896" t="n"/>
      <c r="H13" s="896" t="n"/>
      <c r="I13" s="896" t="n"/>
      <c r="J13" s="900" t="n"/>
      <c r="K13" s="300" t="inlineStr">
        <is>
          <t>採尿時間</t>
        </is>
      </c>
      <c r="L13" s="301" t="n"/>
      <c r="M13" s="302" t="n"/>
      <c r="N13" s="302" t="n"/>
      <c r="O13" s="302" t="n"/>
      <c r="P13" s="302" t="n"/>
      <c r="Q13" s="302" t="n"/>
      <c r="R13" s="302" t="n"/>
      <c r="S13" s="302" t="n"/>
      <c r="T13" s="302" t="n"/>
      <c r="U13" s="902" t="inlineStr">
        <is>
          <t xml:space="preserve">   年   月   日
        時   分</t>
        </is>
      </c>
      <c r="V13" s="903" t="n"/>
      <c r="W13" s="903" t="n"/>
      <c r="X13" s="903" t="n"/>
      <c r="Y13" s="903" t="n"/>
      <c r="Z13" s="903" t="n"/>
      <c r="AA13" s="903" t="n"/>
      <c r="AB13" s="903" t="n"/>
      <c r="AC13" s="903" t="n"/>
      <c r="AD13" s="903" t="n"/>
      <c r="AE13" s="903" t="n"/>
      <c r="AF13" s="903" t="n"/>
      <c r="AG13" s="903" t="n"/>
      <c r="AH13" s="903" t="n"/>
      <c r="AI13" s="904" t="n"/>
    </row>
    <row r="14" ht="1.5" customHeight="1" s="680">
      <c r="A14" s="891" t="n"/>
      <c r="AI14" s="91" t="n"/>
    </row>
    <row r="15" ht="25.5" customHeight="1" s="680">
      <c r="A15" s="267" t="inlineStr">
        <is>
          <t>採尿地址：</t>
        </is>
      </c>
      <c r="B15" s="907">
        <f>輸入!$S$23</f>
        <v/>
      </c>
      <c r="C15" s="583" t="n"/>
      <c r="D15" s="583" t="n"/>
      <c r="E15" s="583" t="n"/>
      <c r="F15" s="583" t="n"/>
      <c r="G15" s="583" t="n"/>
      <c r="H15" s="583" t="n"/>
      <c r="I15" s="583" t="n"/>
      <c r="J15" s="583" t="n"/>
      <c r="K15" s="583" t="n"/>
      <c r="L15" s="583" t="n"/>
      <c r="M15" s="583" t="n"/>
      <c r="N15" s="583" t="n"/>
      <c r="O15" s="583" t="n"/>
      <c r="P15" s="583" t="n"/>
      <c r="Q15" s="583" t="n"/>
      <c r="R15" s="583" t="n"/>
      <c r="S15" s="583" t="n"/>
      <c r="T15" s="583" t="n"/>
      <c r="U15" s="583" t="n"/>
      <c r="V15" s="583" t="n"/>
      <c r="W15" s="583" t="n"/>
      <c r="X15" s="583" t="n"/>
      <c r="Y15" s="583" t="n"/>
      <c r="Z15" s="583" t="n"/>
      <c r="AA15" s="583" t="n"/>
      <c r="AB15" s="583" t="n"/>
      <c r="AC15" s="583" t="n"/>
      <c r="AD15" s="583" t="n"/>
      <c r="AE15" s="583" t="n"/>
      <c r="AF15" s="583" t="n"/>
      <c r="AG15" s="583" t="n"/>
      <c r="AH15" s="583" t="n"/>
      <c r="AI15" s="584" t="n"/>
    </row>
    <row r="16" ht="2.25" customHeight="1" s="680">
      <c r="A16" s="269" t="n"/>
      <c r="B16" s="50" t="n"/>
      <c r="C16" s="50" t="n"/>
      <c r="D16" s="50" t="n"/>
      <c r="E16" s="50" t="n"/>
      <c r="F16" s="50" t="n"/>
      <c r="G16" s="50" t="n"/>
      <c r="H16" s="50" t="n"/>
      <c r="I16" s="50" t="n"/>
      <c r="J16" s="50" t="n"/>
      <c r="K16" s="270" t="n"/>
      <c r="L16" s="50" t="n"/>
      <c r="M16" s="50" t="n"/>
      <c r="N16" s="50" t="n"/>
      <c r="O16" s="50" t="n"/>
      <c r="P16" s="50" t="n"/>
      <c r="Q16" s="50" t="n"/>
      <c r="R16" s="50" t="n"/>
      <c r="S16" s="50" t="n"/>
      <c r="T16" s="50" t="n"/>
      <c r="U16" s="50" t="n"/>
      <c r="V16" s="50" t="n"/>
      <c r="W16" s="50" t="n"/>
      <c r="X16" s="50" t="n"/>
      <c r="Y16" s="50" t="n"/>
      <c r="Z16" s="50" t="n"/>
      <c r="AA16" s="50" t="n"/>
      <c r="AI16" s="91" t="n"/>
    </row>
    <row r="17" ht="39.6" customHeight="1" s="680">
      <c r="A17" s="311" t="inlineStr">
        <is>
          <t>採尿人員（簽章）</t>
        </is>
      </c>
      <c r="K17" s="298" t="n"/>
      <c r="L17" s="312" t="inlineStr">
        <is>
          <t>簽名與捺印捺印</t>
        </is>
      </c>
      <c r="AI17" s="91" t="n"/>
    </row>
    <row r="18" hidden="1" ht="20.85" customHeight="1" s="680">
      <c r="A18" s="891" t="n"/>
      <c r="K18" s="91" t="n"/>
      <c r="AI18" s="91" t="n"/>
    </row>
    <row r="19" ht="17.1" customHeight="1" s="680">
      <c r="A19" s="313" t="inlineStr">
        <is>
          <t>採尿人員性別應與受採尿者相同，且與封緘上簽章者符合。</t>
        </is>
      </c>
      <c r="B19" s="49" t="n"/>
      <c r="C19" s="49" t="n"/>
      <c r="D19" s="49" t="n"/>
      <c r="E19" s="49" t="n"/>
      <c r="F19" s="49" t="n"/>
      <c r="G19" s="49" t="n"/>
      <c r="H19" s="49" t="n"/>
      <c r="I19" s="49" t="n"/>
      <c r="J19" s="49" t="n"/>
      <c r="K19" s="93" t="n"/>
      <c r="AI19" s="91" t="n"/>
    </row>
    <row r="20" ht="36.75" customFormat="1" customHeight="1" s="242">
      <c r="A20" s="307" t="inlineStr">
        <is>
          <t>會同人員（簽章）</t>
        </is>
      </c>
      <c r="B20" s="308" t="n"/>
      <c r="C20" s="308" t="n"/>
      <c r="D20" s="308" t="n"/>
      <c r="E20" s="308" t="n"/>
      <c r="F20" s="308" t="n"/>
      <c r="G20" s="308" t="n"/>
      <c r="H20" s="308" t="n"/>
      <c r="I20" s="308" t="n"/>
      <c r="J20" s="308" t="n"/>
      <c r="K20" s="309" t="n"/>
      <c r="AI20" s="310" t="n"/>
    </row>
    <row r="21" hidden="1" ht="24.95" customHeight="1" s="680">
      <c r="A21" s="271" t="n"/>
      <c r="K21" s="91" t="n"/>
      <c r="AI21" s="91" t="n"/>
    </row>
    <row r="22" ht="11.25" customHeight="1" s="680">
      <c r="A22" s="891" t="n"/>
      <c r="K22" s="91" t="n"/>
      <c r="L22" s="901" t="inlineStr">
        <is>
          <t>左大拇指優先：左大拇指無法按乃捺指紋時，應依採驗尿液實施辦法第</t>
        </is>
      </c>
      <c r="AI22" s="611" t="n"/>
    </row>
    <row r="23" ht="11.25" customHeight="1" s="680" thickBot="1">
      <c r="A23" s="891" t="n"/>
      <c r="K23" s="91" t="n"/>
      <c r="L23" s="303" t="inlineStr">
        <is>
          <t>１３條第２項辦理。</t>
        </is>
      </c>
      <c r="M23" s="304" t="n"/>
      <c r="N23" s="304" t="n"/>
      <c r="O23" s="304" t="n"/>
      <c r="P23" s="304" t="n"/>
      <c r="Q23" s="304" t="n"/>
      <c r="R23" s="304" t="n"/>
      <c r="S23" s="304" t="n"/>
      <c r="T23" s="304" t="n"/>
      <c r="U23" s="268" t="n"/>
      <c r="V23" s="268" t="n"/>
      <c r="W23" s="268" t="n"/>
      <c r="X23" s="268" t="n"/>
      <c r="Y23" s="268" t="n"/>
      <c r="Z23" s="268" t="n"/>
      <c r="AA23" s="268" t="n"/>
      <c r="AB23" s="268" t="n"/>
      <c r="AC23" s="268" t="n"/>
      <c r="AD23" s="268" t="n"/>
      <c r="AI23" s="91" t="n"/>
    </row>
    <row r="24" ht="22.5" customHeight="1" s="680">
      <c r="A24" s="288" t="inlineStr">
        <is>
          <t>檢體狀態確認：</t>
        </is>
      </c>
      <c r="B24" s="287" t="n"/>
      <c r="C24" s="287" t="n"/>
      <c r="D24" s="287" t="n"/>
      <c r="E24" s="287" t="n"/>
      <c r="F24" s="287" t="n"/>
      <c r="G24" s="287" t="n"/>
      <c r="H24" s="287" t="n"/>
      <c r="I24" s="287" t="n"/>
      <c r="J24" s="287" t="n"/>
      <c r="K24" s="287" t="n"/>
      <c r="L24" s="287" t="n"/>
      <c r="M24" s="287" t="n"/>
      <c r="N24" s="287" t="n"/>
      <c r="O24" s="287" t="n"/>
      <c r="P24" s="287" t="n"/>
      <c r="Q24" s="287" t="n"/>
      <c r="R24" s="287" t="n"/>
      <c r="S24" s="287" t="n"/>
      <c r="T24" s="287" t="n"/>
      <c r="U24" s="287" t="n"/>
      <c r="V24" s="287" t="n"/>
      <c r="W24" s="287" t="n"/>
      <c r="X24" s="287" t="n"/>
      <c r="Y24" s="287" t="n"/>
      <c r="Z24" s="287" t="n"/>
      <c r="AA24" s="287" t="n"/>
      <c r="AB24" s="287" t="n"/>
      <c r="AC24" s="287" t="n"/>
      <c r="AD24" s="287" t="n"/>
      <c r="AE24" s="287" t="n"/>
      <c r="AF24" s="287" t="n"/>
      <c r="AG24" s="287" t="n"/>
      <c r="AH24" s="287" t="n"/>
      <c r="AI24" s="90" t="n"/>
    </row>
    <row r="25" ht="16.7" customHeight="1" s="680">
      <c r="A25" s="898" t="inlineStr">
        <is>
          <t xml:space="preserve">１每瓶檢體量是否均達30毫升以上：□是□否                 </t>
        </is>
      </c>
      <c r="AI25" s="91" t="n"/>
    </row>
    <row r="26" ht="16.7" customHeight="1" s="680">
      <c r="A26" s="898" t="inlineStr">
        <is>
          <t xml:space="preserve">２檢體封緘是否完整：□是□否                       </t>
        </is>
      </c>
      <c r="AI26" s="91" t="n"/>
    </row>
    <row r="27" ht="16.7" customHeight="1" s="680">
      <c r="A27" s="898" t="inlineStr">
        <is>
          <t xml:space="preserve">３檢體溫度是否介於攝氏3 2度至3 8度間：□是□否                              </t>
        </is>
      </c>
      <c r="AI27" s="91" t="n"/>
    </row>
    <row r="28" ht="16.7" customHeight="1" s="680">
      <c r="A28" s="898" t="inlineStr">
        <is>
          <t xml:space="preserve">４檢體外觀（顏色、懸浮物等）是否正常：□是□否                              </t>
        </is>
      </c>
      <c r="AI28" s="91" t="n"/>
    </row>
    <row r="29" ht="16.7" customHeight="1" s="680">
      <c r="A29" s="891" t="inlineStr">
        <is>
          <t>５檢體封緘是否以油性筆、印泥簽名捺印：□是□否_________________</t>
        </is>
      </c>
      <c r="AI29" s="91" t="n"/>
    </row>
    <row r="30" ht="16.7" customHeight="1" s="680">
      <c r="A30" s="898" t="inlineStr">
        <is>
          <t xml:space="preserve">６其他重要跡象：□無□有                         </t>
        </is>
      </c>
      <c r="AI30" s="91" t="n"/>
    </row>
    <row r="31" ht="2.25" customHeight="1" s="680" thickBot="1">
      <c r="A31" s="891" t="n"/>
      <c r="O31" s="295" t="n"/>
      <c r="P31" s="295" t="n"/>
      <c r="Q31" s="295" t="n"/>
      <c r="R31" s="295" t="n"/>
      <c r="S31" s="295" t="n"/>
      <c r="T31" s="295" t="n"/>
      <c r="U31" s="295" t="n"/>
      <c r="V31" s="295" t="n"/>
      <c r="W31" s="295" t="n"/>
      <c r="X31" s="295" t="n"/>
      <c r="Y31" s="295" t="n"/>
      <c r="Z31" s="295" t="n"/>
      <c r="AA31" s="295" t="n"/>
      <c r="AB31" s="295" t="n"/>
      <c r="AC31" s="295" t="n"/>
      <c r="AI31" s="91" t="n"/>
    </row>
    <row r="32" ht="22.5" customHeight="1" s="680">
      <c r="A32" s="286" t="inlineStr">
        <is>
          <t>檢驗項目：</t>
        </is>
      </c>
      <c r="B32" s="287" t="n"/>
      <c r="C32" s="287" t="n"/>
      <c r="D32" s="287" t="n"/>
      <c r="E32" s="287" t="n"/>
      <c r="F32" s="287" t="n"/>
      <c r="G32" s="287" t="n"/>
      <c r="H32" s="287" t="n"/>
      <c r="I32" s="287" t="n"/>
      <c r="J32" s="287" t="n"/>
      <c r="K32" s="287" t="n"/>
      <c r="L32" s="287" t="n"/>
      <c r="M32" s="287" t="n"/>
      <c r="N32" s="287" t="n"/>
      <c r="AD32" s="287" t="n"/>
      <c r="AE32" s="287" t="n"/>
      <c r="AF32" s="287" t="n"/>
      <c r="AG32" s="287" t="n"/>
      <c r="AH32" s="287" t="n"/>
      <c r="AI32" s="90" t="n"/>
    </row>
    <row r="33" ht="19.7" customHeight="1" s="680">
      <c r="A33" s="898">
        <f>IF(輸入!$H$7=下拉用!$F$2,"■鴉片類（含海洛因）","□鴉片類（含海洛因）")</f>
        <v/>
      </c>
      <c r="E33" s="161" t="n"/>
      <c r="I33" s="592">
        <f>IF(輸入!$H$7=下拉用!$F$3,"■安非他命類","□安非他命類")</f>
        <v/>
      </c>
      <c r="L33" s="503" t="n"/>
      <c r="V33" s="592" t="inlineStr">
        <is>
          <t>□搖頭丸</t>
        </is>
      </c>
      <c r="AI33" s="91" t="n"/>
    </row>
    <row r="34" ht="14.1" customHeight="1" s="680">
      <c r="A34" s="891" t="n"/>
      <c r="AI34" s="91" t="n"/>
    </row>
    <row r="35" ht="17.1" customHeight="1" s="680">
      <c r="A35" s="898" t="inlineStr">
        <is>
          <t>□大麻</t>
        </is>
      </c>
      <c r="H35" s="503" t="n"/>
      <c r="I35" s="503" t="n"/>
      <c r="J35" s="503">
        <f>IF(輸入!$H$7=下拉用!$F$4,"■愷他命","□愷他命")</f>
        <v/>
      </c>
      <c r="M35" s="503" t="n"/>
      <c r="Y35" s="592">
        <f>IF(輸入!$H$7=下拉用!$F$4,"■硝甲西泮（一粒眠）","□硝甲西泮（一粒眠）")</f>
        <v/>
      </c>
      <c r="AI35" s="91" t="n"/>
    </row>
    <row r="36" ht="11.25" customHeight="1" s="680">
      <c r="A36" s="891" t="n"/>
      <c r="AI36" s="91" t="n"/>
    </row>
    <row r="37" ht="17.1" customHeight="1" s="680">
      <c r="A37" s="273" t="inlineStr">
        <is>
          <t>□MMA</t>
        </is>
      </c>
      <c r="B37" s="49" t="n"/>
      <c r="C37" s="49" t="n"/>
      <c r="D37" s="49" t="n"/>
      <c r="E37" s="49" t="n"/>
      <c r="F37" s="49" t="n"/>
      <c r="G37" s="49" t="n"/>
      <c r="H37" s="274" t="n"/>
      <c r="I37" s="274" t="n"/>
      <c r="J37" s="274" t="inlineStr">
        <is>
          <t>□4-甲基甲基卡西酮（喵喵）</t>
        </is>
      </c>
      <c r="K37" s="49" t="n"/>
      <c r="L37" s="49" t="n"/>
      <c r="M37" s="274" t="n"/>
      <c r="N37" s="49" t="n"/>
      <c r="O37" s="49" t="n"/>
      <c r="P37" s="49" t="n"/>
      <c r="Q37" s="49" t="n"/>
      <c r="R37" s="49" t="n"/>
      <c r="S37" s="49" t="n"/>
      <c r="T37" s="49" t="n"/>
      <c r="U37" s="49" t="n"/>
      <c r="V37" s="49" t="n"/>
      <c r="W37" s="49" t="n"/>
      <c r="X37" s="49" t="n"/>
      <c r="Y37" s="49" t="inlineStr">
        <is>
          <t xml:space="preserve">□其他      </t>
        </is>
      </c>
      <c r="Z37" s="49" t="n"/>
      <c r="AA37" s="49" t="n"/>
      <c r="AB37" s="49" t="n"/>
      <c r="AC37" s="49" t="n"/>
      <c r="AD37" s="49" t="n"/>
      <c r="AE37" s="49" t="n"/>
      <c r="AF37" s="49" t="n"/>
      <c r="AG37" s="49" t="n"/>
      <c r="AH37" s="49" t="n"/>
      <c r="AI37" s="93" t="n"/>
    </row>
  </sheetData>
  <mergeCells count="13">
    <mergeCell ref="A27:X27"/>
    <mergeCell ref="U9:AI9"/>
    <mergeCell ref="A2:AI2"/>
    <mergeCell ref="B15:AI15"/>
    <mergeCell ref="A29:X29"/>
    <mergeCell ref="U11:AI11"/>
    <mergeCell ref="D9:J9"/>
    <mergeCell ref="A1:AI1"/>
    <mergeCell ref="A28:X28"/>
    <mergeCell ref="D13:J13"/>
    <mergeCell ref="D11:J11"/>
    <mergeCell ref="L22:AI22"/>
    <mergeCell ref="U13:AI13"/>
  </mergeCells>
  <pageMargins left="0.3543307086614174" right="0.7480314960629921" top="0.7480314960629921" bottom="0.7480314960629921" header="0.3149606299212598" footer="0.3149606299212598"/>
  <pageSetup orientation="portrait" paperSize="9"/>
</worksheet>
</file>

<file path=xl/worksheets/sheet26.xml><?xml version="1.0" encoding="utf-8"?>
<worksheet xmlns="http://schemas.openxmlformats.org/spreadsheetml/2006/main">
  <sheetPr codeName="工作表10">
    <tabColor theme="9" tint="-0.249977111117893"/>
    <outlinePr summaryBelow="1" summaryRight="1"/>
    <pageSetUpPr/>
  </sheetPr>
  <dimension ref="A1:W27"/>
  <sheetViews>
    <sheetView view="pageLayout" topLeftCell="A16" zoomScaleNormal="100" zoomScaleSheetLayoutView="80" workbookViewId="0">
      <selection activeCell="A18" sqref="A18:W18"/>
    </sheetView>
  </sheetViews>
  <sheetFormatPr baseColWidth="8" defaultRowHeight="16.5"/>
  <cols>
    <col width="0.625" customWidth="1" style="592" min="1" max="1"/>
    <col width="0.375" customWidth="1" style="592" min="2" max="2"/>
    <col width="0.5" customWidth="1" style="592" min="3" max="4"/>
    <col width="1" customWidth="1" style="592" min="5" max="5"/>
    <col width="3.25" customWidth="1" style="592" min="6" max="6"/>
    <col width="1.25" customWidth="1" style="592" min="7" max="8"/>
    <col width="4.125" customWidth="1" style="592" min="9" max="9"/>
    <col width="5" customWidth="1" style="592" min="10" max="10"/>
    <col width="2.875" customWidth="1" style="592" min="11" max="11"/>
    <col width="3.375" customWidth="1" style="592" min="12" max="12"/>
    <col width="4.625" customWidth="1" style="592" min="13" max="13"/>
    <col width="3.375" customWidth="1" style="592" min="14" max="14"/>
    <col width="2.875" customWidth="1" style="592" min="15" max="16"/>
    <col width="3.25" customWidth="1" style="592" min="17" max="17"/>
    <col width="2.375" customWidth="1" style="592" min="18" max="18"/>
    <col width="1.625" customWidth="1" style="592" min="19" max="19"/>
    <col width="3.375" customWidth="1" style="592" min="20" max="20"/>
    <col width="9" customWidth="1" style="592" min="21" max="21"/>
    <col width="7.125" customWidth="1" style="592" min="22" max="22"/>
    <col width="12.125" customWidth="1" style="592" min="23" max="23"/>
    <col width="9" customWidth="1" style="592" min="24" max="25"/>
    <col width="9" customWidth="1" style="592" min="26" max="16384"/>
  </cols>
  <sheetData>
    <row r="1" ht="30" customHeight="1" s="680">
      <c r="A1" s="246" t="n"/>
      <c r="B1" s="246" t="n"/>
      <c r="C1" s="246" t="n"/>
      <c r="D1" s="911" t="inlineStr">
        <is>
          <t>自願受採尿同意書</t>
        </is>
      </c>
    </row>
    <row r="2" ht="60.75" customHeight="1" s="680"/>
    <row r="3" ht="25.5" customHeight="1" s="680">
      <c r="A3" s="910">
        <f>CONCATENATE("本人  ",word用!$H$2,"  出於自願，同意 ",下拉用!$J$6," 接")</f>
        <v/>
      </c>
    </row>
    <row r="4" ht="17.1" customHeight="1" s="680"/>
    <row r="5" ht="24.95" customFormat="1" customHeight="1" s="910">
      <c r="A5" s="162" t="n"/>
      <c r="B5" s="162">
        <f>CONCATENATE("受",輸入!$S$18,輸入!$T$18,輸入!$S$19,輸入!$T$19,"人員")</f>
        <v/>
      </c>
      <c r="C5" s="162" t="n"/>
      <c r="D5" s="162" t="n"/>
      <c r="E5" s="162" t="n"/>
      <c r="F5" s="162" t="n"/>
      <c r="G5" s="162" t="n"/>
      <c r="H5" s="162" t="n"/>
      <c r="I5" s="162" t="n"/>
      <c r="J5" s="162" t="n"/>
      <c r="K5" s="162" t="n"/>
      <c r="L5" s="162" t="n"/>
      <c r="M5" s="162" t="n"/>
      <c r="N5" s="162" t="n"/>
      <c r="O5" s="162" t="n"/>
      <c r="P5" s="162" t="n"/>
      <c r="Q5" s="162" t="n"/>
      <c r="R5" s="162" t="n"/>
      <c r="S5" s="162" t="n"/>
      <c r="T5" s="162" t="n"/>
      <c r="U5" s="162" t="n"/>
      <c r="V5" s="162" t="n"/>
      <c r="W5" s="162" t="inlineStr">
        <is>
          <t xml:space="preserve">     等</t>
        </is>
      </c>
    </row>
    <row r="6" ht="17.1" customHeight="1" s="680"/>
    <row r="7" ht="25.5" customHeight="1" s="680">
      <c r="A7" s="162" t="inlineStr">
        <is>
          <t>採尿</t>
        </is>
      </c>
      <c r="B7" s="1160" t="n"/>
      <c r="C7" s="1160" t="n"/>
      <c r="D7" s="1160" t="n"/>
      <c r="E7" s="1160" t="n"/>
    </row>
    <row r="8" ht="17.1" customHeight="1" s="680"/>
    <row r="9" ht="25.5" customHeight="1" s="680">
      <c r="A9" s="162" t="inlineStr">
        <is>
          <t>特立此同意書。</t>
        </is>
      </c>
      <c r="B9" s="162" t="n"/>
      <c r="C9" s="162" t="n"/>
      <c r="D9" s="162" t="n"/>
      <c r="E9" s="162" t="n"/>
      <c r="F9" s="162" t="n"/>
      <c r="G9" s="162" t="n"/>
      <c r="H9" s="162" t="n"/>
    </row>
    <row r="10" ht="18.75" customHeight="1" s="680">
      <c r="A10" s="162" t="n"/>
      <c r="B10" s="162" t="n"/>
      <c r="C10" s="162" t="n"/>
      <c r="D10" s="162" t="n"/>
      <c r="E10" s="162" t="n"/>
      <c r="F10" s="162" t="n"/>
      <c r="G10" s="162" t="n"/>
      <c r="H10" s="162" t="n"/>
    </row>
    <row r="11" ht="19.5" customHeight="1" s="680">
      <c r="I11" s="912" t="inlineStr">
        <is>
          <t>受採尿人：</t>
        </is>
      </c>
    </row>
    <row r="12" ht="21" customHeight="1" s="680">
      <c r="I12" s="912" t="n"/>
      <c r="J12" s="912" t="n"/>
      <c r="K12" s="912" t="n"/>
      <c r="L12" s="913" t="n"/>
    </row>
    <row r="13" ht="19.5" customHeight="1" s="680">
      <c r="I13" s="913" t="inlineStr">
        <is>
          <t>住</t>
        </is>
      </c>
      <c r="J13" s="913" t="n"/>
      <c r="K13" s="913" t="inlineStr">
        <is>
          <t>所：</t>
        </is>
      </c>
    </row>
    <row r="14" ht="21" customHeight="1" s="680">
      <c r="I14" s="913" t="n"/>
      <c r="J14" s="913" t="n"/>
      <c r="K14" s="913" t="n"/>
      <c r="L14" s="913" t="n"/>
    </row>
    <row r="15" ht="19.5" customHeight="1" s="680">
      <c r="I15" s="913" t="inlineStr">
        <is>
          <t xml:space="preserve">電    </t>
        </is>
      </c>
      <c r="J15" s="913" t="n"/>
      <c r="K15" s="913" t="inlineStr">
        <is>
          <t>話：</t>
        </is>
      </c>
    </row>
    <row r="16" ht="25.5" customHeight="1" s="680">
      <c r="I16" s="913" t="n"/>
      <c r="J16" s="913" t="n"/>
      <c r="K16" s="913" t="n"/>
      <c r="L16" s="913" t="n"/>
    </row>
    <row r="17" ht="19.5" customFormat="1" customHeight="1" s="913">
      <c r="A17" s="912" t="inlineStr">
        <is>
          <t>中華民國</t>
        </is>
      </c>
      <c r="M17" s="912">
        <f>下拉用!$J$6</f>
        <v/>
      </c>
    </row>
    <row r="18" ht="26.25" customHeight="1" s="680">
      <c r="A18" s="914" t="inlineStr">
        <is>
          <t>※受採尿人得依其自由意志同意或不同意本次採尿，並得隨</t>
        </is>
      </c>
    </row>
    <row r="19" ht="21" customHeight="1" s="680">
      <c r="C19" s="243" t="n"/>
      <c r="F19" s="245" t="inlineStr">
        <is>
          <t>時撤回同意。</t>
        </is>
      </c>
      <c r="G19" s="244" t="n"/>
      <c r="H19" s="244" t="n"/>
      <c r="I19" s="244" t="n"/>
      <c r="J19" s="244" t="n"/>
      <c r="K19" s="244" t="n"/>
    </row>
    <row r="20" ht="30.75" customHeight="1" s="680"/>
    <row r="21" ht="19.5" customHeight="1" s="680">
      <c r="A21" s="592" t="inlineStr">
        <is>
          <t>註：</t>
        </is>
      </c>
    </row>
    <row r="22" ht="19.5" customHeight="1" s="680">
      <c r="A22" s="592" t="inlineStr">
        <is>
          <t xml:space="preserve">一、	</t>
        </is>
      </c>
      <c r="F22" s="913" t="n"/>
      <c r="G22" s="763" t="inlineStr">
        <is>
          <t>執行人員應嚴格遵守「應著制服或出示證件表明身分」，「經受</t>
        </is>
      </c>
    </row>
    <row r="23" ht="19.5" customHeight="1" s="680">
      <c r="G23" s="763" t="inlineStr">
        <is>
          <t>採尿人出於自願性同意」，並將「其同意之意旨記載於筆錄」等</t>
        </is>
      </c>
    </row>
    <row r="24" ht="19.5" customHeight="1" s="680">
      <c r="G24" s="913" t="inlineStr">
        <is>
          <t>法定程序。</t>
        </is>
      </c>
      <c r="H24" s="913" t="n"/>
      <c r="I24" s="913" t="n"/>
      <c r="J24" s="913" t="n"/>
      <c r="K24" s="913" t="n"/>
      <c r="L24" s="913" t="n"/>
      <c r="M24" s="913" t="n"/>
      <c r="N24" s="913" t="n"/>
      <c r="O24" s="913" t="n"/>
      <c r="P24" s="913" t="n"/>
      <c r="Q24" s="913" t="n"/>
      <c r="R24" s="913" t="n"/>
      <c r="S24" s="913" t="n"/>
      <c r="T24" s="913" t="n"/>
      <c r="U24" s="913" t="n"/>
      <c r="V24" s="913" t="n"/>
    </row>
    <row r="25" ht="19.5" customHeight="1" s="680">
      <c r="A25" s="592" t="inlineStr">
        <is>
          <t>二、</t>
        </is>
      </c>
      <c r="G25" s="912" t="inlineStr">
        <is>
          <t>所謂「經受採尿人出於自願性同意」係指受採尿人得依其自由</t>
        </is>
      </c>
    </row>
    <row r="26" ht="19.5" customHeight="1" s="680">
      <c r="G26" s="763" t="inlineStr">
        <is>
          <t>意志同意或不同意本次採尿，並得隨時撤回同意。</t>
        </is>
      </c>
    </row>
    <row r="27" ht="19.5" customHeight="1" s="680">
      <c r="A27" s="592" t="inlineStr">
        <is>
          <t>三、</t>
        </is>
      </c>
      <c r="G27" s="913" t="inlineStr">
        <is>
          <t>應於獲得受採尿人同意後始得開始執行採尿。</t>
        </is>
      </c>
      <c r="H27" s="763" t="n"/>
      <c r="I27" s="913" t="n"/>
      <c r="J27" s="913" t="n"/>
      <c r="K27" s="913" t="n"/>
      <c r="L27" s="913" t="n"/>
      <c r="M27" s="913" t="n"/>
      <c r="N27" s="913" t="n"/>
      <c r="O27" s="913" t="n"/>
      <c r="P27" s="913" t="n"/>
      <c r="Q27" s="913" t="n"/>
      <c r="R27" s="913" t="n"/>
      <c r="S27" s="913" t="n"/>
      <c r="T27" s="913" t="n"/>
      <c r="U27" s="913" t="n"/>
      <c r="V27" s="913" t="n"/>
    </row>
  </sheetData>
  <mergeCells count="10">
    <mergeCell ref="G23:W23"/>
    <mergeCell ref="G22:W22"/>
    <mergeCell ref="M17:W17"/>
    <mergeCell ref="A18:W18"/>
    <mergeCell ref="A17:J17"/>
    <mergeCell ref="A3:W3"/>
    <mergeCell ref="G26:V26"/>
    <mergeCell ref="G25:W25"/>
    <mergeCell ref="D1:W1"/>
    <mergeCell ref="I11:L11"/>
  </mergeCells>
  <printOptions horizontalCentered="1"/>
  <pageMargins left="0.984251968503937" right="0.984251968503937" top="1.220472440944882" bottom="1.181102362204725" header="0.5118110236220472" footer="0.5118110236220472"/>
  <pageSetup orientation="portrait" paperSize="9"/>
</worksheet>
</file>

<file path=xl/worksheets/sheet27.xml><?xml version="1.0" encoding="utf-8"?>
<worksheet xmlns="http://schemas.openxmlformats.org/spreadsheetml/2006/main">
  <sheetPr codeName="工作表41">
    <tabColor theme="9"/>
    <outlinePr summaryBelow="1" summaryRight="1"/>
    <pageSetUpPr/>
  </sheetPr>
  <dimension ref="A1:V7"/>
  <sheetViews>
    <sheetView view="pageLayout" topLeftCell="A3" zoomScale="85" zoomScaleNormal="100" zoomScalePageLayoutView="85" workbookViewId="0">
      <selection activeCell="A8" sqref="A8"/>
    </sheetView>
  </sheetViews>
  <sheetFormatPr baseColWidth="8" defaultColWidth="9" defaultRowHeight="16.5"/>
  <cols>
    <col width="6" customWidth="1" style="680" min="1" max="1"/>
    <col width="4.875" customWidth="1" style="680" min="2" max="3"/>
    <col width="7.875" customWidth="1" style="680" min="4" max="4"/>
    <col width="10.25" customWidth="1" style="680" min="5" max="5"/>
    <col width="10.875" customWidth="1" style="680" min="6" max="6"/>
    <col width="5.5" customWidth="1" style="680" min="7" max="7"/>
    <col width="14.25" customWidth="1" style="680" min="8" max="8"/>
    <col hidden="1" width="4.875" customWidth="1" style="680" min="9" max="9"/>
    <col hidden="1" width="7.5" customWidth="1" style="680" min="10" max="10"/>
    <col width="20.125" customWidth="1" style="680" min="11" max="11"/>
    <col width="6" customWidth="1" style="680" min="12" max="12"/>
    <col width="4.875" customWidth="1" style="680" min="13" max="14"/>
    <col width="8.375" customWidth="1" style="680" min="15" max="15"/>
    <col width="10.25" customWidth="1" style="680" min="16" max="16"/>
    <col width="10.5" customWidth="1" style="680" min="17" max="17"/>
    <col width="5.5" customWidth="1" style="680" min="18" max="18"/>
    <col width="18.125" customWidth="1" style="680" min="19" max="19"/>
    <col width="3" customWidth="1" style="680" min="20" max="20"/>
    <col width="8.375" customWidth="1" style="680" min="21" max="21"/>
    <col width="8.75" customWidth="1" style="680" min="22" max="22"/>
  </cols>
  <sheetData>
    <row r="1" ht="50.25" customHeight="1" s="680" thickBot="1">
      <c r="A1" s="856">
        <f>CONCATENATE(輸入!$S$18,輸入!$T$18,輸入!$S$19,輸入!$T$19,輸入!$S$20,輸入!$T$20,"毒品案件蒐證照片")</f>
        <v/>
      </c>
      <c r="B1" s="850" t="n"/>
      <c r="C1" s="850" t="n"/>
      <c r="D1" s="850" t="n"/>
      <c r="E1" s="850" t="n"/>
      <c r="F1" s="850" t="n"/>
      <c r="G1" s="850" t="n"/>
      <c r="H1" s="850" t="n"/>
      <c r="I1" s="850" t="n"/>
      <c r="J1" s="850" t="n"/>
      <c r="K1" s="850" t="n"/>
      <c r="L1" s="856">
        <f>CONCATENATE(輸入!$S$18,輸入!$T$18,輸入!$S$19,輸入!$T$19,輸入!$S$20,輸入!$T$20,"毒品案件蒐證照片")</f>
        <v/>
      </c>
      <c r="M1" s="850" t="n"/>
      <c r="N1" s="850" t="n"/>
      <c r="O1" s="850" t="n"/>
      <c r="P1" s="850" t="n"/>
      <c r="Q1" s="850" t="n"/>
      <c r="R1" s="850" t="n"/>
      <c r="S1" s="850" t="n"/>
      <c r="T1" s="850" t="n"/>
      <c r="U1" s="850" t="n"/>
      <c r="V1" s="850" t="n"/>
    </row>
    <row r="2" ht="326.1" customHeight="1" s="680" thickBot="1" thickTop="1">
      <c r="A2" s="921" t="n"/>
      <c r="B2" s="918" t="n"/>
      <c r="C2" s="918" t="n"/>
      <c r="D2" s="918" t="n"/>
      <c r="E2" s="918" t="n"/>
      <c r="F2" s="918" t="n"/>
      <c r="G2" s="918" t="n"/>
      <c r="H2" s="918" t="n"/>
      <c r="I2" s="918" t="n"/>
      <c r="J2" s="918" t="n"/>
      <c r="K2" s="919" t="n"/>
      <c r="L2" s="921" t="n"/>
      <c r="M2" s="918" t="n"/>
      <c r="N2" s="918" t="n"/>
      <c r="O2" s="918" t="n"/>
      <c r="P2" s="918" t="n"/>
      <c r="Q2" s="918" t="n"/>
      <c r="R2" s="918" t="n"/>
      <c r="S2" s="918" t="n"/>
      <c r="T2" s="918" t="n"/>
      <c r="U2" s="918" t="n"/>
      <c r="V2" s="919" t="n"/>
    </row>
    <row r="3" ht="19.7" customHeight="1" s="680" thickBot="1" thickTop="1">
      <c r="A3" s="915">
        <f>CONCATENATE("說明：犯罪嫌疑人",word用!$H$2,"(",word用!$I$2,")。")</f>
        <v/>
      </c>
      <c r="B3" s="830" t="n"/>
      <c r="C3" s="830" t="n"/>
      <c r="D3" s="830" t="n"/>
      <c r="E3" s="830" t="n"/>
      <c r="F3" s="830" t="n"/>
      <c r="G3" s="830" t="n"/>
      <c r="H3" s="830" t="n"/>
      <c r="I3" s="830" t="n"/>
      <c r="J3" s="830" t="n"/>
      <c r="K3" s="831" t="n"/>
      <c r="L3" s="915" t="inlineStr">
        <is>
          <t>說明：鑑驗結果特寫。</t>
        </is>
      </c>
      <c r="M3" s="830" t="n"/>
      <c r="N3" s="830" t="n"/>
      <c r="O3" s="830" t="n"/>
      <c r="P3" s="830" t="n"/>
      <c r="Q3" s="830" t="n"/>
      <c r="R3" s="830" t="n"/>
      <c r="S3" s="830" t="n"/>
      <c r="T3" s="830" t="n"/>
      <c r="U3" s="830" t="n"/>
      <c r="V3" s="831" t="n"/>
    </row>
    <row r="4" ht="19.7" customHeight="1" s="680" thickBot="1" thickTop="1">
      <c r="A4" s="916" t="n"/>
      <c r="B4" s="850" t="n"/>
      <c r="C4" s="850" t="n"/>
      <c r="D4" s="850" t="n"/>
      <c r="E4" s="850" t="n"/>
      <c r="F4" s="850" t="n"/>
      <c r="G4" s="850" t="n"/>
      <c r="H4" s="850" t="n"/>
      <c r="I4" s="850" t="n"/>
      <c r="J4" s="850" t="n"/>
      <c r="K4" s="851" t="n"/>
      <c r="L4" s="916" t="n"/>
      <c r="M4" s="850" t="n"/>
      <c r="N4" s="850" t="n"/>
      <c r="O4" s="850" t="n"/>
      <c r="P4" s="850" t="n"/>
      <c r="Q4" s="850" t="n"/>
      <c r="R4" s="850" t="n"/>
      <c r="S4" s="850" t="n"/>
      <c r="T4" s="850" t="n"/>
      <c r="U4" s="850" t="n"/>
      <c r="V4" s="851" t="n"/>
    </row>
    <row r="5" ht="326.1" customHeight="1" s="680" thickBot="1" thickTop="1">
      <c r="A5" s="917" t="n"/>
      <c r="B5" s="918" t="n"/>
      <c r="C5" s="918" t="n"/>
      <c r="D5" s="918" t="n"/>
      <c r="E5" s="918" t="n"/>
      <c r="F5" s="918" t="n"/>
      <c r="G5" s="918" t="n"/>
      <c r="H5" s="918" t="n"/>
      <c r="I5" s="918" t="n"/>
      <c r="J5" s="918" t="n"/>
      <c r="K5" s="919" t="n"/>
      <c r="L5" s="920" t="n"/>
    </row>
    <row r="6" ht="19.7" customHeight="1" s="680" thickBot="1" thickTop="1">
      <c r="A6" s="915" t="inlineStr">
        <is>
          <t>說明：裝有疑似安非他命液體一瓶</t>
        </is>
      </c>
      <c r="B6" s="830" t="n"/>
      <c r="C6" s="830" t="n"/>
      <c r="D6" s="830" t="n"/>
      <c r="E6" s="830" t="n"/>
      <c r="F6" s="830" t="n"/>
      <c r="G6" s="830" t="n"/>
      <c r="H6" s="830" t="n"/>
      <c r="I6" s="830" t="n"/>
      <c r="J6" s="830" t="n"/>
      <c r="K6" s="831" t="n"/>
    </row>
    <row r="7" ht="19.5" customHeight="1" s="680" thickBot="1" thickTop="1">
      <c r="A7" s="916" t="n"/>
      <c r="B7" s="850" t="n"/>
      <c r="C7" s="850" t="n"/>
      <c r="D7" s="850" t="n"/>
      <c r="E7" s="850" t="n"/>
      <c r="F7" s="850" t="n"/>
      <c r="G7" s="850" t="n"/>
      <c r="H7" s="850" t="n"/>
      <c r="I7" s="850" t="n"/>
      <c r="J7" s="850" t="n"/>
      <c r="K7" s="851" t="n"/>
      <c r="L7" s="709" t="n"/>
    </row>
    <row r="8" ht="17.25" customHeight="1" s="680" thickTop="1"/>
    <row r="14" ht="16.5" customHeight="1" s="680"/>
  </sheetData>
  <mergeCells count="10">
    <mergeCell ref="L3:V4"/>
    <mergeCell ref="A3:K4"/>
    <mergeCell ref="L2:V2"/>
    <mergeCell ref="A2:K2"/>
    <mergeCell ref="L7:V7"/>
    <mergeCell ref="A6:K7"/>
    <mergeCell ref="L1:V1"/>
    <mergeCell ref="A5:K5"/>
    <mergeCell ref="A1:K1"/>
    <mergeCell ref="L5:V6"/>
  </mergeCells>
  <printOptions horizontalCentered="1"/>
  <pageMargins left="0.7874015748031497" right="0.3937007874015748" top="0.5905511811023623" bottom="0.7086614173228347" header="0" footer="0.3937007874015748"/>
  <pageSetup orientation="portrait" paperSize="9"/>
  <headerFooter>
    <oddHeader/>
    <oddFooter>&amp;C第 &amp;P 頁，共 &amp;N 頁</oddFooter>
    <evenHeader/>
    <evenFooter/>
    <firstHeader/>
    <firstFooter/>
  </headerFooter>
  <drawing xmlns:r="http://schemas.openxmlformats.org/officeDocument/2006/relationships" r:id="rId1"/>
</worksheet>
</file>

<file path=xl/worksheets/sheet28.xml><?xml version="1.0" encoding="utf-8"?>
<worksheet xmlns="http://schemas.openxmlformats.org/spreadsheetml/2006/main">
  <sheetPr codeName="工作表43">
    <tabColor theme="9"/>
    <outlinePr summaryBelow="1" summaryRight="1"/>
    <pageSetUpPr/>
  </sheetPr>
  <dimension ref="A1:AG24"/>
  <sheetViews>
    <sheetView showGridLines="0" view="pageBreakPreview" topLeftCell="A7" zoomScaleNormal="327" zoomScaleSheetLayoutView="100" zoomScalePageLayoutView="85" workbookViewId="0">
      <selection activeCell="A2" sqref="A2:AG2"/>
    </sheetView>
  </sheetViews>
  <sheetFormatPr baseColWidth="8" defaultRowHeight="16.5"/>
  <cols>
    <col width="2.625" customWidth="1" style="680" min="1" max="33"/>
  </cols>
  <sheetData>
    <row r="1" ht="30" customHeight="1" s="680">
      <c r="A1" s="923" t="inlineStr">
        <is>
          <t>三、四級毒品裁罰案件管制表</t>
        </is>
      </c>
    </row>
    <row r="2" ht="19.5" customHeight="1" s="680">
      <c r="A2" s="924" t="inlineStr">
        <is>
          <t>*各單位送案時請確認有無檢附下列資料*</t>
        </is>
      </c>
    </row>
    <row r="3" ht="19.5" customHeight="1" s="680">
      <c r="A3" s="924" t="inlineStr">
        <is>
          <t>*未被移送之在場人、關係人如有採尿比照辦理*</t>
        </is>
      </c>
    </row>
    <row r="4" ht="33.75" customHeight="1" s="680">
      <c r="A4" s="759" t="inlineStr">
        <is>
          <t>V 1.陳報單</t>
        </is>
      </c>
    </row>
    <row r="5" ht="33.75" customHeight="1" s="680">
      <c r="A5" s="759" t="inlineStr">
        <is>
          <t>V 2.受處分人戶役政戶籍資料(未滿20歲者，需檢附代理人之</t>
        </is>
      </c>
    </row>
    <row r="6" ht="33.75" customHeight="1" s="680">
      <c r="A6" s="759" t="inlineStr">
        <is>
          <t xml:space="preserve">　　戶籍資料，戶籍不得為戶政事務所地址)</t>
        </is>
      </c>
    </row>
    <row r="7" ht="33.75" customHeight="1" s="680">
      <c r="A7" s="759" t="inlineStr">
        <is>
          <t>V 3.查扣物品檢驗結果無毒品成分代為毀棄同意書。</t>
        </is>
      </c>
    </row>
    <row r="8" ht="33.75" customHeight="1" s="680">
      <c r="A8" s="759" t="inlineStr">
        <is>
          <t>V 4.調查筆錄(如有其他涉案關係人亦須檢附)</t>
        </is>
      </c>
    </row>
    <row r="9" ht="33.75" customHeight="1" s="680">
      <c r="A9" s="759" t="inlineStr">
        <is>
          <t xml:space="preserve"> □承認持有</t>
        </is>
      </c>
    </row>
    <row r="10" ht="33.75" customHeight="1" s="680">
      <c r="A10" s="759" t="inlineStr">
        <is>
          <t xml:space="preserve"> □承認施用</t>
        </is>
      </c>
    </row>
    <row r="11" ht="33.75" customHeight="1" s="680">
      <c r="A11" s="759" t="inlineStr">
        <is>
          <t xml:space="preserve"> □不承認持有(如有指名誰持有，須附該被指名者筆錄，或</t>
        </is>
      </c>
    </row>
    <row r="12" ht="33.75" customHeight="1" s="680">
      <c r="A12" s="759" t="inlineStr">
        <is>
          <t xml:space="preserve">　 發現現處所之所有人筆錄，如車主、屋主、承租人等)</t>
        </is>
      </c>
    </row>
    <row r="13" ht="33.75" customHeight="1" s="680">
      <c r="A13" s="759">
        <f>CONCATENATE(" ",IF(輸入!AQ29="愷他命","V 毋須處方簽(非FM2、一粒眠、佐沛眠等管制藥品)","□毋須處方簽(非FM2、一粒眠、佐沛眠等管制藥品"))</f>
        <v/>
      </c>
    </row>
    <row r="14" ht="33.75" customHeight="1" s="680">
      <c r="A14" s="759">
        <f>CONCATENATE(" ",IF(輸入!AQ29="愷他命","□無處方簽","□無處方簽"))</f>
        <v/>
      </c>
    </row>
    <row r="15" ht="33.75" customHeight="1" s="680">
      <c r="A15" s="759" t="inlineStr">
        <is>
          <t xml:space="preserve"> □有處方簽(敘明診所者須至診所索取，診所不願意提供者</t>
        </is>
      </c>
    </row>
    <row r="16" ht="33.75" customHeight="1" s="680">
      <c r="A16" s="759" t="inlineStr">
        <is>
          <t xml:space="preserve">　 需附查訪紀錄表)</t>
        </is>
      </c>
    </row>
    <row r="17" ht="33.75" customHeight="1" s="680">
      <c r="A17" s="759" t="inlineStr">
        <is>
          <t>V 5.自願受搜索同意書</t>
        </is>
      </c>
    </row>
    <row r="18" ht="33.75" customHeight="1" s="680">
      <c r="A18" s="759" t="inlineStr">
        <is>
          <t>V 6.搜索扣押筆錄</t>
        </is>
      </c>
    </row>
    <row r="19" ht="33.75" customHeight="1" s="680">
      <c r="A19" s="759" t="inlineStr">
        <is>
          <t>V 7.扣押物品目錄表清冊</t>
        </is>
      </c>
    </row>
    <row r="20" ht="33.75" customHeight="1" s="680">
      <c r="A20" s="759" t="inlineStr">
        <is>
          <t>V 8.查獲現場及毒品秤重照片</t>
        </is>
      </c>
    </row>
    <row r="21" ht="33.75" customHeight="1" s="680">
      <c r="A21" s="759" t="inlineStr">
        <is>
          <t>V 9.查獲毒品案件嫌犯通聯紀錄表</t>
        </is>
      </c>
    </row>
    <row r="22" ht="33.75" customHeight="1" s="680">
      <c r="A22" s="759" t="inlineStr">
        <is>
          <t>□10.其他(職務報告等因案情認為有必要檢附之資料)</t>
        </is>
      </c>
    </row>
    <row r="23" ht="33.75" customHeight="1" s="680">
      <c r="A23" s="922" t="inlineStr">
        <is>
          <t xml:space="preserve">承辦人:                             </t>
        </is>
      </c>
      <c r="T23" s="922" t="inlineStr">
        <is>
          <t xml:space="preserve">主管:                             </t>
        </is>
      </c>
    </row>
    <row r="24" ht="21" customHeight="1" s="680">
      <c r="A24" s="1160" t="n"/>
    </row>
  </sheetData>
  <mergeCells count="24">
    <mergeCell ref="A1:AG1"/>
    <mergeCell ref="A6:AG6"/>
    <mergeCell ref="A23:S23"/>
    <mergeCell ref="A16:AG16"/>
    <mergeCell ref="A7:AG7"/>
    <mergeCell ref="A18:AG18"/>
    <mergeCell ref="A3:AG3"/>
    <mergeCell ref="A21:AG21"/>
    <mergeCell ref="A12:AG12"/>
    <mergeCell ref="A2:AG2"/>
    <mergeCell ref="A5:AG5"/>
    <mergeCell ref="A14:AG14"/>
    <mergeCell ref="A17:AG17"/>
    <mergeCell ref="A8:AG8"/>
    <mergeCell ref="A22:AG22"/>
    <mergeCell ref="A4:AG4"/>
    <mergeCell ref="A20:AG20"/>
    <mergeCell ref="A19:AG19"/>
    <mergeCell ref="A10:AG10"/>
    <mergeCell ref="T23:AG23"/>
    <mergeCell ref="A13:AG13"/>
    <mergeCell ref="A9:AG9"/>
    <mergeCell ref="A15:AG15"/>
    <mergeCell ref="A11:AG11"/>
  </mergeCells>
  <pageMargins left="0.7" right="0.7" top="0.75" bottom="0.75" header="0.3" footer="0.3"/>
  <pageSetup orientation="portrait" paperSize="9"/>
</worksheet>
</file>

<file path=xl/worksheets/sheet29.xml><?xml version="1.0" encoding="utf-8"?>
<worksheet xmlns="http://schemas.openxmlformats.org/spreadsheetml/2006/main">
  <sheetPr codeName="工作表19">
    <tabColor rgb="FFFF0000"/>
    <outlinePr summaryBelow="1" summaryRight="1"/>
    <pageSetUpPr/>
  </sheetPr>
  <dimension ref="B1:AA50"/>
  <sheetViews>
    <sheetView showGridLines="0" showZeros="0" view="pageBreakPreview" topLeftCell="A5" zoomScale="85" zoomScaleNormal="75" zoomScaleSheetLayoutView="85" workbookViewId="0">
      <selection activeCell="AC14" sqref="AC14"/>
    </sheetView>
  </sheetViews>
  <sheetFormatPr baseColWidth="8" defaultColWidth="3.125" defaultRowHeight="18.75" customHeight="1"/>
  <cols>
    <col width="1.625" customWidth="1" style="25" min="1" max="1"/>
    <col width="3.375" customWidth="1" style="25" min="2" max="6"/>
    <col width="3.75" customWidth="1" style="25" min="7" max="7"/>
    <col width="3.375" customWidth="1" style="25" min="8" max="8"/>
    <col width="3.875" customWidth="1" style="25" min="9" max="9"/>
    <col width="3.375" customWidth="1" style="25" min="10" max="13"/>
    <col width="4.625" customWidth="1" style="25" min="14" max="15"/>
    <col width="3.375" customWidth="1" style="25" min="16" max="27"/>
    <col width="3.125" customWidth="1" style="25" min="28" max="28"/>
    <col width="3.125" customWidth="1" style="25" min="29" max="16384"/>
  </cols>
  <sheetData>
    <row r="1" ht="22.5" customHeight="1" s="680">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c r="AA1" s="26" t="n"/>
    </row>
    <row r="2" ht="34.5" customHeight="1" s="680">
      <c r="B2" s="641">
        <f>CONCATENATE(,輸入!$S$18,輸入!$T$18,輸入!$S$19,輸入!$T$19,輸入!$S$20,輸入!$T$20,"陳報單")</f>
        <v/>
      </c>
      <c r="C2" s="642" t="n"/>
      <c r="D2" s="642" t="n"/>
      <c r="E2" s="642" t="n"/>
      <c r="F2" s="642" t="n"/>
      <c r="G2" s="642" t="n"/>
      <c r="H2" s="642" t="n"/>
      <c r="I2" s="642" t="n"/>
      <c r="J2" s="642" t="n"/>
      <c r="K2" s="642" t="n"/>
      <c r="L2" s="642" t="n"/>
      <c r="M2" s="642" t="n"/>
      <c r="N2" s="642" t="n"/>
      <c r="O2" s="642" t="n"/>
      <c r="P2" s="642" t="n"/>
      <c r="Q2" s="642" t="n"/>
      <c r="R2" s="642" t="n"/>
      <c r="S2" s="642" t="n"/>
      <c r="T2" s="642" t="n"/>
      <c r="U2" s="642" t="n"/>
      <c r="V2" s="642" t="n"/>
      <c r="W2" s="642" t="n"/>
      <c r="X2" s="642" t="n"/>
      <c r="Y2" s="642" t="n"/>
      <c r="Z2" s="642" t="n"/>
      <c r="AA2" s="642" t="n"/>
    </row>
    <row r="3" ht="18.75" customHeight="1" s="680">
      <c r="B3" s="29" t="n"/>
      <c r="C3" s="29">
        <f>IF(ISBLANK(輸入!$C$11),下拉用!$J$11,下拉用!$J$10)</f>
        <v/>
      </c>
      <c r="E3" s="40" t="n"/>
      <c r="F3" s="40" t="n"/>
      <c r="G3" s="40" t="n"/>
      <c r="H3" s="40" t="n"/>
      <c r="I3" s="41" t="n"/>
      <c r="J3" s="644" t="n"/>
      <c r="K3" s="644" t="n"/>
      <c r="L3" s="32" t="n"/>
      <c r="N3" s="31" t="inlineStr">
        <is>
          <t>發文字號：</t>
        </is>
      </c>
      <c r="O3" s="30" t="n"/>
      <c r="P3" s="26" t="n"/>
      <c r="Q3" s="26" t="n"/>
      <c r="S3" s="28" t="n"/>
      <c r="T3" s="29" t="inlineStr">
        <is>
          <t>案件編號：</t>
        </is>
      </c>
      <c r="U3" s="28" t="n"/>
      <c r="V3" s="28" t="n"/>
      <c r="W3" s="644">
        <f>IF(ISBLANK(word用!$U$2),"",word用!$U$2)</f>
        <v/>
      </c>
      <c r="X3" s="627" t="n"/>
      <c r="Y3" s="627" t="n"/>
      <c r="Z3" s="627" t="n"/>
      <c r="AA3" s="627" t="n"/>
    </row>
    <row r="4" ht="18.75" customHeight="1" s="680">
      <c r="B4" s="630" t="inlineStr">
        <is>
          <t>案類</t>
        </is>
      </c>
      <c r="C4" s="631" t="n"/>
      <c r="D4" s="631" t="n"/>
      <c r="E4" s="629" t="n"/>
      <c r="F4" s="630">
        <f>IF(輸入!$C$2="違反社會秩序維護法","□刑事案件■違反社會秩序維護法□違反行政法令案件","■刑事案件□違反社會秩序維護法□違反行政法令案件")</f>
        <v/>
      </c>
      <c r="G4" s="631" t="n"/>
      <c r="H4" s="631" t="n"/>
      <c r="I4" s="631" t="n"/>
      <c r="J4" s="631" t="n"/>
      <c r="K4" s="631" t="n"/>
      <c r="L4" s="631" t="n"/>
      <c r="M4" s="631" t="n"/>
      <c r="N4" s="631" t="n"/>
      <c r="O4" s="631" t="n"/>
      <c r="P4" s="631" t="n"/>
      <c r="Q4" s="631" t="n"/>
      <c r="R4" s="631" t="n"/>
      <c r="S4" s="631" t="n"/>
      <c r="T4" s="631" t="n"/>
      <c r="U4" s="631" t="n"/>
      <c r="V4" s="631" t="n"/>
      <c r="W4" s="631" t="n"/>
      <c r="X4" s="631" t="n"/>
      <c r="Y4" s="631" t="n"/>
      <c r="Z4" s="631" t="n"/>
      <c r="AA4" s="629" t="n"/>
    </row>
    <row r="5" ht="18.75" customHeight="1" s="680">
      <c r="B5" s="630" t="inlineStr">
        <is>
          <t>嫌疑人</t>
        </is>
      </c>
      <c r="C5" s="623" t="n"/>
      <c r="D5" s="623" t="n"/>
      <c r="E5" s="625" t="n"/>
      <c r="F5" s="630" t="inlineStr">
        <is>
          <t>性別</t>
        </is>
      </c>
      <c r="G5" s="625" t="n"/>
      <c r="H5" s="630" t="inlineStr">
        <is>
          <t>年齡</t>
        </is>
      </c>
      <c r="I5" s="625" t="n"/>
      <c r="J5" s="630" t="inlineStr">
        <is>
          <t>出生日期</t>
        </is>
      </c>
      <c r="K5" s="623" t="n"/>
      <c r="L5" s="623" t="n"/>
      <c r="M5" s="625" t="n"/>
      <c r="N5" s="630" t="inlineStr">
        <is>
          <t>職業</t>
        </is>
      </c>
      <c r="O5" s="625" t="n"/>
      <c r="P5" s="630" t="inlineStr">
        <is>
          <t>出生地</t>
        </is>
      </c>
      <c r="Q5" s="623" t="n"/>
      <c r="R5" s="625" t="n"/>
      <c r="S5" s="648" t="inlineStr">
        <is>
          <t xml:space="preserve">身分證
</t>
        </is>
      </c>
      <c r="T5" s="623" t="n"/>
      <c r="U5" s="623" t="n"/>
      <c r="V5" s="623" t="n"/>
      <c r="W5" s="625" t="n"/>
      <c r="X5" s="630" t="inlineStr">
        <is>
          <t>前科</t>
        </is>
      </c>
      <c r="Y5" s="623" t="n"/>
      <c r="Z5" s="623" t="n"/>
      <c r="AA5" s="625" t="n"/>
    </row>
    <row r="6" ht="18.75" customHeight="1" s="680">
      <c r="B6" s="626" t="n"/>
      <c r="C6" s="627" t="n"/>
      <c r="D6" s="627" t="n"/>
      <c r="E6" s="628" t="n"/>
      <c r="F6" s="626" t="n"/>
      <c r="G6" s="628" t="n"/>
      <c r="H6" s="626" t="n"/>
      <c r="I6" s="628" t="n"/>
      <c r="J6" s="626" t="n"/>
      <c r="K6" s="627" t="n"/>
      <c r="L6" s="627" t="n"/>
      <c r="M6" s="628" t="n"/>
      <c r="N6" s="626" t="n"/>
      <c r="O6" s="628" t="n"/>
      <c r="P6" s="626" t="n"/>
      <c r="Q6" s="627" t="n"/>
      <c r="R6" s="628" t="n"/>
      <c r="S6" s="645" t="inlineStr">
        <is>
          <t>統一編號</t>
        </is>
      </c>
      <c r="T6" s="627" t="n"/>
      <c r="U6" s="627" t="n"/>
      <c r="V6" s="627" t="n"/>
      <c r="W6" s="628" t="n"/>
      <c r="X6" s="626" t="n"/>
      <c r="Y6" s="627" t="n"/>
      <c r="Z6" s="627" t="n"/>
      <c r="AA6" s="628" t="n"/>
    </row>
    <row r="7" ht="37.5" customHeight="1" s="680">
      <c r="B7" s="624" t="inlineStr">
        <is>
          <t>張鈞揮</t>
        </is>
      </c>
      <c r="C7" s="623" t="n"/>
      <c r="D7" s="623" t="n"/>
      <c r="E7" s="625" t="n"/>
      <c r="F7" s="624">
        <f>VLOOKUP($B$7,個資,11,FALSE)</f>
        <v/>
      </c>
      <c r="G7" s="629" t="n"/>
      <c r="H7" s="624">
        <f>VLOOKUP($B$7,個資,10,FALSE)</f>
        <v/>
      </c>
      <c r="I7" s="629" t="n"/>
      <c r="J7" s="649">
        <f>VLOOKUP($B$7,個資,16,FALSE)</f>
        <v/>
      </c>
      <c r="K7" s="631" t="n"/>
      <c r="L7" s="631" t="n"/>
      <c r="M7" s="629" t="n"/>
      <c r="N7" s="624">
        <f>VLOOKUP($B$7,個資,8,FALSE)</f>
        <v/>
      </c>
      <c r="O7" s="629" t="n"/>
      <c r="P7" s="624">
        <f>VLOOKUP($B$7,個資,3,FALSE)</f>
        <v/>
      </c>
      <c r="Q7" s="631" t="n"/>
      <c r="R7" s="629" t="n"/>
      <c r="S7" s="624">
        <f>UPPER(VLOOKUP($B$7,個資,2,FALSE))</f>
        <v/>
      </c>
      <c r="T7" s="631" t="n"/>
      <c r="U7" s="631" t="n"/>
      <c r="V7" s="631" t="n"/>
      <c r="W7" s="629" t="n"/>
      <c r="X7" s="624" t="inlineStr">
        <is>
          <t>如附件</t>
        </is>
      </c>
      <c r="Y7" s="631" t="n"/>
      <c r="Z7" s="631" t="n"/>
      <c r="AA7" s="629" t="n"/>
    </row>
    <row r="8" ht="37.5" customHeight="1" s="680">
      <c r="B8" s="626" t="n"/>
      <c r="C8" s="627" t="n"/>
      <c r="D8" s="627" t="n"/>
      <c r="E8" s="628" t="n"/>
      <c r="F8" s="630" t="inlineStr">
        <is>
          <t>住居所</t>
        </is>
      </c>
      <c r="G8" s="631" t="n"/>
      <c r="H8" s="631" t="n"/>
      <c r="I8" s="629" t="n"/>
      <c r="J8" s="632">
        <f>VLOOKUP($B$7,個資,6,FALSE)</f>
        <v/>
      </c>
      <c r="K8" s="631" t="n"/>
      <c r="L8" s="631" t="n"/>
      <c r="M8" s="631" t="n"/>
      <c r="N8" s="631" t="n"/>
      <c r="O8" s="631" t="n"/>
      <c r="P8" s="631" t="n"/>
      <c r="Q8" s="631" t="n"/>
      <c r="R8" s="631" t="n"/>
      <c r="S8" s="631" t="n"/>
      <c r="T8" s="631" t="n"/>
      <c r="U8" s="631" t="n"/>
      <c r="V8" s="631" t="n"/>
      <c r="W8" s="631" t="n"/>
      <c r="X8" s="631" t="n"/>
      <c r="Y8" s="631" t="n"/>
      <c r="Z8" s="631" t="n"/>
      <c r="AA8" s="629" t="n"/>
    </row>
    <row r="9" ht="18.75" customHeight="1" s="680">
      <c r="B9" s="630" t="inlineStr">
        <is>
          <t>關係人</t>
        </is>
      </c>
      <c r="C9" s="623" t="n"/>
      <c r="D9" s="623" t="n"/>
      <c r="E9" s="625" t="n"/>
      <c r="F9" s="630" t="inlineStr">
        <is>
          <t>性別</t>
        </is>
      </c>
      <c r="G9" s="625" t="n"/>
      <c r="H9" s="630" t="inlineStr">
        <is>
          <t>年齡</t>
        </is>
      </c>
      <c r="I9" s="625" t="n"/>
      <c r="J9" s="630" t="inlineStr">
        <is>
          <t>出生日期</t>
        </is>
      </c>
      <c r="K9" s="623" t="n"/>
      <c r="L9" s="623" t="n"/>
      <c r="M9" s="625" t="n"/>
      <c r="N9" s="630" t="inlineStr">
        <is>
          <t>職業</t>
        </is>
      </c>
      <c r="O9" s="625" t="n"/>
      <c r="P9" s="630" t="inlineStr">
        <is>
          <t>出生地</t>
        </is>
      </c>
      <c r="Q9" s="623" t="n"/>
      <c r="R9" s="625" t="n"/>
      <c r="S9" s="634">
        <f>CONCATENATE("身分證",CHAR(10),"統一編號")</f>
        <v/>
      </c>
      <c r="T9" s="623" t="n"/>
      <c r="U9" s="623" t="n"/>
      <c r="V9" s="623" t="n"/>
      <c r="W9" s="625" t="n"/>
      <c r="X9" s="646" t="inlineStr">
        <is>
          <t>何　　種
關　　係</t>
        </is>
      </c>
      <c r="Y9" s="623" t="n"/>
      <c r="Z9" s="623" t="n"/>
      <c r="AA9" s="625" t="n"/>
    </row>
    <row r="10" ht="18.75" customHeight="1" s="680">
      <c r="B10" s="626" t="n"/>
      <c r="C10" s="627" t="n"/>
      <c r="D10" s="627" t="n"/>
      <c r="E10" s="628" t="n"/>
      <c r="F10" s="626" t="n"/>
      <c r="G10" s="628" t="n"/>
      <c r="H10" s="626" t="n"/>
      <c r="I10" s="628" t="n"/>
      <c r="J10" s="626" t="n"/>
      <c r="K10" s="627" t="n"/>
      <c r="L10" s="627" t="n"/>
      <c r="M10" s="628" t="n"/>
      <c r="N10" s="626" t="n"/>
      <c r="O10" s="628" t="n"/>
      <c r="P10" s="626" t="n"/>
      <c r="Q10" s="627" t="n"/>
      <c r="R10" s="628" t="n"/>
      <c r="S10" s="626" t="n"/>
      <c r="T10" s="627" t="n"/>
      <c r="U10" s="627" t="n"/>
      <c r="V10" s="627" t="n"/>
      <c r="W10" s="628" t="n"/>
      <c r="X10" s="626" t="n"/>
      <c r="Y10" s="627" t="n"/>
      <c r="Z10" s="627" t="n"/>
      <c r="AA10" s="628" t="n"/>
    </row>
    <row r="11" ht="37.5" customHeight="1" s="680">
      <c r="B11" s="624" t="inlineStr">
        <is>
          <t>邱曉琳</t>
        </is>
      </c>
      <c r="C11" s="623" t="n"/>
      <c r="D11" s="623" t="n"/>
      <c r="E11" s="625" t="n"/>
      <c r="F11" s="624">
        <f>IFERROR(IF($B$11="","",VLOOKUP($B$11,個資,11,FALSE)),"")</f>
        <v/>
      </c>
      <c r="G11" s="629" t="n"/>
      <c r="H11" s="624">
        <f>IFERROR(IF($B$11="","",VLOOKUP($B$11,個資,10,FALSE)),"")</f>
        <v/>
      </c>
      <c r="I11" s="629" t="n"/>
      <c r="J11" s="649">
        <f>IF($B$11="","",VLOOKUP($B$11,個資,16,FALSE))</f>
        <v/>
      </c>
      <c r="K11" s="631" t="n"/>
      <c r="L11" s="631" t="n"/>
      <c r="M11" s="629" t="n"/>
      <c r="N11" s="624">
        <f>IF($B$11="","",VLOOKUP($B$11,個資,8,FALSE))</f>
        <v/>
      </c>
      <c r="O11" s="629" t="n"/>
      <c r="P11" s="624">
        <f>IF($B$11="","",VLOOKUP($B$11,個資,3,FALSE))</f>
        <v/>
      </c>
      <c r="Q11" s="631" t="n"/>
      <c r="R11" s="629" t="n"/>
      <c r="S11" s="624">
        <f>UPPER(IF($B$11="","",VLOOKUP($B$11,個資,2,FALSE)))</f>
        <v/>
      </c>
      <c r="T11" s="631" t="n"/>
      <c r="U11" s="631" t="n"/>
      <c r="V11" s="631" t="n"/>
      <c r="W11" s="629" t="n"/>
      <c r="X11" s="624">
        <f>IF($B$11="","",VLOOKUP($B$11,個資,12,FALSE))</f>
        <v/>
      </c>
      <c r="Y11" s="631" t="n"/>
      <c r="Z11" s="631" t="n"/>
      <c r="AA11" s="629" t="n"/>
    </row>
    <row r="12" ht="37.5" customHeight="1" s="680">
      <c r="B12" s="626" t="n"/>
      <c r="C12" s="627" t="n"/>
      <c r="D12" s="627" t="n"/>
      <c r="E12" s="628" t="n"/>
      <c r="F12" s="630" t="inlineStr">
        <is>
          <t>住居所</t>
        </is>
      </c>
      <c r="G12" s="631" t="n"/>
      <c r="H12" s="631" t="n"/>
      <c r="I12" s="629" t="n"/>
      <c r="J12" s="632">
        <f>IF($B$11="","",VLOOKUP($B$11,個資,6,FALSE))</f>
        <v/>
      </c>
      <c r="K12" s="631" t="n"/>
      <c r="L12" s="631" t="n"/>
      <c r="M12" s="631" t="n"/>
      <c r="N12" s="631" t="n"/>
      <c r="O12" s="631" t="n"/>
      <c r="P12" s="631" t="n"/>
      <c r="Q12" s="631" t="n"/>
      <c r="R12" s="631" t="n"/>
      <c r="S12" s="631" t="n"/>
      <c r="T12" s="631" t="n"/>
      <c r="U12" s="631" t="n"/>
      <c r="V12" s="631" t="n"/>
      <c r="W12" s="631" t="n"/>
      <c r="X12" s="631" t="n"/>
      <c r="Y12" s="631" t="n"/>
      <c r="Z12" s="631" t="n"/>
      <c r="AA12" s="629" t="n"/>
    </row>
    <row r="13" ht="18.75" customHeight="1" s="680">
      <c r="B13" s="630" t="inlineStr">
        <is>
          <t>關係人</t>
        </is>
      </c>
      <c r="C13" s="623" t="n"/>
      <c r="D13" s="623" t="n"/>
      <c r="E13" s="625" t="n"/>
      <c r="F13" s="630" t="inlineStr">
        <is>
          <t>性別</t>
        </is>
      </c>
      <c r="G13" s="625" t="n"/>
      <c r="H13" s="630" t="inlineStr">
        <is>
          <t>年齡</t>
        </is>
      </c>
      <c r="I13" s="625" t="n"/>
      <c r="J13" s="630" t="inlineStr">
        <is>
          <t>出生日期</t>
        </is>
      </c>
      <c r="K13" s="623" t="n"/>
      <c r="L13" s="623" t="n"/>
      <c r="M13" s="625" t="n"/>
      <c r="N13" s="630" t="inlineStr">
        <is>
          <t>職業</t>
        </is>
      </c>
      <c r="O13" s="625" t="n"/>
      <c r="P13" s="630" t="inlineStr">
        <is>
          <t>出生地</t>
        </is>
      </c>
      <c r="Q13" s="623" t="n"/>
      <c r="R13" s="625" t="n"/>
      <c r="S13" s="634">
        <f>CONCATENATE("身分證",CHAR(10),"統一編號")</f>
        <v/>
      </c>
      <c r="T13" s="623" t="n"/>
      <c r="U13" s="623" t="n"/>
      <c r="V13" s="623" t="n"/>
      <c r="W13" s="625" t="n"/>
      <c r="X13" s="646" t="inlineStr">
        <is>
          <t>何　　種
關　　係</t>
        </is>
      </c>
      <c r="Y13" s="623" t="n"/>
      <c r="Z13" s="623" t="n"/>
      <c r="AA13" s="625" t="n"/>
    </row>
    <row r="14" ht="18.75" customHeight="1" s="680">
      <c r="B14" s="626" t="n"/>
      <c r="C14" s="627" t="n"/>
      <c r="D14" s="627" t="n"/>
      <c r="E14" s="628" t="n"/>
      <c r="F14" s="626" t="n"/>
      <c r="G14" s="628" t="n"/>
      <c r="H14" s="626" t="n"/>
      <c r="I14" s="628" t="n"/>
      <c r="J14" s="626" t="n"/>
      <c r="K14" s="627" t="n"/>
      <c r="L14" s="627" t="n"/>
      <c r="M14" s="628" t="n"/>
      <c r="N14" s="626" t="n"/>
      <c r="O14" s="628" t="n"/>
      <c r="P14" s="626" t="n"/>
      <c r="Q14" s="627" t="n"/>
      <c r="R14" s="628" t="n"/>
      <c r="S14" s="626" t="n"/>
      <c r="T14" s="627" t="n"/>
      <c r="U14" s="627" t="n"/>
      <c r="V14" s="627" t="n"/>
      <c r="W14" s="628" t="n"/>
      <c r="X14" s="626" t="n"/>
      <c r="Y14" s="627" t="n"/>
      <c r="Z14" s="627" t="n"/>
      <c r="AA14" s="628" t="n"/>
    </row>
    <row r="15" ht="37.5" customHeight="1" s="680">
      <c r="B15" s="624" t="inlineStr">
        <is>
          <t>顏文祥</t>
        </is>
      </c>
      <c r="C15" s="623" t="n"/>
      <c r="D15" s="623" t="n"/>
      <c r="E15" s="625" t="n"/>
      <c r="F15" s="624">
        <f>IFERROR(IF($B$15="","",VLOOKUP($B$15,個資,11,FALSE)),"")</f>
        <v/>
      </c>
      <c r="G15" s="629" t="n"/>
      <c r="H15" s="624">
        <f>IFERROR(IF($B$15="","",VLOOKUP($B$15,個資,10,FALSE)),"")</f>
        <v/>
      </c>
      <c r="I15" s="629" t="n"/>
      <c r="J15" s="649">
        <f>IF($B$15="","",VLOOKUP($B$15,個資,16,FALSE))</f>
        <v/>
      </c>
      <c r="K15" s="631" t="n"/>
      <c r="L15" s="631" t="n"/>
      <c r="M15" s="629" t="n"/>
      <c r="N15" s="624">
        <f>IF($B$15="","",VLOOKUP($B$15,個資,8,FALSE))</f>
        <v/>
      </c>
      <c r="O15" s="629" t="n"/>
      <c r="P15" s="624">
        <f>IF($B$15="","",VLOOKUP($B$15,個資,3,FALSE))</f>
        <v/>
      </c>
      <c r="Q15" s="631" t="n"/>
      <c r="R15" s="629" t="n"/>
      <c r="S15" s="624">
        <f>IF($B$15="","",UPPER(VLOOKUP($B$15,個資,2,FALSE)))</f>
        <v/>
      </c>
      <c r="T15" s="631" t="n"/>
      <c r="U15" s="631" t="n"/>
      <c r="V15" s="631" t="n"/>
      <c r="W15" s="629" t="n"/>
      <c r="X15" s="624">
        <f>IF($B$15="","",VLOOKUP($B$15,個資,12,FALSE))</f>
        <v/>
      </c>
      <c r="Y15" s="631" t="n"/>
      <c r="Z15" s="631" t="n"/>
      <c r="AA15" s="629" t="n"/>
    </row>
    <row r="16" ht="37.5" customHeight="1" s="680">
      <c r="B16" s="626" t="n"/>
      <c r="C16" s="627" t="n"/>
      <c r="D16" s="627" t="n"/>
      <c r="E16" s="628" t="n"/>
      <c r="F16" s="630" t="inlineStr">
        <is>
          <t>住居所</t>
        </is>
      </c>
      <c r="G16" s="631" t="n"/>
      <c r="H16" s="631" t="n"/>
      <c r="I16" s="629" t="n"/>
      <c r="J16" s="632">
        <f>IF($B$15="","",VLOOKUP($B$15,個資,6,FALSE))</f>
        <v/>
      </c>
      <c r="K16" s="631" t="n"/>
      <c r="L16" s="631" t="n"/>
      <c r="M16" s="631" t="n"/>
      <c r="N16" s="631" t="n"/>
      <c r="O16" s="631" t="n"/>
      <c r="P16" s="631" t="n"/>
      <c r="Q16" s="631" t="n"/>
      <c r="R16" s="631" t="n"/>
      <c r="S16" s="631" t="n"/>
      <c r="T16" s="631" t="n"/>
      <c r="U16" s="631" t="n"/>
      <c r="V16" s="631" t="n"/>
      <c r="W16" s="631" t="n"/>
      <c r="X16" s="631" t="n"/>
      <c r="Y16" s="631" t="n"/>
      <c r="Z16" s="631" t="n"/>
      <c r="AA16" s="629" t="n"/>
    </row>
    <row r="17" ht="18.75" customHeight="1" s="680">
      <c r="B17" s="630" t="inlineStr">
        <is>
          <t>關係人</t>
        </is>
      </c>
      <c r="C17" s="623" t="n"/>
      <c r="D17" s="623" t="n"/>
      <c r="E17" s="625" t="n"/>
      <c r="F17" s="630" t="inlineStr">
        <is>
          <t>性別</t>
        </is>
      </c>
      <c r="G17" s="625" t="n"/>
      <c r="H17" s="630" t="inlineStr">
        <is>
          <t>年齡</t>
        </is>
      </c>
      <c r="I17" s="625" t="n"/>
      <c r="J17" s="630" t="inlineStr">
        <is>
          <t>出生日期</t>
        </is>
      </c>
      <c r="K17" s="623" t="n"/>
      <c r="L17" s="623" t="n"/>
      <c r="M17" s="625" t="n"/>
      <c r="N17" s="630" t="inlineStr">
        <is>
          <t>職業</t>
        </is>
      </c>
      <c r="O17" s="625" t="n"/>
      <c r="P17" s="630" t="inlineStr">
        <is>
          <t>出生地</t>
        </is>
      </c>
      <c r="Q17" s="623" t="n"/>
      <c r="R17" s="625" t="n"/>
      <c r="S17" s="634">
        <f>CONCATENATE("身分證",CHAR(10),"統一編號")</f>
        <v/>
      </c>
      <c r="T17" s="623" t="n"/>
      <c r="U17" s="623" t="n"/>
      <c r="V17" s="623" t="n"/>
      <c r="W17" s="625" t="n"/>
      <c r="X17" s="646" t="inlineStr">
        <is>
          <t>何　　種
關　　係</t>
        </is>
      </c>
      <c r="Y17" s="623" t="n"/>
      <c r="Z17" s="623" t="n"/>
      <c r="AA17" s="625" t="n"/>
    </row>
    <row r="18" ht="18.75" customHeight="1" s="680">
      <c r="B18" s="626" t="n"/>
      <c r="C18" s="627" t="n"/>
      <c r="D18" s="627" t="n"/>
      <c r="E18" s="628" t="n"/>
      <c r="F18" s="626" t="n"/>
      <c r="G18" s="628" t="n"/>
      <c r="H18" s="626" t="n"/>
      <c r="I18" s="628" t="n"/>
      <c r="J18" s="626" t="n"/>
      <c r="K18" s="627" t="n"/>
      <c r="L18" s="627" t="n"/>
      <c r="M18" s="628" t="n"/>
      <c r="N18" s="626" t="n"/>
      <c r="O18" s="628" t="n"/>
      <c r="P18" s="626" t="n"/>
      <c r="Q18" s="627" t="n"/>
      <c r="R18" s="628" t="n"/>
      <c r="S18" s="626" t="n"/>
      <c r="T18" s="627" t="n"/>
      <c r="U18" s="627" t="n"/>
      <c r="V18" s="627" t="n"/>
      <c r="W18" s="628" t="n"/>
      <c r="X18" s="626" t="n"/>
      <c r="Y18" s="627" t="n"/>
      <c r="Z18" s="627" t="n"/>
      <c r="AA18" s="628" t="n"/>
    </row>
    <row r="19" ht="37.5" customFormat="1" customHeight="1" s="94">
      <c r="B19" s="624" t="n"/>
      <c r="C19" s="623" t="n"/>
      <c r="D19" s="623" t="n"/>
      <c r="E19" s="625" t="n"/>
      <c r="F19" s="624">
        <f>IFERROR(IF($B$19="","",VLOOKUP($B$19,個資,11,FALSE)),"")</f>
        <v/>
      </c>
      <c r="G19" s="629" t="n"/>
      <c r="H19" s="624">
        <f>IFERROR(IF($B$19="","",VLOOKUP($B$19,個資,10,FALSE)),"")</f>
        <v/>
      </c>
      <c r="I19" s="629" t="n"/>
      <c r="J19" s="649">
        <f>IF($B$19="","",VLOOKUP($B$19,個資,16,FALSE))</f>
        <v/>
      </c>
      <c r="K19" s="631" t="n"/>
      <c r="L19" s="631" t="n"/>
      <c r="M19" s="629" t="n"/>
      <c r="N19" s="624">
        <f>IF($B$19="","",VLOOKUP($B$19,個資,8,FALSE))</f>
        <v/>
      </c>
      <c r="O19" s="629" t="n"/>
      <c r="P19" s="624">
        <f>IF($B$19="","",VLOOKUP($B$19,個資,3,FALSE))</f>
        <v/>
      </c>
      <c r="Q19" s="631" t="n"/>
      <c r="R19" s="629" t="n"/>
      <c r="S19" s="624">
        <f>IF($B$19="","",UPPER(VLOOKUP($B$19,個資,2,FALSE)))</f>
        <v/>
      </c>
      <c r="T19" s="631" t="n"/>
      <c r="U19" s="631" t="n"/>
      <c r="V19" s="631" t="n"/>
      <c r="W19" s="629" t="n"/>
      <c r="X19" s="624">
        <f>IF($B$19="","",VLOOKUP($B$19,個資,12,FALSE))</f>
        <v/>
      </c>
      <c r="Y19" s="631" t="n"/>
      <c r="Z19" s="631" t="n"/>
      <c r="AA19" s="629" t="n"/>
    </row>
    <row r="20" ht="37.5" customFormat="1" customHeight="1" s="94">
      <c r="B20" s="626" t="n"/>
      <c r="C20" s="627" t="n"/>
      <c r="D20" s="627" t="n"/>
      <c r="E20" s="628" t="n"/>
      <c r="F20" s="630" t="inlineStr">
        <is>
          <t>住居所</t>
        </is>
      </c>
      <c r="G20" s="631" t="n"/>
      <c r="H20" s="631" t="n"/>
      <c r="I20" s="629" t="n"/>
      <c r="J20" s="632">
        <f>IF($B$19="","",VLOOKUP($B$19,個資,6,FALSE))</f>
        <v/>
      </c>
      <c r="K20" s="631" t="n"/>
      <c r="L20" s="631" t="n"/>
      <c r="M20" s="631" t="n"/>
      <c r="N20" s="631" t="n"/>
      <c r="O20" s="631" t="n"/>
      <c r="P20" s="631" t="n"/>
      <c r="Q20" s="631" t="n"/>
      <c r="R20" s="631" t="n"/>
      <c r="S20" s="631" t="n"/>
      <c r="T20" s="631" t="n"/>
      <c r="U20" s="631" t="n"/>
      <c r="V20" s="631" t="n"/>
      <c r="W20" s="631" t="n"/>
      <c r="X20" s="631" t="n"/>
      <c r="Y20" s="631" t="n"/>
      <c r="Z20" s="631" t="n"/>
      <c r="AA20" s="629" t="n"/>
    </row>
    <row r="21" ht="18.75" customFormat="1" customHeight="1" s="94">
      <c r="B21" s="630" t="inlineStr">
        <is>
          <t>關係人</t>
        </is>
      </c>
      <c r="C21" s="623" t="n"/>
      <c r="D21" s="623" t="n"/>
      <c r="E21" s="625" t="n"/>
      <c r="F21" s="630" t="inlineStr">
        <is>
          <t>性別</t>
        </is>
      </c>
      <c r="G21" s="625" t="n"/>
      <c r="H21" s="630" t="inlineStr">
        <is>
          <t>年齡</t>
        </is>
      </c>
      <c r="I21" s="625" t="n"/>
      <c r="J21" s="630" t="inlineStr">
        <is>
          <t>出生日期</t>
        </is>
      </c>
      <c r="K21" s="623" t="n"/>
      <c r="L21" s="623" t="n"/>
      <c r="M21" s="625" t="n"/>
      <c r="N21" s="630" t="inlineStr">
        <is>
          <t>職業</t>
        </is>
      </c>
      <c r="O21" s="625" t="n"/>
      <c r="P21" s="630" t="inlineStr">
        <is>
          <t>出生地</t>
        </is>
      </c>
      <c r="Q21" s="623" t="n"/>
      <c r="R21" s="625" t="n"/>
      <c r="S21" s="634">
        <f>CONCATENATE("身分證",CHAR(10),"統一編號")</f>
        <v/>
      </c>
      <c r="T21" s="623" t="n"/>
      <c r="U21" s="623" t="n"/>
      <c r="V21" s="623" t="n"/>
      <c r="W21" s="625" t="n"/>
      <c r="X21" s="646" t="inlineStr">
        <is>
          <t>何　　種
關　　係</t>
        </is>
      </c>
      <c r="Y21" s="623" t="n"/>
      <c r="Z21" s="623" t="n"/>
      <c r="AA21" s="625" t="n"/>
    </row>
    <row r="22" ht="18.75" customFormat="1" customHeight="1" s="94">
      <c r="B22" s="626" t="n"/>
      <c r="C22" s="627" t="n"/>
      <c r="D22" s="627" t="n"/>
      <c r="E22" s="628" t="n"/>
      <c r="F22" s="626" t="n"/>
      <c r="G22" s="628" t="n"/>
      <c r="H22" s="626" t="n"/>
      <c r="I22" s="628" t="n"/>
      <c r="J22" s="626" t="n"/>
      <c r="K22" s="627" t="n"/>
      <c r="L22" s="627" t="n"/>
      <c r="M22" s="628" t="n"/>
      <c r="N22" s="626" t="n"/>
      <c r="O22" s="628" t="n"/>
      <c r="P22" s="626" t="n"/>
      <c r="Q22" s="627" t="n"/>
      <c r="R22" s="628" t="n"/>
      <c r="S22" s="626" t="n"/>
      <c r="T22" s="627" t="n"/>
      <c r="U22" s="627" t="n"/>
      <c r="V22" s="627" t="n"/>
      <c r="W22" s="628" t="n"/>
      <c r="X22" s="626" t="n"/>
      <c r="Y22" s="627" t="n"/>
      <c r="Z22" s="627" t="n"/>
      <c r="AA22" s="628" t="n"/>
    </row>
    <row r="23" ht="37.5" customFormat="1" customHeight="1" s="94">
      <c r="B23" s="624" t="n"/>
      <c r="C23" s="623" t="n"/>
      <c r="D23" s="623" t="n"/>
      <c r="E23" s="625" t="n"/>
      <c r="F23" s="624">
        <f>IFERROR(IF($B$23="","",VLOOKUP($B$23,個資,11,FALSE)),"")</f>
        <v/>
      </c>
      <c r="G23" s="629" t="n"/>
      <c r="H23" s="624">
        <f>IFERROR(IF($B$23="","",VLOOKUP($B$23,個資,10,FALSE)),"")</f>
        <v/>
      </c>
      <c r="I23" s="629" t="n"/>
      <c r="J23" s="649">
        <f>IF($B$23="","",VLOOKUP($B$23,個資,16,FALSE))</f>
        <v/>
      </c>
      <c r="K23" s="631" t="n"/>
      <c r="L23" s="631" t="n"/>
      <c r="M23" s="629" t="n"/>
      <c r="N23" s="624">
        <f>IF($B$23="","",VLOOKUP($B$23,個資,8,FALSE))</f>
        <v/>
      </c>
      <c r="O23" s="629" t="n"/>
      <c r="P23" s="624">
        <f>IF($B$23="","",VLOOKUP($B$23,個資,3,FALSE))</f>
        <v/>
      </c>
      <c r="Q23" s="631" t="n"/>
      <c r="R23" s="629" t="n"/>
      <c r="S23" s="624">
        <f>IF($B$23="","",UPPER(VLOOKUP($B$23,個資,2,FALSE)))</f>
        <v/>
      </c>
      <c r="T23" s="631" t="n"/>
      <c r="U23" s="631" t="n"/>
      <c r="V23" s="631" t="n"/>
      <c r="W23" s="629" t="n"/>
      <c r="X23" s="624">
        <f>IF($B$23="","",VLOOKUP($B$23,個資,12,FALSE))</f>
        <v/>
      </c>
      <c r="Y23" s="631" t="n"/>
      <c r="Z23" s="631" t="n"/>
      <c r="AA23" s="629" t="n"/>
    </row>
    <row r="24" ht="37.5" customFormat="1" customHeight="1" s="94">
      <c r="B24" s="626" t="n"/>
      <c r="C24" s="627" t="n"/>
      <c r="D24" s="627" t="n"/>
      <c r="E24" s="628" t="n"/>
      <c r="F24" s="630" t="inlineStr">
        <is>
          <t>住居所</t>
        </is>
      </c>
      <c r="G24" s="631" t="n"/>
      <c r="H24" s="631" t="n"/>
      <c r="I24" s="629" t="n"/>
      <c r="J24" s="632">
        <f>IF($B$23="","",VLOOKUP($B$23,個資,6,FALSE))</f>
        <v/>
      </c>
      <c r="K24" s="631" t="n"/>
      <c r="L24" s="631" t="n"/>
      <c r="M24" s="631" t="n"/>
      <c r="N24" s="631" t="n"/>
      <c r="O24" s="631" t="n"/>
      <c r="P24" s="631" t="n"/>
      <c r="Q24" s="631" t="n"/>
      <c r="R24" s="631" t="n"/>
      <c r="S24" s="631" t="n"/>
      <c r="T24" s="631" t="n"/>
      <c r="U24" s="631" t="n"/>
      <c r="V24" s="631" t="n"/>
      <c r="W24" s="631" t="n"/>
      <c r="X24" s="631" t="n"/>
      <c r="Y24" s="631" t="n"/>
      <c r="Z24" s="631" t="n"/>
      <c r="AA24" s="629" t="n"/>
    </row>
    <row r="25" ht="18.75" customFormat="1" customHeight="1" s="94">
      <c r="B25" s="630" t="inlineStr">
        <is>
          <t>關係人</t>
        </is>
      </c>
      <c r="C25" s="623" t="n"/>
      <c r="D25" s="623" t="n"/>
      <c r="E25" s="625" t="n"/>
      <c r="F25" s="630" t="inlineStr">
        <is>
          <t>性別</t>
        </is>
      </c>
      <c r="G25" s="625" t="n"/>
      <c r="H25" s="630" t="inlineStr">
        <is>
          <t>年齡</t>
        </is>
      </c>
      <c r="I25" s="625" t="n"/>
      <c r="J25" s="630" t="inlineStr">
        <is>
          <t>出生日期</t>
        </is>
      </c>
      <c r="K25" s="623" t="n"/>
      <c r="L25" s="623" t="n"/>
      <c r="M25" s="625" t="n"/>
      <c r="N25" s="630" t="inlineStr">
        <is>
          <t>職業</t>
        </is>
      </c>
      <c r="O25" s="625" t="n"/>
      <c r="P25" s="630" t="inlineStr">
        <is>
          <t>出生地</t>
        </is>
      </c>
      <c r="Q25" s="623" t="n"/>
      <c r="R25" s="625" t="n"/>
      <c r="S25" s="634">
        <f>CONCATENATE("身分證",CHAR(10),"統一編號")</f>
        <v/>
      </c>
      <c r="T25" s="623" t="n"/>
      <c r="U25" s="623" t="n"/>
      <c r="V25" s="623" t="n"/>
      <c r="W25" s="625" t="n"/>
      <c r="X25" s="646" t="inlineStr">
        <is>
          <t>何　　種
關　　係</t>
        </is>
      </c>
      <c r="Y25" s="623" t="n"/>
      <c r="Z25" s="623" t="n"/>
      <c r="AA25" s="625" t="n"/>
    </row>
    <row r="26" ht="18.75" customFormat="1" customHeight="1" s="94">
      <c r="B26" s="626" t="n"/>
      <c r="C26" s="627" t="n"/>
      <c r="D26" s="627" t="n"/>
      <c r="E26" s="628" t="n"/>
      <c r="F26" s="626" t="n"/>
      <c r="G26" s="628" t="n"/>
      <c r="H26" s="626" t="n"/>
      <c r="I26" s="628" t="n"/>
      <c r="J26" s="626" t="n"/>
      <c r="K26" s="627" t="n"/>
      <c r="L26" s="627" t="n"/>
      <c r="M26" s="628" t="n"/>
      <c r="N26" s="626" t="n"/>
      <c r="O26" s="628" t="n"/>
      <c r="P26" s="626" t="n"/>
      <c r="Q26" s="627" t="n"/>
      <c r="R26" s="628" t="n"/>
      <c r="S26" s="626" t="n"/>
      <c r="T26" s="627" t="n"/>
      <c r="U26" s="627" t="n"/>
      <c r="V26" s="627" t="n"/>
      <c r="W26" s="628" t="n"/>
      <c r="X26" s="626" t="n"/>
      <c r="Y26" s="627" t="n"/>
      <c r="Z26" s="627" t="n"/>
      <c r="AA26" s="628" t="n"/>
    </row>
    <row r="27" ht="37.5" customFormat="1" customHeight="1" s="94">
      <c r="B27" s="624" t="n"/>
      <c r="C27" s="623" t="n"/>
      <c r="D27" s="623" t="n"/>
      <c r="E27" s="625" t="n"/>
      <c r="F27" s="624">
        <f>IFERROR(IF($B$27="","",VLOOKUP($B$27,個資,11,FALSE)),"")</f>
        <v/>
      </c>
      <c r="G27" s="629" t="n"/>
      <c r="H27" s="624">
        <f>IFERROR(IF($B$27="","",VLOOKUP($B$27,個資,10,FALSE)),"")</f>
        <v/>
      </c>
      <c r="I27" s="629" t="n"/>
      <c r="J27" s="649">
        <f>IF($B$27="","",VLOOKUP($B$27,個資,16,FALSE))</f>
        <v/>
      </c>
      <c r="K27" s="631" t="n"/>
      <c r="L27" s="631" t="n"/>
      <c r="M27" s="629" t="n"/>
      <c r="N27" s="624">
        <f>IF($B$27="","",VLOOKUP($B$27,個資,8,FALSE))</f>
        <v/>
      </c>
      <c r="O27" s="629" t="n"/>
      <c r="P27" s="624">
        <f>IF($B$27="","",VLOOKUP($B$27,個資,3,FALSE))</f>
        <v/>
      </c>
      <c r="Q27" s="631" t="n"/>
      <c r="R27" s="629" t="n"/>
      <c r="S27" s="624">
        <f>IF($B$27="","",UPPER(VLOOKUP($B$27,個資,2,FALSE)))</f>
        <v/>
      </c>
      <c r="T27" s="631" t="n"/>
      <c r="U27" s="631" t="n"/>
      <c r="V27" s="631" t="n"/>
      <c r="W27" s="629" t="n"/>
      <c r="X27" s="624">
        <f>IF($B$27="","",VLOOKUP($B$27,個資,12,FALSE))</f>
        <v/>
      </c>
      <c r="Y27" s="631" t="n"/>
      <c r="Z27" s="631" t="n"/>
      <c r="AA27" s="629" t="n"/>
    </row>
    <row r="28" ht="37.5" customFormat="1" customHeight="1" s="94">
      <c r="B28" s="626" t="n"/>
      <c r="C28" s="627" t="n"/>
      <c r="D28" s="627" t="n"/>
      <c r="E28" s="628" t="n"/>
      <c r="F28" s="630" t="inlineStr">
        <is>
          <t>住居所</t>
        </is>
      </c>
      <c r="G28" s="631" t="n"/>
      <c r="H28" s="631" t="n"/>
      <c r="I28" s="629" t="n"/>
      <c r="J28" s="632">
        <f>IF($B$27="","",VLOOKUP($B$27,個資,6,FALSE))</f>
        <v/>
      </c>
      <c r="K28" s="631" t="n"/>
      <c r="L28" s="631" t="n"/>
      <c r="M28" s="631" t="n"/>
      <c r="N28" s="631" t="n"/>
      <c r="O28" s="631" t="n"/>
      <c r="P28" s="631" t="n"/>
      <c r="Q28" s="631" t="n"/>
      <c r="R28" s="631" t="n"/>
      <c r="S28" s="631" t="n"/>
      <c r="T28" s="631" t="n"/>
      <c r="U28" s="631" t="n"/>
      <c r="V28" s="631" t="n"/>
      <c r="W28" s="631" t="n"/>
      <c r="X28" s="631" t="n"/>
      <c r="Y28" s="631" t="n"/>
      <c r="Z28" s="631" t="n"/>
      <c r="AA28" s="629" t="n"/>
    </row>
    <row r="29" ht="36.75" customFormat="1" customHeight="1" s="94">
      <c r="B29" s="926" t="n"/>
      <c r="C29" s="631" t="n"/>
      <c r="D29" s="631" t="n"/>
      <c r="E29" s="631" t="n"/>
      <c r="F29" s="631" t="n"/>
      <c r="G29" s="631" t="n"/>
      <c r="H29" s="631" t="n"/>
      <c r="I29" s="631" t="n"/>
      <c r="J29" s="631" t="n"/>
      <c r="K29" s="631" t="n"/>
      <c r="L29" s="631" t="n"/>
      <c r="M29" s="631" t="n"/>
      <c r="N29" s="631" t="n"/>
      <c r="O29" s="631" t="n"/>
      <c r="P29" s="631" t="n"/>
      <c r="Q29" s="631" t="n"/>
      <c r="R29" s="631" t="n"/>
      <c r="S29" s="631" t="n"/>
      <c r="T29" s="631" t="n"/>
      <c r="U29" s="631" t="n"/>
      <c r="V29" s="631" t="n"/>
      <c r="W29" s="631" t="n"/>
      <c r="X29" s="631" t="n"/>
      <c r="Y29" s="631" t="n"/>
      <c r="Z29" s="631" t="n"/>
      <c r="AA29" s="631" t="n"/>
    </row>
    <row r="30" ht="28.5" customFormat="1" customHeight="1" s="94">
      <c r="B30" s="630" t="inlineStr">
        <is>
          <t>關係人</t>
        </is>
      </c>
      <c r="C30" s="623" t="n"/>
      <c r="D30" s="623" t="n"/>
      <c r="E30" s="625" t="n"/>
      <c r="F30" s="630" t="inlineStr">
        <is>
          <t>性別</t>
        </is>
      </c>
      <c r="G30" s="625" t="n"/>
      <c r="H30" s="630" t="inlineStr">
        <is>
          <t>年齡</t>
        </is>
      </c>
      <c r="I30" s="625" t="n"/>
      <c r="J30" s="630" t="inlineStr">
        <is>
          <t>出生日期</t>
        </is>
      </c>
      <c r="K30" s="623" t="n"/>
      <c r="L30" s="623" t="n"/>
      <c r="M30" s="625" t="n"/>
      <c r="N30" s="630" t="inlineStr">
        <is>
          <t>職業</t>
        </is>
      </c>
      <c r="O30" s="625" t="n"/>
      <c r="P30" s="630" t="inlineStr">
        <is>
          <t>出生地</t>
        </is>
      </c>
      <c r="Q30" s="623" t="n"/>
      <c r="R30" s="625" t="n"/>
      <c r="S30" s="634">
        <f>CONCATENATE("身分證",CHAR(10),"統一編號")</f>
        <v/>
      </c>
      <c r="T30" s="623" t="n"/>
      <c r="U30" s="623" t="n"/>
      <c r="V30" s="623" t="n"/>
      <c r="W30" s="625" t="n"/>
      <c r="X30" s="646" t="inlineStr">
        <is>
          <t>何　　種
關　　係</t>
        </is>
      </c>
      <c r="Y30" s="623" t="n"/>
      <c r="Z30" s="623" t="n"/>
      <c r="AA30" s="625" t="n"/>
    </row>
    <row r="31" ht="18.75" customFormat="1" customHeight="1" s="94">
      <c r="B31" s="626" t="n"/>
      <c r="C31" s="627" t="n"/>
      <c r="D31" s="627" t="n"/>
      <c r="E31" s="628" t="n"/>
      <c r="F31" s="626" t="n"/>
      <c r="G31" s="628" t="n"/>
      <c r="H31" s="626" t="n"/>
      <c r="I31" s="628" t="n"/>
      <c r="J31" s="626" t="n"/>
      <c r="K31" s="627" t="n"/>
      <c r="L31" s="627" t="n"/>
      <c r="M31" s="628" t="n"/>
      <c r="N31" s="626" t="n"/>
      <c r="O31" s="628" t="n"/>
      <c r="P31" s="626" t="n"/>
      <c r="Q31" s="627" t="n"/>
      <c r="R31" s="628" t="n"/>
      <c r="S31" s="626" t="n"/>
      <c r="T31" s="627" t="n"/>
      <c r="U31" s="627" t="n"/>
      <c r="V31" s="627" t="n"/>
      <c r="W31" s="628" t="n"/>
      <c r="X31" s="626" t="n"/>
      <c r="Y31" s="627" t="n"/>
      <c r="Z31" s="627" t="n"/>
      <c r="AA31" s="628" t="n"/>
    </row>
    <row r="32" ht="37.5" customFormat="1" customHeight="1" s="94">
      <c r="B32" s="624" t="n"/>
      <c r="C32" s="623" t="n"/>
      <c r="D32" s="623" t="n"/>
      <c r="E32" s="625" t="n"/>
      <c r="F32" s="624">
        <f>IFERROR(IF($B$32="","",VLOOKUP($B$32,個資,11,FALSE)),"")</f>
        <v/>
      </c>
      <c r="G32" s="629" t="n"/>
      <c r="H32" s="624">
        <f>IFERROR(IF($B$32="","",VLOOKUP($B$32,個資,10,FALSE)),"")</f>
        <v/>
      </c>
      <c r="I32" s="629" t="n"/>
      <c r="J32" s="649">
        <f>IF($B$32="","",VLOOKUP($B$32,個資,16,FALSE))</f>
        <v/>
      </c>
      <c r="K32" s="631" t="n"/>
      <c r="L32" s="631" t="n"/>
      <c r="M32" s="629" t="n"/>
      <c r="N32" s="624">
        <f>IF($B$32="","",VLOOKUP($B$32,個資,8,FALSE))</f>
        <v/>
      </c>
      <c r="O32" s="629" t="n"/>
      <c r="P32" s="624">
        <f>IF($B$32="","",VLOOKUP($B$32,個資,3,FALSE))</f>
        <v/>
      </c>
      <c r="Q32" s="631" t="n"/>
      <c r="R32" s="629" t="n"/>
      <c r="S32" s="624">
        <f>IF($B$32="","",UPPER(VLOOKUP($B$32,個資,2,FALSE)))</f>
        <v/>
      </c>
      <c r="T32" s="631" t="n"/>
      <c r="U32" s="631" t="n"/>
      <c r="V32" s="631" t="n"/>
      <c r="W32" s="629" t="n"/>
      <c r="X32" s="624">
        <f>IF($B$32="","",VLOOKUP($B$32,個資,12,FALSE))</f>
        <v/>
      </c>
      <c r="Y32" s="631" t="n"/>
      <c r="Z32" s="631" t="n"/>
      <c r="AA32" s="629" t="n"/>
    </row>
    <row r="33" ht="37.5" customFormat="1" customHeight="1" s="94">
      <c r="B33" s="626" t="n"/>
      <c r="C33" s="627" t="n"/>
      <c r="D33" s="627" t="n"/>
      <c r="E33" s="628" t="n"/>
      <c r="F33" s="630" t="inlineStr">
        <is>
          <t>住居所</t>
        </is>
      </c>
      <c r="G33" s="631" t="n"/>
      <c r="H33" s="631" t="n"/>
      <c r="I33" s="629" t="n"/>
      <c r="J33" s="632">
        <f>IF($B$32="","",VLOOKUP($B$32,個資,6,FALSE))</f>
        <v/>
      </c>
      <c r="K33" s="631" t="n"/>
      <c r="L33" s="631" t="n"/>
      <c r="M33" s="631" t="n"/>
      <c r="N33" s="631" t="n"/>
      <c r="O33" s="631" t="n"/>
      <c r="P33" s="631" t="n"/>
      <c r="Q33" s="631" t="n"/>
      <c r="R33" s="631" t="n"/>
      <c r="S33" s="631" t="n"/>
      <c r="T33" s="631" t="n"/>
      <c r="U33" s="631" t="n"/>
      <c r="V33" s="631" t="n"/>
      <c r="W33" s="631" t="n"/>
      <c r="X33" s="631" t="n"/>
      <c r="Y33" s="631" t="n"/>
      <c r="Z33" s="631" t="n"/>
      <c r="AA33" s="629" t="n"/>
    </row>
    <row r="34" ht="18.75" customFormat="1" customHeight="1" s="94">
      <c r="B34" s="630" t="inlineStr">
        <is>
          <t>關係人</t>
        </is>
      </c>
      <c r="C34" s="623" t="n"/>
      <c r="D34" s="623" t="n"/>
      <c r="E34" s="625" t="n"/>
      <c r="F34" s="630" t="inlineStr">
        <is>
          <t>性別</t>
        </is>
      </c>
      <c r="G34" s="625" t="n"/>
      <c r="H34" s="630" t="inlineStr">
        <is>
          <t>年齡</t>
        </is>
      </c>
      <c r="I34" s="625" t="n"/>
      <c r="J34" s="630" t="inlineStr">
        <is>
          <t>出生日期</t>
        </is>
      </c>
      <c r="K34" s="623" t="n"/>
      <c r="L34" s="623" t="n"/>
      <c r="M34" s="625" t="n"/>
      <c r="N34" s="630" t="inlineStr">
        <is>
          <t>職業</t>
        </is>
      </c>
      <c r="O34" s="625" t="n"/>
      <c r="P34" s="630" t="inlineStr">
        <is>
          <t>出生地</t>
        </is>
      </c>
      <c r="Q34" s="623" t="n"/>
      <c r="R34" s="625" t="n"/>
      <c r="S34" s="634">
        <f>CONCATENATE("身分證",CHAR(10),"統一編號")</f>
        <v/>
      </c>
      <c r="T34" s="623" t="n"/>
      <c r="U34" s="623" t="n"/>
      <c r="V34" s="623" t="n"/>
      <c r="W34" s="625" t="n"/>
      <c r="X34" s="646" t="inlineStr">
        <is>
          <t>何　　種
關　　係</t>
        </is>
      </c>
      <c r="Y34" s="623" t="n"/>
      <c r="Z34" s="623" t="n"/>
      <c r="AA34" s="625" t="n"/>
    </row>
    <row r="35" ht="18.75" customFormat="1" customHeight="1" s="94">
      <c r="B35" s="626" t="n"/>
      <c r="C35" s="627" t="n"/>
      <c r="D35" s="627" t="n"/>
      <c r="E35" s="628" t="n"/>
      <c r="F35" s="626" t="n"/>
      <c r="G35" s="628" t="n"/>
      <c r="H35" s="626" t="n"/>
      <c r="I35" s="628" t="n"/>
      <c r="J35" s="626" t="n"/>
      <c r="K35" s="627" t="n"/>
      <c r="L35" s="627" t="n"/>
      <c r="M35" s="628" t="n"/>
      <c r="N35" s="626" t="n"/>
      <c r="O35" s="628" t="n"/>
      <c r="P35" s="626" t="n"/>
      <c r="Q35" s="627" t="n"/>
      <c r="R35" s="628" t="n"/>
      <c r="S35" s="626" t="n"/>
      <c r="T35" s="627" t="n"/>
      <c r="U35" s="627" t="n"/>
      <c r="V35" s="627" t="n"/>
      <c r="W35" s="628" t="n"/>
      <c r="X35" s="626" t="n"/>
      <c r="Y35" s="627" t="n"/>
      <c r="Z35" s="627" t="n"/>
      <c r="AA35" s="628" t="n"/>
    </row>
    <row r="36" ht="37.5" customFormat="1" customHeight="1" s="94">
      <c r="B36" s="624" t="n"/>
      <c r="C36" s="623" t="n"/>
      <c r="D36" s="623" t="n"/>
      <c r="E36" s="625" t="n"/>
      <c r="F36" s="624">
        <f>IFERROR(IF($B$36="","",VLOOKUP($B$36,個資,11,FALSE)),"")</f>
        <v/>
      </c>
      <c r="G36" s="629" t="n"/>
      <c r="H36" s="624">
        <f>IFERROR(IF($B$36="","",VLOOKUP($B$36,個資,10,FALSE)),"")</f>
        <v/>
      </c>
      <c r="I36" s="629" t="n"/>
      <c r="J36" s="649">
        <f>IF($B$36="","",VLOOKUP($B$36,個資,16,FALSE))</f>
        <v/>
      </c>
      <c r="K36" s="631" t="n"/>
      <c r="L36" s="631" t="n"/>
      <c r="M36" s="629" t="n"/>
      <c r="N36" s="624">
        <f>IF($B$36="","",VLOOKUP($B$36,個資,8,FALSE))</f>
        <v/>
      </c>
      <c r="O36" s="629" t="n"/>
      <c r="P36" s="624">
        <f>IF($B$36="","",VLOOKUP($B$36,個資,3,FALSE))</f>
        <v/>
      </c>
      <c r="Q36" s="631" t="n"/>
      <c r="R36" s="629" t="n"/>
      <c r="S36" s="624">
        <f>IF($B$36="","",UPPER(VLOOKUP($B$36,個資,2,FALSE)))</f>
        <v/>
      </c>
      <c r="T36" s="631" t="n"/>
      <c r="U36" s="631" t="n"/>
      <c r="V36" s="631" t="n"/>
      <c r="W36" s="629" t="n"/>
      <c r="X36" s="624">
        <f>IF($B$36="","",VLOOKUP($B$36,個資,12,FALSE))</f>
        <v/>
      </c>
      <c r="Y36" s="631" t="n"/>
      <c r="Z36" s="631" t="n"/>
      <c r="AA36" s="629" t="n"/>
    </row>
    <row r="37" ht="37.5" customFormat="1" customHeight="1" s="94">
      <c r="B37" s="626" t="n"/>
      <c r="C37" s="627" t="n"/>
      <c r="D37" s="627" t="n"/>
      <c r="E37" s="628" t="n"/>
      <c r="F37" s="630" t="inlineStr">
        <is>
          <t>住居所</t>
        </is>
      </c>
      <c r="G37" s="631" t="n"/>
      <c r="H37" s="631" t="n"/>
      <c r="I37" s="629" t="n"/>
      <c r="J37" s="632">
        <f>IF($B$36="","",VLOOKUP($B$36,個資,6,FALSE))</f>
        <v/>
      </c>
      <c r="K37" s="631" t="n"/>
      <c r="L37" s="631" t="n"/>
      <c r="M37" s="631" t="n"/>
      <c r="N37" s="631" t="n"/>
      <c r="O37" s="631" t="n"/>
      <c r="P37" s="631" t="n"/>
      <c r="Q37" s="631" t="n"/>
      <c r="R37" s="631" t="n"/>
      <c r="S37" s="631" t="n"/>
      <c r="T37" s="631" t="n"/>
      <c r="U37" s="631" t="n"/>
      <c r="V37" s="631" t="n"/>
      <c r="W37" s="631" t="n"/>
      <c r="X37" s="631" t="n"/>
      <c r="Y37" s="631" t="n"/>
      <c r="Z37" s="631" t="n"/>
      <c r="AA37" s="629" t="n"/>
    </row>
    <row r="38" ht="18.75" customFormat="1" customHeight="1" s="94">
      <c r="B38" s="630" t="inlineStr">
        <is>
          <t>關係人</t>
        </is>
      </c>
      <c r="C38" s="623" t="n"/>
      <c r="D38" s="623" t="n"/>
      <c r="E38" s="625" t="n"/>
      <c r="F38" s="630" t="inlineStr">
        <is>
          <t>性別</t>
        </is>
      </c>
      <c r="G38" s="625" t="n"/>
      <c r="H38" s="630" t="inlineStr">
        <is>
          <t>年齡</t>
        </is>
      </c>
      <c r="I38" s="625" t="n"/>
      <c r="J38" s="630" t="inlineStr">
        <is>
          <t>出生日期</t>
        </is>
      </c>
      <c r="K38" s="623" t="n"/>
      <c r="L38" s="623" t="n"/>
      <c r="M38" s="625" t="n"/>
      <c r="N38" s="630" t="inlineStr">
        <is>
          <t>職業</t>
        </is>
      </c>
      <c r="O38" s="625" t="n"/>
      <c r="P38" s="630" t="inlineStr">
        <is>
          <t>出生地</t>
        </is>
      </c>
      <c r="Q38" s="623" t="n"/>
      <c r="R38" s="625" t="n"/>
      <c r="S38" s="634">
        <f>CONCATENATE("身分證",CHAR(10),"統一編號")</f>
        <v/>
      </c>
      <c r="T38" s="623" t="n"/>
      <c r="U38" s="623" t="n"/>
      <c r="V38" s="623" t="n"/>
      <c r="W38" s="625" t="n"/>
      <c r="X38" s="646" t="inlineStr">
        <is>
          <t>何　　種
關　　係</t>
        </is>
      </c>
      <c r="Y38" s="623" t="n"/>
      <c r="Z38" s="623" t="n"/>
      <c r="AA38" s="625" t="n"/>
    </row>
    <row r="39" ht="18.75" customFormat="1" customHeight="1" s="94">
      <c r="B39" s="626" t="n"/>
      <c r="C39" s="627" t="n"/>
      <c r="D39" s="627" t="n"/>
      <c r="E39" s="628" t="n"/>
      <c r="F39" s="626" t="n"/>
      <c r="G39" s="628" t="n"/>
      <c r="H39" s="626" t="n"/>
      <c r="I39" s="628" t="n"/>
      <c r="J39" s="626" t="n"/>
      <c r="K39" s="627" t="n"/>
      <c r="L39" s="627" t="n"/>
      <c r="M39" s="628" t="n"/>
      <c r="N39" s="626" t="n"/>
      <c r="O39" s="628" t="n"/>
      <c r="P39" s="626" t="n"/>
      <c r="Q39" s="627" t="n"/>
      <c r="R39" s="628" t="n"/>
      <c r="S39" s="626" t="n"/>
      <c r="T39" s="627" t="n"/>
      <c r="U39" s="627" t="n"/>
      <c r="V39" s="627" t="n"/>
      <c r="W39" s="628" t="n"/>
      <c r="X39" s="626" t="n"/>
      <c r="Y39" s="627" t="n"/>
      <c r="Z39" s="627" t="n"/>
      <c r="AA39" s="628" t="n"/>
    </row>
    <row r="40" ht="37.5" customFormat="1" customHeight="1" s="94">
      <c r="B40" s="624" t="n"/>
      <c r="C40" s="623" t="n"/>
      <c r="D40" s="623" t="n"/>
      <c r="E40" s="625" t="n"/>
      <c r="F40" s="624">
        <f>IFERROR(IF($B$40="","",VLOOKUP($B$40,個資,11,FALSE)),"")</f>
        <v/>
      </c>
      <c r="G40" s="629" t="n"/>
      <c r="H40" s="624">
        <f>IFERROR(IF($B$40="","",VLOOKUP($B$40,個資,10,FALSE)),"")</f>
        <v/>
      </c>
      <c r="I40" s="629" t="n"/>
      <c r="J40" s="649">
        <f>IF($B$40="","",VLOOKUP($B$40,個資,16,FALSE))</f>
        <v/>
      </c>
      <c r="K40" s="631" t="n"/>
      <c r="L40" s="631" t="n"/>
      <c r="M40" s="629" t="n"/>
      <c r="N40" s="624">
        <f>IF($B$40="","",VLOOKUP($B$40,個資,8,FALSE))</f>
        <v/>
      </c>
      <c r="O40" s="629" t="n"/>
      <c r="P40" s="624">
        <f>IF($B$40="","",VLOOKUP($B$40,個資,3,FALSE))</f>
        <v/>
      </c>
      <c r="Q40" s="631" t="n"/>
      <c r="R40" s="629" t="n"/>
      <c r="S40" s="624">
        <f>IF($B$40="","",UPPER(VLOOKUP($B$40,個資,2,FALSE)))</f>
        <v/>
      </c>
      <c r="T40" s="631" t="n"/>
      <c r="U40" s="631" t="n"/>
      <c r="V40" s="631" t="n"/>
      <c r="W40" s="629" t="n"/>
      <c r="X40" s="624">
        <f>IF($B$40="","",VLOOKUP($B$40,個資,12,FALSE))</f>
        <v/>
      </c>
      <c r="Y40" s="631" t="n"/>
      <c r="Z40" s="631" t="n"/>
      <c r="AA40" s="629" t="n"/>
    </row>
    <row r="41" ht="37.5" customFormat="1" customHeight="1" s="94">
      <c r="B41" s="626" t="n"/>
      <c r="C41" s="627" t="n"/>
      <c r="D41" s="627" t="n"/>
      <c r="E41" s="628" t="n"/>
      <c r="F41" s="630" t="inlineStr">
        <is>
          <t>住居所</t>
        </is>
      </c>
      <c r="G41" s="631" t="n"/>
      <c r="H41" s="631" t="n"/>
      <c r="I41" s="629" t="n"/>
      <c r="J41" s="632">
        <f>IF($B$40="","",VLOOKUP($B$40,個資,6,FALSE))</f>
        <v/>
      </c>
      <c r="K41" s="631" t="n"/>
      <c r="L41" s="631" t="n"/>
      <c r="M41" s="631" t="n"/>
      <c r="N41" s="631" t="n"/>
      <c r="O41" s="631" t="n"/>
      <c r="P41" s="631" t="n"/>
      <c r="Q41" s="631" t="n"/>
      <c r="R41" s="631" t="n"/>
      <c r="S41" s="631" t="n"/>
      <c r="T41" s="631" t="n"/>
      <c r="U41" s="631" t="n"/>
      <c r="V41" s="631" t="n"/>
      <c r="W41" s="631" t="n"/>
      <c r="X41" s="631" t="n"/>
      <c r="Y41" s="631" t="n"/>
      <c r="Z41" s="631" t="n"/>
      <c r="AA41" s="629" t="n"/>
    </row>
    <row r="42" ht="37.5" customHeight="1" s="680">
      <c r="B42" s="630" t="inlineStr">
        <is>
          <t>查獲時間</t>
        </is>
      </c>
      <c r="C42" s="631" t="n"/>
      <c r="D42" s="631" t="n"/>
      <c r="E42" s="629" t="n"/>
      <c r="F42" s="463" t="n"/>
      <c r="G42" s="1325">
        <f>IF(ISBLANK(輸入!$C$11),下拉用!$J$13,下拉用!$J$12)</f>
        <v/>
      </c>
      <c r="H42" s="631" t="n"/>
      <c r="I42" s="631" t="n"/>
      <c r="J42" s="631" t="n"/>
      <c r="K42" s="631" t="n"/>
      <c r="L42" s="631" t="n"/>
      <c r="M42" s="631" t="n"/>
      <c r="N42" s="631" t="n"/>
      <c r="O42" s="631" t="n"/>
      <c r="P42" s="631" t="n"/>
      <c r="Q42" s="631" t="n"/>
      <c r="R42" s="631" t="n"/>
      <c r="S42" s="631" t="n"/>
      <c r="T42" s="631" t="n"/>
      <c r="U42" s="631" t="n"/>
      <c r="V42" s="511" t="n"/>
      <c r="W42" s="511" t="n"/>
      <c r="X42" s="511" t="n"/>
      <c r="Y42" s="511" t="n"/>
      <c r="Z42" s="511" t="n"/>
      <c r="AA42" s="510" t="n"/>
    </row>
    <row r="43" ht="37.5" customHeight="1" s="680">
      <c r="B43" s="630" t="inlineStr">
        <is>
          <t>查獲地點</t>
        </is>
      </c>
      <c r="C43" s="631" t="n"/>
      <c r="D43" s="631" t="n"/>
      <c r="E43" s="629" t="n"/>
      <c r="F43" s="27" t="n"/>
      <c r="G43" s="636">
        <f>IF(ISBLANK(輸入!$C$13),輸入!$S$23,輸入!$C$13)</f>
        <v/>
      </c>
      <c r="H43" s="631" t="n"/>
      <c r="I43" s="631" t="n"/>
      <c r="J43" s="631" t="n"/>
      <c r="K43" s="631" t="n"/>
      <c r="L43" s="631" t="n"/>
      <c r="M43" s="631" t="n"/>
      <c r="N43" s="631" t="n"/>
      <c r="O43" s="631" t="n"/>
      <c r="P43" s="631" t="n"/>
      <c r="Q43" s="631" t="n"/>
      <c r="R43" s="631" t="n"/>
      <c r="S43" s="631" t="n"/>
      <c r="T43" s="631" t="n"/>
      <c r="U43" s="631" t="n"/>
      <c r="V43" s="631" t="n"/>
      <c r="W43" s="631" t="n"/>
      <c r="X43" s="631" t="n"/>
      <c r="Y43" s="631" t="n"/>
      <c r="Z43" s="631" t="n"/>
      <c r="AA43" s="629" t="n"/>
    </row>
    <row r="44" ht="37.5" customHeight="1" s="680">
      <c r="B44" s="630" t="inlineStr">
        <is>
          <t>觸犯法條</t>
        </is>
      </c>
      <c r="C44" s="631" t="n"/>
      <c r="D44" s="631" t="n"/>
      <c r="E44" s="629" t="n"/>
      <c r="F44" s="27" t="n"/>
      <c r="G44" s="636">
        <f>IF(輸入!$C$2="通緝",輸入!$H$2&amp;輸入!$C$2,IF(輸入!$C$2="公共危險",輸入!$C$2&amp;" (酒後駕車)",輸入!$C$2))</f>
        <v/>
      </c>
      <c r="H44" s="631" t="n"/>
      <c r="I44" s="631" t="n"/>
      <c r="J44" s="631" t="n"/>
      <c r="K44" s="631" t="n"/>
      <c r="L44" s="631" t="n"/>
      <c r="M44" s="631" t="n"/>
      <c r="N44" s="631" t="n"/>
      <c r="O44" s="631" t="n"/>
      <c r="P44" s="631" t="n"/>
      <c r="Q44" s="631" t="n"/>
      <c r="R44" s="631" t="n"/>
      <c r="S44" s="631" t="n"/>
      <c r="T44" s="631" t="n"/>
      <c r="U44" s="631" t="n"/>
      <c r="V44" s="631" t="n"/>
      <c r="W44" s="631" t="n"/>
      <c r="X44" s="631" t="n"/>
      <c r="Y44" s="631" t="n"/>
      <c r="Z44" s="631" t="n"/>
      <c r="AA44" s="629" t="n"/>
    </row>
    <row r="45" ht="161.25" customHeight="1" s="680">
      <c r="B45" s="630" t="inlineStr">
        <is>
          <t>違反事實</t>
        </is>
      </c>
      <c r="C45" s="631" t="n"/>
      <c r="D45" s="631" t="n"/>
      <c r="E45" s="629" t="n"/>
      <c r="F45" s="637">
        <f>IF(輸入!$C$2="刑事相驗",CONCATENATE(下拉用!$A$2,CHAR(10),下拉用!$H$2,CHAR(10),下拉用!$H$3),呈報單!$F$16)</f>
        <v/>
      </c>
      <c r="G45" s="638" t="n"/>
      <c r="H45" s="638" t="n"/>
      <c r="I45" s="638" t="n"/>
      <c r="J45" s="638" t="n"/>
      <c r="K45" s="638" t="n"/>
      <c r="L45" s="638" t="n"/>
      <c r="M45" s="638" t="n"/>
      <c r="N45" s="638" t="n"/>
      <c r="O45" s="638" t="n"/>
      <c r="P45" s="638" t="n"/>
      <c r="Q45" s="638" t="n"/>
      <c r="R45" s="638" t="n"/>
      <c r="S45" s="638" t="n"/>
      <c r="T45" s="638" t="n"/>
      <c r="U45" s="638" t="n"/>
      <c r="V45" s="638" t="n"/>
      <c r="W45" s="638" t="n"/>
      <c r="X45" s="638" t="n"/>
      <c r="Y45" s="638" t="n"/>
      <c r="Z45" s="638" t="n"/>
      <c r="AA45" s="639" t="n"/>
    </row>
    <row r="46" ht="45" customHeight="1" s="680">
      <c r="B46" s="633" t="inlineStr">
        <is>
          <t>附送刑案</t>
        </is>
      </c>
      <c r="C46" s="623" t="n"/>
      <c r="D46" s="623" t="n"/>
      <c r="E46" s="625" t="n"/>
      <c r="F46" s="635" t="inlineStr">
        <is>
          <t xml:space="preserve">一、警詢筆錄。
二、各式附表。
              </t>
        </is>
      </c>
      <c r="G46" s="623" t="n"/>
      <c r="H46" s="623" t="n"/>
      <c r="I46" s="623" t="n"/>
      <c r="J46" s="623" t="n"/>
      <c r="K46" s="623" t="n"/>
      <c r="L46" s="623" t="n"/>
      <c r="M46" s="623" t="n"/>
      <c r="N46" s="625" t="n"/>
      <c r="O46" s="653" t="inlineStr">
        <is>
          <t>處理員警</t>
        </is>
      </c>
      <c r="P46" s="623" t="n"/>
      <c r="Q46" s="623" t="n"/>
      <c r="R46" s="625" t="n"/>
      <c r="S46" s="925">
        <f>CONCATENATE(輸入!$T$24,"  ",輸入!$O$8)</f>
        <v/>
      </c>
      <c r="T46" s="623" t="n"/>
      <c r="U46" s="623" t="n"/>
      <c r="V46" s="623" t="n"/>
      <c r="W46" s="623" t="n"/>
      <c r="X46" s="623" t="n"/>
      <c r="Y46" s="623" t="n"/>
      <c r="Z46" s="623" t="n"/>
      <c r="AA46" s="625" t="n"/>
    </row>
    <row r="47" ht="45" customHeight="1" s="680">
      <c r="B47" s="645" t="inlineStr">
        <is>
          <t>犯罪證據</t>
        </is>
      </c>
      <c r="C47" s="627" t="n"/>
      <c r="D47" s="627" t="n"/>
      <c r="E47" s="628" t="n"/>
      <c r="F47" s="626" t="n"/>
      <c r="G47" s="627" t="n"/>
      <c r="H47" s="627" t="n"/>
      <c r="I47" s="627" t="n"/>
      <c r="J47" s="627" t="n"/>
      <c r="K47" s="627" t="n"/>
      <c r="L47" s="627" t="n"/>
      <c r="M47" s="627" t="n"/>
      <c r="N47" s="628" t="n"/>
      <c r="O47" s="626" t="n"/>
      <c r="P47" s="627" t="n"/>
      <c r="Q47" s="627" t="n"/>
      <c r="R47" s="628" t="n"/>
      <c r="S47" s="626" t="n"/>
      <c r="T47" s="627" t="n"/>
      <c r="U47" s="627" t="n"/>
      <c r="V47" s="627" t="n"/>
      <c r="W47" s="627" t="n"/>
      <c r="X47" s="627" t="n"/>
      <c r="Y47" s="627" t="n"/>
      <c r="Z47" s="627" t="n"/>
      <c r="AA47" s="628" t="n"/>
    </row>
    <row r="48" ht="13.5" customHeight="1" s="680">
      <c r="B48" s="652" t="n"/>
      <c r="C48" s="623" t="n"/>
      <c r="D48" s="623" t="n"/>
      <c r="E48" s="623" t="n"/>
      <c r="F48" s="623" t="n"/>
      <c r="G48" s="622" t="n"/>
      <c r="H48" s="623" t="n"/>
      <c r="I48" s="623" t="n"/>
      <c r="J48" s="623" t="n"/>
      <c r="K48" s="623" t="n"/>
      <c r="L48" s="623" t="n"/>
      <c r="M48" s="623" t="n"/>
      <c r="N48" s="623" t="n"/>
      <c r="O48" s="623" t="n"/>
      <c r="P48" s="623" t="n"/>
      <c r="Q48" s="623" t="n"/>
      <c r="R48" s="623" t="n"/>
      <c r="S48" s="623" t="n"/>
      <c r="T48" s="623" t="n"/>
      <c r="U48" s="623" t="n"/>
      <c r="V48" s="623" t="n"/>
      <c r="W48" s="623" t="n"/>
      <c r="X48" s="623" t="n"/>
      <c r="Y48" s="623" t="n"/>
      <c r="Z48" s="623" t="n"/>
      <c r="AA48" s="623" t="n"/>
    </row>
    <row r="49" ht="21.75" customHeight="1" s="680">
      <c r="B49" s="647" t="n"/>
      <c r="C49" s="654" t="inlineStr">
        <is>
          <t>承辦單位主管</t>
        </is>
      </c>
      <c r="D49" s="642" t="n"/>
      <c r="E49" s="642" t="n"/>
      <c r="F49" s="642" t="n"/>
      <c r="G49" s="642" t="n"/>
      <c r="H49" s="642" t="n"/>
      <c r="I49" s="642" t="n"/>
      <c r="J49" s="26" t="n"/>
      <c r="K49" s="26" t="n"/>
      <c r="L49" s="26" t="n"/>
      <c r="M49" s="26" t="n"/>
      <c r="N49" s="26" t="n"/>
      <c r="O49" s="26" t="n"/>
      <c r="P49" s="26" t="n"/>
      <c r="Q49" s="26" t="n"/>
      <c r="R49" s="26" t="n"/>
      <c r="S49" s="26" t="n"/>
      <c r="T49" s="26" t="n"/>
      <c r="U49" s="26" t="n"/>
      <c r="V49" s="26" t="n"/>
      <c r="W49" s="26" t="n"/>
      <c r="X49" s="26" t="n"/>
      <c r="Y49" s="26" t="n"/>
      <c r="Z49" s="26" t="n"/>
      <c r="AA49" s="26" t="n"/>
    </row>
    <row r="50" ht="30" customHeight="1" s="680">
      <c r="B50" s="650" t="n"/>
      <c r="C50" s="642" t="n"/>
      <c r="D50" s="642" t="n"/>
      <c r="E50" s="642" t="n"/>
      <c r="F50" s="642" t="n"/>
      <c r="G50" s="647" t="n"/>
      <c r="H50" s="642" t="n"/>
      <c r="I50" s="642" t="n"/>
      <c r="J50" s="642" t="n"/>
      <c r="K50" s="642" t="n"/>
      <c r="L50" s="642" t="n"/>
      <c r="M50" s="642" t="n"/>
      <c r="N50" s="642" t="n"/>
      <c r="O50" s="642" t="n"/>
      <c r="P50" s="642" t="n"/>
      <c r="Q50" s="642" t="n"/>
      <c r="R50" s="642" t="n"/>
      <c r="S50" s="642" t="n"/>
      <c r="T50" s="642" t="n"/>
      <c r="U50" s="642" t="n"/>
      <c r="V50" s="642" t="n"/>
      <c r="W50" s="642" t="n"/>
      <c r="X50" s="642" t="n"/>
      <c r="Y50" s="642" t="n"/>
      <c r="Z50" s="642" t="n"/>
      <c r="AA50" s="642" t="n"/>
    </row>
  </sheetData>
  <mergeCells count="186">
    <mergeCell ref="H17:I18"/>
    <mergeCell ref="S9:W10"/>
    <mergeCell ref="N11:O11"/>
    <mergeCell ref="B27:E28"/>
    <mergeCell ref="J38:M39"/>
    <mergeCell ref="P27:R27"/>
    <mergeCell ref="P36:R36"/>
    <mergeCell ref="B17:E18"/>
    <mergeCell ref="J34:M35"/>
    <mergeCell ref="B11:E12"/>
    <mergeCell ref="F9:G10"/>
    <mergeCell ref="B45:E45"/>
    <mergeCell ref="F15:G15"/>
    <mergeCell ref="P19:R19"/>
    <mergeCell ref="X27:AA27"/>
    <mergeCell ref="F16:I16"/>
    <mergeCell ref="B47:E47"/>
    <mergeCell ref="H5:I6"/>
    <mergeCell ref="S23:W23"/>
    <mergeCell ref="X11:AA11"/>
    <mergeCell ref="P34:R35"/>
    <mergeCell ref="J19:M19"/>
    <mergeCell ref="X5:AA6"/>
    <mergeCell ref="N30:O31"/>
    <mergeCell ref="P21:R22"/>
    <mergeCell ref="S40:W40"/>
    <mergeCell ref="O46:R47"/>
    <mergeCell ref="F23:G23"/>
    <mergeCell ref="J25:M26"/>
    <mergeCell ref="S15:W15"/>
    <mergeCell ref="N40:O40"/>
    <mergeCell ref="J8:AA8"/>
    <mergeCell ref="B30:E31"/>
    <mergeCell ref="J5:M6"/>
    <mergeCell ref="H21:I22"/>
    <mergeCell ref="N15:O15"/>
    <mergeCell ref="H15:I15"/>
    <mergeCell ref="P40:R40"/>
    <mergeCell ref="H23:I23"/>
    <mergeCell ref="B7:E8"/>
    <mergeCell ref="X15:AA15"/>
    <mergeCell ref="B21:E22"/>
    <mergeCell ref="F21:G22"/>
    <mergeCell ref="N17:O18"/>
    <mergeCell ref="N7:O7"/>
    <mergeCell ref="X13:AA14"/>
    <mergeCell ref="F19:G19"/>
    <mergeCell ref="S34:W35"/>
    <mergeCell ref="F37:I37"/>
    <mergeCell ref="F38:G39"/>
    <mergeCell ref="J23:M23"/>
    <mergeCell ref="N9:O10"/>
    <mergeCell ref="J20:AA20"/>
    <mergeCell ref="P25:R26"/>
    <mergeCell ref="X40:AA40"/>
    <mergeCell ref="P9:R10"/>
    <mergeCell ref="H36:I36"/>
    <mergeCell ref="B19:E20"/>
    <mergeCell ref="B34:E35"/>
    <mergeCell ref="H11:I11"/>
    <mergeCell ref="J12:AA12"/>
    <mergeCell ref="B9:E10"/>
    <mergeCell ref="S25:W26"/>
    <mergeCell ref="B36:E37"/>
    <mergeCell ref="S21:W22"/>
    <mergeCell ref="H19:I19"/>
    <mergeCell ref="S6:W6"/>
    <mergeCell ref="X9:AA10"/>
    <mergeCell ref="G50:AA50"/>
    <mergeCell ref="F20:I20"/>
    <mergeCell ref="B5:E6"/>
    <mergeCell ref="X19:AA19"/>
    <mergeCell ref="F33:I33"/>
    <mergeCell ref="J27:M27"/>
    <mergeCell ref="F25:G26"/>
    <mergeCell ref="J36:M36"/>
    <mergeCell ref="G43:AA43"/>
    <mergeCell ref="N21:O22"/>
    <mergeCell ref="X25:AA26"/>
    <mergeCell ref="J11:M11"/>
    <mergeCell ref="P13:R14"/>
    <mergeCell ref="S32:W32"/>
    <mergeCell ref="F28:I28"/>
    <mergeCell ref="J13:M14"/>
    <mergeCell ref="S38:W39"/>
    <mergeCell ref="J24:AA24"/>
    <mergeCell ref="N32:O32"/>
    <mergeCell ref="P23:R23"/>
    <mergeCell ref="P30:R31"/>
    <mergeCell ref="H40:I40"/>
    <mergeCell ref="S27:W27"/>
    <mergeCell ref="F7:G7"/>
    <mergeCell ref="B38:E39"/>
    <mergeCell ref="N38:O39"/>
    <mergeCell ref="P7:R7"/>
    <mergeCell ref="B48:F48"/>
    <mergeCell ref="J30:M31"/>
    <mergeCell ref="J16:AA16"/>
    <mergeCell ref="N34:O35"/>
    <mergeCell ref="S11:W11"/>
    <mergeCell ref="C49:I49"/>
    <mergeCell ref="F36:G36"/>
    <mergeCell ref="F4:AA4"/>
    <mergeCell ref="W3:AA3"/>
    <mergeCell ref="S46:AA47"/>
    <mergeCell ref="X23:AA23"/>
    <mergeCell ref="X32:AA32"/>
    <mergeCell ref="J40:M40"/>
    <mergeCell ref="F34:G35"/>
    <mergeCell ref="B43:E43"/>
    <mergeCell ref="X38:AA39"/>
    <mergeCell ref="H25:I26"/>
    <mergeCell ref="N19:O19"/>
    <mergeCell ref="P17:R18"/>
    <mergeCell ref="B42:E42"/>
    <mergeCell ref="S36:W36"/>
    <mergeCell ref="H9:I10"/>
    <mergeCell ref="N25:O26"/>
    <mergeCell ref="F8:I8"/>
    <mergeCell ref="J17:M18"/>
    <mergeCell ref="F45:AA45"/>
    <mergeCell ref="B44:E44"/>
    <mergeCell ref="J37:AA37"/>
    <mergeCell ref="H34:I35"/>
    <mergeCell ref="X17:AA18"/>
    <mergeCell ref="B50:F50"/>
    <mergeCell ref="F30:G31"/>
    <mergeCell ref="N5:O6"/>
    <mergeCell ref="S13:W14"/>
    <mergeCell ref="F46:N47"/>
    <mergeCell ref="F11:G11"/>
    <mergeCell ref="P11:R11"/>
    <mergeCell ref="P5:R6"/>
    <mergeCell ref="J9:M10"/>
    <mergeCell ref="N13:O14"/>
    <mergeCell ref="X34:AA35"/>
    <mergeCell ref="F40:G40"/>
    <mergeCell ref="F13:G14"/>
    <mergeCell ref="H13:I14"/>
    <mergeCell ref="S30:W31"/>
    <mergeCell ref="B23:E24"/>
    <mergeCell ref="X36:AA36"/>
    <mergeCell ref="B4:E4"/>
    <mergeCell ref="P32:R32"/>
    <mergeCell ref="S7:W7"/>
    <mergeCell ref="B13:E14"/>
    <mergeCell ref="J41:AA41"/>
    <mergeCell ref="B2:AA2"/>
    <mergeCell ref="F32:G32"/>
    <mergeCell ref="P38:R39"/>
    <mergeCell ref="N23:O23"/>
    <mergeCell ref="B46:E46"/>
    <mergeCell ref="H30:I31"/>
    <mergeCell ref="B15:E16"/>
    <mergeCell ref="P15:R15"/>
    <mergeCell ref="X30:AA31"/>
    <mergeCell ref="H32:I32"/>
    <mergeCell ref="H7:I7"/>
    <mergeCell ref="S19:W19"/>
    <mergeCell ref="F12:I12"/>
    <mergeCell ref="F24:I24"/>
    <mergeCell ref="J21:M22"/>
    <mergeCell ref="X7:AA7"/>
    <mergeCell ref="J33:AA33"/>
    <mergeCell ref="J15:M15"/>
    <mergeCell ref="G44:AA44"/>
    <mergeCell ref="F27:G27"/>
    <mergeCell ref="H38:I39"/>
    <mergeCell ref="B29:AA29"/>
    <mergeCell ref="B40:E41"/>
    <mergeCell ref="X21:AA22"/>
    <mergeCell ref="H27:I27"/>
    <mergeCell ref="B32:E33"/>
    <mergeCell ref="S17:W18"/>
    <mergeCell ref="F41:I41"/>
    <mergeCell ref="G42:U42"/>
    <mergeCell ref="F5:G6"/>
    <mergeCell ref="S5:W5"/>
    <mergeCell ref="J28:AA28"/>
    <mergeCell ref="B25:E26"/>
    <mergeCell ref="N27:O27"/>
    <mergeCell ref="J32:M32"/>
    <mergeCell ref="J7:M7"/>
    <mergeCell ref="N36:O36"/>
    <mergeCell ref="G48:AA48"/>
    <mergeCell ref="F17:G18"/>
  </mergeCells>
  <dataValidations count="1">
    <dataValidation sqref="B7:E8 B11:E12 B15:E16 B19:E20 B23:E24 B27:E28 B29 B32:E33 B36:E37 B40:E41" showDropDown="0" showInputMessage="1" showErrorMessage="1" allowBlank="1" type="list">
      <formula1>姓名</formula1>
    </dataValidation>
  </dataValidations>
  <pageMargins left="0.5625" right="0.3543307086614174" top="0.3937007874015748" bottom="0.3937007874015748" header="0.5118110236220472" footer="0.5118110236220472"/>
  <pageSetup orientation="portrait" paperSize="9"/>
</worksheet>
</file>

<file path=xl/worksheets/sheet30.xml><?xml version="1.0" encoding="utf-8"?>
<worksheet xmlns="http://schemas.openxmlformats.org/spreadsheetml/2006/main">
  <sheetPr codeName="工作表50">
    <outlinePr summaryBelow="1" summaryRight="1"/>
    <pageSetUpPr/>
  </sheetPr>
  <dimension ref="A1:AM72"/>
  <sheetViews>
    <sheetView view="pageBreakPreview" topLeftCell="A13" zoomScaleNormal="85" zoomScaleSheetLayoutView="100" workbookViewId="0">
      <selection activeCell="I11" sqref="I11:N11"/>
    </sheetView>
  </sheetViews>
  <sheetFormatPr baseColWidth="8" defaultRowHeight="16.5"/>
  <cols>
    <col width="4.375" customWidth="1" style="680" min="1" max="1"/>
    <col width="8.875" customWidth="1" style="680" min="2" max="2"/>
    <col width="4" customWidth="1" style="680" min="3" max="3"/>
    <col width="10.375" customWidth="1" style="680" min="4" max="4"/>
    <col width="7.75" customWidth="1" style="680" min="5" max="5"/>
    <col width="6" customWidth="1" style="680" min="6" max="6"/>
    <col width="10.75" customWidth="1" style="680" min="7" max="7"/>
    <col width="8.125" customWidth="1" style="680" min="8" max="8"/>
    <col width="8.25" customWidth="1" style="680" min="9" max="9"/>
    <col width="4.125" customWidth="1" style="680" min="10" max="10"/>
    <col width="3.75" customWidth="1" style="680" min="11" max="11"/>
    <col width="2.75" customWidth="1" style="680" min="12" max="12"/>
    <col width="4.875" customWidth="1" style="680" min="13" max="13"/>
    <col width="3.125" customWidth="1" style="680" min="14" max="14"/>
    <col width="6.25" customWidth="1" style="680" min="257" max="257"/>
    <col width="9.875" customWidth="1" style="680" min="258" max="258"/>
    <col width="4" customWidth="1" style="680" min="259" max="259"/>
    <col width="10.75" customWidth="1" style="680" min="260" max="260"/>
    <col width="8.5" customWidth="1" style="680" min="261" max="261"/>
    <col width="6" customWidth="1" style="680" min="262" max="262"/>
    <col width="10.5" customWidth="1" style="680" min="263" max="263"/>
    <col width="8.125" customWidth="1" style="680" min="264" max="264"/>
    <col width="5.5" customWidth="1" style="680" min="265" max="265"/>
    <col width="4.125" customWidth="1" style="680" min="266" max="266"/>
    <col width="3.75" customWidth="1" style="680" min="267" max="267"/>
    <col width="4.375" customWidth="1" style="680" min="268" max="268"/>
    <col width="4.625" customWidth="1" style="680" min="269" max="269"/>
    <col width="4.875" customWidth="1" style="680" min="270" max="270"/>
    <col width="6.25" customWidth="1" style="680" min="513" max="513"/>
    <col width="9.875" customWidth="1" style="680" min="514" max="514"/>
    <col width="4" customWidth="1" style="680" min="515" max="515"/>
    <col width="10.75" customWidth="1" style="680" min="516" max="516"/>
    <col width="8.5" customWidth="1" style="680" min="517" max="517"/>
    <col width="6" customWidth="1" style="680" min="518" max="518"/>
    <col width="10.5" customWidth="1" style="680" min="519" max="519"/>
    <col width="8.125" customWidth="1" style="680" min="520" max="520"/>
    <col width="5.5" customWidth="1" style="680" min="521" max="521"/>
    <col width="4.125" customWidth="1" style="680" min="522" max="522"/>
    <col width="3.75" customWidth="1" style="680" min="523" max="523"/>
    <col width="4.375" customWidth="1" style="680" min="524" max="524"/>
    <col width="4.625" customWidth="1" style="680" min="525" max="525"/>
    <col width="4.875" customWidth="1" style="680" min="526" max="526"/>
    <col width="6.25" customWidth="1" style="680" min="769" max="769"/>
    <col width="9.875" customWidth="1" style="680" min="770" max="770"/>
    <col width="4" customWidth="1" style="680" min="771" max="771"/>
    <col width="10.75" customWidth="1" style="680" min="772" max="772"/>
    <col width="8.5" customWidth="1" style="680" min="773" max="773"/>
    <col width="6" customWidth="1" style="680" min="774" max="774"/>
    <col width="10.5" customWidth="1" style="680" min="775" max="775"/>
    <col width="8.125" customWidth="1" style="680" min="776" max="776"/>
    <col width="5.5" customWidth="1" style="680" min="777" max="777"/>
    <col width="4.125" customWidth="1" style="680" min="778" max="778"/>
    <col width="3.75" customWidth="1" style="680" min="779" max="779"/>
    <col width="4.375" customWidth="1" style="680" min="780" max="780"/>
    <col width="4.625" customWidth="1" style="680" min="781" max="781"/>
    <col width="4.875" customWidth="1" style="680" min="782" max="782"/>
    <col width="6.25" customWidth="1" style="680" min="1025" max="1025"/>
    <col width="9.875" customWidth="1" style="680" min="1026" max="1026"/>
    <col width="4" customWidth="1" style="680" min="1027" max="1027"/>
    <col width="10.75" customWidth="1" style="680" min="1028" max="1028"/>
    <col width="8.5" customWidth="1" style="680" min="1029" max="1029"/>
    <col width="6" customWidth="1" style="680" min="1030" max="1030"/>
    <col width="10.5" customWidth="1" style="680" min="1031" max="1031"/>
    <col width="8.125" customWidth="1" style="680" min="1032" max="1032"/>
    <col width="5.5" customWidth="1" style="680" min="1033" max="1033"/>
    <col width="4.125" customWidth="1" style="680" min="1034" max="1034"/>
    <col width="3.75" customWidth="1" style="680" min="1035" max="1035"/>
    <col width="4.375" customWidth="1" style="680" min="1036" max="1036"/>
    <col width="4.625" customWidth="1" style="680" min="1037" max="1037"/>
    <col width="4.875" customWidth="1" style="680" min="1038" max="1038"/>
    <col width="6.25" customWidth="1" style="680" min="1281" max="1281"/>
    <col width="9.875" customWidth="1" style="680" min="1282" max="1282"/>
    <col width="4" customWidth="1" style="680" min="1283" max="1283"/>
    <col width="10.75" customWidth="1" style="680" min="1284" max="1284"/>
    <col width="8.5" customWidth="1" style="680" min="1285" max="1285"/>
    <col width="6" customWidth="1" style="680" min="1286" max="1286"/>
    <col width="10.5" customWidth="1" style="680" min="1287" max="1287"/>
    <col width="8.125" customWidth="1" style="680" min="1288" max="1288"/>
    <col width="5.5" customWidth="1" style="680" min="1289" max="1289"/>
    <col width="4.125" customWidth="1" style="680" min="1290" max="1290"/>
    <col width="3.75" customWidth="1" style="680" min="1291" max="1291"/>
    <col width="4.375" customWidth="1" style="680" min="1292" max="1292"/>
    <col width="4.625" customWidth="1" style="680" min="1293" max="1293"/>
    <col width="4.875" customWidth="1" style="680" min="1294" max="1294"/>
    <col width="6.25" customWidth="1" style="680" min="1537" max="1537"/>
    <col width="9.875" customWidth="1" style="680" min="1538" max="1538"/>
    <col width="4" customWidth="1" style="680" min="1539" max="1539"/>
    <col width="10.75" customWidth="1" style="680" min="1540" max="1540"/>
    <col width="8.5" customWidth="1" style="680" min="1541" max="1541"/>
    <col width="6" customWidth="1" style="680" min="1542" max="1542"/>
    <col width="10.5" customWidth="1" style="680" min="1543" max="1543"/>
    <col width="8.125" customWidth="1" style="680" min="1544" max="1544"/>
    <col width="5.5" customWidth="1" style="680" min="1545" max="1545"/>
    <col width="4.125" customWidth="1" style="680" min="1546" max="1546"/>
    <col width="3.75" customWidth="1" style="680" min="1547" max="1547"/>
    <col width="4.375" customWidth="1" style="680" min="1548" max="1548"/>
    <col width="4.625" customWidth="1" style="680" min="1549" max="1549"/>
    <col width="4.875" customWidth="1" style="680" min="1550" max="1550"/>
    <col width="6.25" customWidth="1" style="680" min="1793" max="1793"/>
    <col width="9.875" customWidth="1" style="680" min="1794" max="1794"/>
    <col width="4" customWidth="1" style="680" min="1795" max="1795"/>
    <col width="10.75" customWidth="1" style="680" min="1796" max="1796"/>
    <col width="8.5" customWidth="1" style="680" min="1797" max="1797"/>
    <col width="6" customWidth="1" style="680" min="1798" max="1798"/>
    <col width="10.5" customWidth="1" style="680" min="1799" max="1799"/>
    <col width="8.125" customWidth="1" style="680" min="1800" max="1800"/>
    <col width="5.5" customWidth="1" style="680" min="1801" max="1801"/>
    <col width="4.125" customWidth="1" style="680" min="1802" max="1802"/>
    <col width="3.75" customWidth="1" style="680" min="1803" max="1803"/>
    <col width="4.375" customWidth="1" style="680" min="1804" max="1804"/>
    <col width="4.625" customWidth="1" style="680" min="1805" max="1805"/>
    <col width="4.875" customWidth="1" style="680" min="1806" max="1806"/>
    <col width="6.25" customWidth="1" style="680" min="2049" max="2049"/>
    <col width="9.875" customWidth="1" style="680" min="2050" max="2050"/>
    <col width="4" customWidth="1" style="680" min="2051" max="2051"/>
    <col width="10.75" customWidth="1" style="680" min="2052" max="2052"/>
    <col width="8.5" customWidth="1" style="680" min="2053" max="2053"/>
    <col width="6" customWidth="1" style="680" min="2054" max="2054"/>
    <col width="10.5" customWidth="1" style="680" min="2055" max="2055"/>
    <col width="8.125" customWidth="1" style="680" min="2056" max="2056"/>
    <col width="5.5" customWidth="1" style="680" min="2057" max="2057"/>
    <col width="4.125" customWidth="1" style="680" min="2058" max="2058"/>
    <col width="3.75" customWidth="1" style="680" min="2059" max="2059"/>
    <col width="4.375" customWidth="1" style="680" min="2060" max="2060"/>
    <col width="4.625" customWidth="1" style="680" min="2061" max="2061"/>
    <col width="4.875" customWidth="1" style="680" min="2062" max="2062"/>
    <col width="6.25" customWidth="1" style="680" min="2305" max="2305"/>
    <col width="9.875" customWidth="1" style="680" min="2306" max="2306"/>
    <col width="4" customWidth="1" style="680" min="2307" max="2307"/>
    <col width="10.75" customWidth="1" style="680" min="2308" max="2308"/>
    <col width="8.5" customWidth="1" style="680" min="2309" max="2309"/>
    <col width="6" customWidth="1" style="680" min="2310" max="2310"/>
    <col width="10.5" customWidth="1" style="680" min="2311" max="2311"/>
    <col width="8.125" customWidth="1" style="680" min="2312" max="2312"/>
    <col width="5.5" customWidth="1" style="680" min="2313" max="2313"/>
    <col width="4.125" customWidth="1" style="680" min="2314" max="2314"/>
    <col width="3.75" customWidth="1" style="680" min="2315" max="2315"/>
    <col width="4.375" customWidth="1" style="680" min="2316" max="2316"/>
    <col width="4.625" customWidth="1" style="680" min="2317" max="2317"/>
    <col width="4.875" customWidth="1" style="680" min="2318" max="2318"/>
    <col width="6.25" customWidth="1" style="680" min="2561" max="2561"/>
    <col width="9.875" customWidth="1" style="680" min="2562" max="2562"/>
    <col width="4" customWidth="1" style="680" min="2563" max="2563"/>
    <col width="10.75" customWidth="1" style="680" min="2564" max="2564"/>
    <col width="8.5" customWidth="1" style="680" min="2565" max="2565"/>
    <col width="6" customWidth="1" style="680" min="2566" max="2566"/>
    <col width="10.5" customWidth="1" style="680" min="2567" max="2567"/>
    <col width="8.125" customWidth="1" style="680" min="2568" max="2568"/>
    <col width="5.5" customWidth="1" style="680" min="2569" max="2569"/>
    <col width="4.125" customWidth="1" style="680" min="2570" max="2570"/>
    <col width="3.75" customWidth="1" style="680" min="2571" max="2571"/>
    <col width="4.375" customWidth="1" style="680" min="2572" max="2572"/>
    <col width="4.625" customWidth="1" style="680" min="2573" max="2573"/>
    <col width="4.875" customWidth="1" style="680" min="2574" max="2574"/>
    <col width="6.25" customWidth="1" style="680" min="2817" max="2817"/>
    <col width="9.875" customWidth="1" style="680" min="2818" max="2818"/>
    <col width="4" customWidth="1" style="680" min="2819" max="2819"/>
    <col width="10.75" customWidth="1" style="680" min="2820" max="2820"/>
    <col width="8.5" customWidth="1" style="680" min="2821" max="2821"/>
    <col width="6" customWidth="1" style="680" min="2822" max="2822"/>
    <col width="10.5" customWidth="1" style="680" min="2823" max="2823"/>
    <col width="8.125" customWidth="1" style="680" min="2824" max="2824"/>
    <col width="5.5" customWidth="1" style="680" min="2825" max="2825"/>
    <col width="4.125" customWidth="1" style="680" min="2826" max="2826"/>
    <col width="3.75" customWidth="1" style="680" min="2827" max="2827"/>
    <col width="4.375" customWidth="1" style="680" min="2828" max="2828"/>
    <col width="4.625" customWidth="1" style="680" min="2829" max="2829"/>
    <col width="4.875" customWidth="1" style="680" min="2830" max="2830"/>
    <col width="6.25" customWidth="1" style="680" min="3073" max="3073"/>
    <col width="9.875" customWidth="1" style="680" min="3074" max="3074"/>
    <col width="4" customWidth="1" style="680" min="3075" max="3075"/>
    <col width="10.75" customWidth="1" style="680" min="3076" max="3076"/>
    <col width="8.5" customWidth="1" style="680" min="3077" max="3077"/>
    <col width="6" customWidth="1" style="680" min="3078" max="3078"/>
    <col width="10.5" customWidth="1" style="680" min="3079" max="3079"/>
    <col width="8.125" customWidth="1" style="680" min="3080" max="3080"/>
    <col width="5.5" customWidth="1" style="680" min="3081" max="3081"/>
    <col width="4.125" customWidth="1" style="680" min="3082" max="3082"/>
    <col width="3.75" customWidth="1" style="680" min="3083" max="3083"/>
    <col width="4.375" customWidth="1" style="680" min="3084" max="3084"/>
    <col width="4.625" customWidth="1" style="680" min="3085" max="3085"/>
    <col width="4.875" customWidth="1" style="680" min="3086" max="3086"/>
    <col width="6.25" customWidth="1" style="680" min="3329" max="3329"/>
    <col width="9.875" customWidth="1" style="680" min="3330" max="3330"/>
    <col width="4" customWidth="1" style="680" min="3331" max="3331"/>
    <col width="10.75" customWidth="1" style="680" min="3332" max="3332"/>
    <col width="8.5" customWidth="1" style="680" min="3333" max="3333"/>
    <col width="6" customWidth="1" style="680" min="3334" max="3334"/>
    <col width="10.5" customWidth="1" style="680" min="3335" max="3335"/>
    <col width="8.125" customWidth="1" style="680" min="3336" max="3336"/>
    <col width="5.5" customWidth="1" style="680" min="3337" max="3337"/>
    <col width="4.125" customWidth="1" style="680" min="3338" max="3338"/>
    <col width="3.75" customWidth="1" style="680" min="3339" max="3339"/>
    <col width="4.375" customWidth="1" style="680" min="3340" max="3340"/>
    <col width="4.625" customWidth="1" style="680" min="3341" max="3341"/>
    <col width="4.875" customWidth="1" style="680" min="3342" max="3342"/>
    <col width="6.25" customWidth="1" style="680" min="3585" max="3585"/>
    <col width="9.875" customWidth="1" style="680" min="3586" max="3586"/>
    <col width="4" customWidth="1" style="680" min="3587" max="3587"/>
    <col width="10.75" customWidth="1" style="680" min="3588" max="3588"/>
    <col width="8.5" customWidth="1" style="680" min="3589" max="3589"/>
    <col width="6" customWidth="1" style="680" min="3590" max="3590"/>
    <col width="10.5" customWidth="1" style="680" min="3591" max="3591"/>
    <col width="8.125" customWidth="1" style="680" min="3592" max="3592"/>
    <col width="5.5" customWidth="1" style="680" min="3593" max="3593"/>
    <col width="4.125" customWidth="1" style="680" min="3594" max="3594"/>
    <col width="3.75" customWidth="1" style="680" min="3595" max="3595"/>
    <col width="4.375" customWidth="1" style="680" min="3596" max="3596"/>
    <col width="4.625" customWidth="1" style="680" min="3597" max="3597"/>
    <col width="4.875" customWidth="1" style="680" min="3598" max="3598"/>
    <col width="6.25" customWidth="1" style="680" min="3841" max="3841"/>
    <col width="9.875" customWidth="1" style="680" min="3842" max="3842"/>
    <col width="4" customWidth="1" style="680" min="3843" max="3843"/>
    <col width="10.75" customWidth="1" style="680" min="3844" max="3844"/>
    <col width="8.5" customWidth="1" style="680" min="3845" max="3845"/>
    <col width="6" customWidth="1" style="680" min="3846" max="3846"/>
    <col width="10.5" customWidth="1" style="680" min="3847" max="3847"/>
    <col width="8.125" customWidth="1" style="680" min="3848" max="3848"/>
    <col width="5.5" customWidth="1" style="680" min="3849" max="3849"/>
    <col width="4.125" customWidth="1" style="680" min="3850" max="3850"/>
    <col width="3.75" customWidth="1" style="680" min="3851" max="3851"/>
    <col width="4.375" customWidth="1" style="680" min="3852" max="3852"/>
    <col width="4.625" customWidth="1" style="680" min="3853" max="3853"/>
    <col width="4.875" customWidth="1" style="680" min="3854" max="3854"/>
    <col width="6.25" customWidth="1" style="680" min="4097" max="4097"/>
    <col width="9.875" customWidth="1" style="680" min="4098" max="4098"/>
    <col width="4" customWidth="1" style="680" min="4099" max="4099"/>
    <col width="10.75" customWidth="1" style="680" min="4100" max="4100"/>
    <col width="8.5" customWidth="1" style="680" min="4101" max="4101"/>
    <col width="6" customWidth="1" style="680" min="4102" max="4102"/>
    <col width="10.5" customWidth="1" style="680" min="4103" max="4103"/>
    <col width="8.125" customWidth="1" style="680" min="4104" max="4104"/>
    <col width="5.5" customWidth="1" style="680" min="4105" max="4105"/>
    <col width="4.125" customWidth="1" style="680" min="4106" max="4106"/>
    <col width="3.75" customWidth="1" style="680" min="4107" max="4107"/>
    <col width="4.375" customWidth="1" style="680" min="4108" max="4108"/>
    <col width="4.625" customWidth="1" style="680" min="4109" max="4109"/>
    <col width="4.875" customWidth="1" style="680" min="4110" max="4110"/>
    <col width="6.25" customWidth="1" style="680" min="4353" max="4353"/>
    <col width="9.875" customWidth="1" style="680" min="4354" max="4354"/>
    <col width="4" customWidth="1" style="680" min="4355" max="4355"/>
    <col width="10.75" customWidth="1" style="680" min="4356" max="4356"/>
    <col width="8.5" customWidth="1" style="680" min="4357" max="4357"/>
    <col width="6" customWidth="1" style="680" min="4358" max="4358"/>
    <col width="10.5" customWidth="1" style="680" min="4359" max="4359"/>
    <col width="8.125" customWidth="1" style="680" min="4360" max="4360"/>
    <col width="5.5" customWidth="1" style="680" min="4361" max="4361"/>
    <col width="4.125" customWidth="1" style="680" min="4362" max="4362"/>
    <col width="3.75" customWidth="1" style="680" min="4363" max="4363"/>
    <col width="4.375" customWidth="1" style="680" min="4364" max="4364"/>
    <col width="4.625" customWidth="1" style="680" min="4365" max="4365"/>
    <col width="4.875" customWidth="1" style="680" min="4366" max="4366"/>
    <col width="6.25" customWidth="1" style="680" min="4609" max="4609"/>
    <col width="9.875" customWidth="1" style="680" min="4610" max="4610"/>
    <col width="4" customWidth="1" style="680" min="4611" max="4611"/>
    <col width="10.75" customWidth="1" style="680" min="4612" max="4612"/>
    <col width="8.5" customWidth="1" style="680" min="4613" max="4613"/>
    <col width="6" customWidth="1" style="680" min="4614" max="4614"/>
    <col width="10.5" customWidth="1" style="680" min="4615" max="4615"/>
    <col width="8.125" customWidth="1" style="680" min="4616" max="4616"/>
    <col width="5.5" customWidth="1" style="680" min="4617" max="4617"/>
    <col width="4.125" customWidth="1" style="680" min="4618" max="4618"/>
    <col width="3.75" customWidth="1" style="680" min="4619" max="4619"/>
    <col width="4.375" customWidth="1" style="680" min="4620" max="4620"/>
    <col width="4.625" customWidth="1" style="680" min="4621" max="4621"/>
    <col width="4.875" customWidth="1" style="680" min="4622" max="4622"/>
    <col width="6.25" customWidth="1" style="680" min="4865" max="4865"/>
    <col width="9.875" customWidth="1" style="680" min="4866" max="4866"/>
    <col width="4" customWidth="1" style="680" min="4867" max="4867"/>
    <col width="10.75" customWidth="1" style="680" min="4868" max="4868"/>
    <col width="8.5" customWidth="1" style="680" min="4869" max="4869"/>
    <col width="6" customWidth="1" style="680" min="4870" max="4870"/>
    <col width="10.5" customWidth="1" style="680" min="4871" max="4871"/>
    <col width="8.125" customWidth="1" style="680" min="4872" max="4872"/>
    <col width="5.5" customWidth="1" style="680" min="4873" max="4873"/>
    <col width="4.125" customWidth="1" style="680" min="4874" max="4874"/>
    <col width="3.75" customWidth="1" style="680" min="4875" max="4875"/>
    <col width="4.375" customWidth="1" style="680" min="4876" max="4876"/>
    <col width="4.625" customWidth="1" style="680" min="4877" max="4877"/>
    <col width="4.875" customWidth="1" style="680" min="4878" max="4878"/>
    <col width="6.25" customWidth="1" style="680" min="5121" max="5121"/>
    <col width="9.875" customWidth="1" style="680" min="5122" max="5122"/>
    <col width="4" customWidth="1" style="680" min="5123" max="5123"/>
    <col width="10.75" customWidth="1" style="680" min="5124" max="5124"/>
    <col width="8.5" customWidth="1" style="680" min="5125" max="5125"/>
    <col width="6" customWidth="1" style="680" min="5126" max="5126"/>
    <col width="10.5" customWidth="1" style="680" min="5127" max="5127"/>
    <col width="8.125" customWidth="1" style="680" min="5128" max="5128"/>
    <col width="5.5" customWidth="1" style="680" min="5129" max="5129"/>
    <col width="4.125" customWidth="1" style="680" min="5130" max="5130"/>
    <col width="3.75" customWidth="1" style="680" min="5131" max="5131"/>
    <col width="4.375" customWidth="1" style="680" min="5132" max="5132"/>
    <col width="4.625" customWidth="1" style="680" min="5133" max="5133"/>
    <col width="4.875" customWidth="1" style="680" min="5134" max="5134"/>
    <col width="6.25" customWidth="1" style="680" min="5377" max="5377"/>
    <col width="9.875" customWidth="1" style="680" min="5378" max="5378"/>
    <col width="4" customWidth="1" style="680" min="5379" max="5379"/>
    <col width="10.75" customWidth="1" style="680" min="5380" max="5380"/>
    <col width="8.5" customWidth="1" style="680" min="5381" max="5381"/>
    <col width="6" customWidth="1" style="680" min="5382" max="5382"/>
    <col width="10.5" customWidth="1" style="680" min="5383" max="5383"/>
    <col width="8.125" customWidth="1" style="680" min="5384" max="5384"/>
    <col width="5.5" customWidth="1" style="680" min="5385" max="5385"/>
    <col width="4.125" customWidth="1" style="680" min="5386" max="5386"/>
    <col width="3.75" customWidth="1" style="680" min="5387" max="5387"/>
    <col width="4.375" customWidth="1" style="680" min="5388" max="5388"/>
    <col width="4.625" customWidth="1" style="680" min="5389" max="5389"/>
    <col width="4.875" customWidth="1" style="680" min="5390" max="5390"/>
    <col width="6.25" customWidth="1" style="680" min="5633" max="5633"/>
    <col width="9.875" customWidth="1" style="680" min="5634" max="5634"/>
    <col width="4" customWidth="1" style="680" min="5635" max="5635"/>
    <col width="10.75" customWidth="1" style="680" min="5636" max="5636"/>
    <col width="8.5" customWidth="1" style="680" min="5637" max="5637"/>
    <col width="6" customWidth="1" style="680" min="5638" max="5638"/>
    <col width="10.5" customWidth="1" style="680" min="5639" max="5639"/>
    <col width="8.125" customWidth="1" style="680" min="5640" max="5640"/>
    <col width="5.5" customWidth="1" style="680" min="5641" max="5641"/>
    <col width="4.125" customWidth="1" style="680" min="5642" max="5642"/>
    <col width="3.75" customWidth="1" style="680" min="5643" max="5643"/>
    <col width="4.375" customWidth="1" style="680" min="5644" max="5644"/>
    <col width="4.625" customWidth="1" style="680" min="5645" max="5645"/>
    <col width="4.875" customWidth="1" style="680" min="5646" max="5646"/>
    <col width="6.25" customWidth="1" style="680" min="5889" max="5889"/>
    <col width="9.875" customWidth="1" style="680" min="5890" max="5890"/>
    <col width="4" customWidth="1" style="680" min="5891" max="5891"/>
    <col width="10.75" customWidth="1" style="680" min="5892" max="5892"/>
    <col width="8.5" customWidth="1" style="680" min="5893" max="5893"/>
    <col width="6" customWidth="1" style="680" min="5894" max="5894"/>
    <col width="10.5" customWidth="1" style="680" min="5895" max="5895"/>
    <col width="8.125" customWidth="1" style="680" min="5896" max="5896"/>
    <col width="5.5" customWidth="1" style="680" min="5897" max="5897"/>
    <col width="4.125" customWidth="1" style="680" min="5898" max="5898"/>
    <col width="3.75" customWidth="1" style="680" min="5899" max="5899"/>
    <col width="4.375" customWidth="1" style="680" min="5900" max="5900"/>
    <col width="4.625" customWidth="1" style="680" min="5901" max="5901"/>
    <col width="4.875" customWidth="1" style="680" min="5902" max="5902"/>
    <col width="6.25" customWidth="1" style="680" min="6145" max="6145"/>
    <col width="9.875" customWidth="1" style="680" min="6146" max="6146"/>
    <col width="4" customWidth="1" style="680" min="6147" max="6147"/>
    <col width="10.75" customWidth="1" style="680" min="6148" max="6148"/>
    <col width="8.5" customWidth="1" style="680" min="6149" max="6149"/>
    <col width="6" customWidth="1" style="680" min="6150" max="6150"/>
    <col width="10.5" customWidth="1" style="680" min="6151" max="6151"/>
    <col width="8.125" customWidth="1" style="680" min="6152" max="6152"/>
    <col width="5.5" customWidth="1" style="680" min="6153" max="6153"/>
    <col width="4.125" customWidth="1" style="680" min="6154" max="6154"/>
    <col width="3.75" customWidth="1" style="680" min="6155" max="6155"/>
    <col width="4.375" customWidth="1" style="680" min="6156" max="6156"/>
    <col width="4.625" customWidth="1" style="680" min="6157" max="6157"/>
    <col width="4.875" customWidth="1" style="680" min="6158" max="6158"/>
    <col width="6.25" customWidth="1" style="680" min="6401" max="6401"/>
    <col width="9.875" customWidth="1" style="680" min="6402" max="6402"/>
    <col width="4" customWidth="1" style="680" min="6403" max="6403"/>
    <col width="10.75" customWidth="1" style="680" min="6404" max="6404"/>
    <col width="8.5" customWidth="1" style="680" min="6405" max="6405"/>
    <col width="6" customWidth="1" style="680" min="6406" max="6406"/>
    <col width="10.5" customWidth="1" style="680" min="6407" max="6407"/>
    <col width="8.125" customWidth="1" style="680" min="6408" max="6408"/>
    <col width="5.5" customWidth="1" style="680" min="6409" max="6409"/>
    <col width="4.125" customWidth="1" style="680" min="6410" max="6410"/>
    <col width="3.75" customWidth="1" style="680" min="6411" max="6411"/>
    <col width="4.375" customWidth="1" style="680" min="6412" max="6412"/>
    <col width="4.625" customWidth="1" style="680" min="6413" max="6413"/>
    <col width="4.875" customWidth="1" style="680" min="6414" max="6414"/>
    <col width="6.25" customWidth="1" style="680" min="6657" max="6657"/>
    <col width="9.875" customWidth="1" style="680" min="6658" max="6658"/>
    <col width="4" customWidth="1" style="680" min="6659" max="6659"/>
    <col width="10.75" customWidth="1" style="680" min="6660" max="6660"/>
    <col width="8.5" customWidth="1" style="680" min="6661" max="6661"/>
    <col width="6" customWidth="1" style="680" min="6662" max="6662"/>
    <col width="10.5" customWidth="1" style="680" min="6663" max="6663"/>
    <col width="8.125" customWidth="1" style="680" min="6664" max="6664"/>
    <col width="5.5" customWidth="1" style="680" min="6665" max="6665"/>
    <col width="4.125" customWidth="1" style="680" min="6666" max="6666"/>
    <col width="3.75" customWidth="1" style="680" min="6667" max="6667"/>
    <col width="4.375" customWidth="1" style="680" min="6668" max="6668"/>
    <col width="4.625" customWidth="1" style="680" min="6669" max="6669"/>
    <col width="4.875" customWidth="1" style="680" min="6670" max="6670"/>
    <col width="6.25" customWidth="1" style="680" min="6913" max="6913"/>
    <col width="9.875" customWidth="1" style="680" min="6914" max="6914"/>
    <col width="4" customWidth="1" style="680" min="6915" max="6915"/>
    <col width="10.75" customWidth="1" style="680" min="6916" max="6916"/>
    <col width="8.5" customWidth="1" style="680" min="6917" max="6917"/>
    <col width="6" customWidth="1" style="680" min="6918" max="6918"/>
    <col width="10.5" customWidth="1" style="680" min="6919" max="6919"/>
    <col width="8.125" customWidth="1" style="680" min="6920" max="6920"/>
    <col width="5.5" customWidth="1" style="680" min="6921" max="6921"/>
    <col width="4.125" customWidth="1" style="680" min="6922" max="6922"/>
    <col width="3.75" customWidth="1" style="680" min="6923" max="6923"/>
    <col width="4.375" customWidth="1" style="680" min="6924" max="6924"/>
    <col width="4.625" customWidth="1" style="680" min="6925" max="6925"/>
    <col width="4.875" customWidth="1" style="680" min="6926" max="6926"/>
    <col width="6.25" customWidth="1" style="680" min="7169" max="7169"/>
    <col width="9.875" customWidth="1" style="680" min="7170" max="7170"/>
    <col width="4" customWidth="1" style="680" min="7171" max="7171"/>
    <col width="10.75" customWidth="1" style="680" min="7172" max="7172"/>
    <col width="8.5" customWidth="1" style="680" min="7173" max="7173"/>
    <col width="6" customWidth="1" style="680" min="7174" max="7174"/>
    <col width="10.5" customWidth="1" style="680" min="7175" max="7175"/>
    <col width="8.125" customWidth="1" style="680" min="7176" max="7176"/>
    <col width="5.5" customWidth="1" style="680" min="7177" max="7177"/>
    <col width="4.125" customWidth="1" style="680" min="7178" max="7178"/>
    <col width="3.75" customWidth="1" style="680" min="7179" max="7179"/>
    <col width="4.375" customWidth="1" style="680" min="7180" max="7180"/>
    <col width="4.625" customWidth="1" style="680" min="7181" max="7181"/>
    <col width="4.875" customWidth="1" style="680" min="7182" max="7182"/>
    <col width="6.25" customWidth="1" style="680" min="7425" max="7425"/>
    <col width="9.875" customWidth="1" style="680" min="7426" max="7426"/>
    <col width="4" customWidth="1" style="680" min="7427" max="7427"/>
    <col width="10.75" customWidth="1" style="680" min="7428" max="7428"/>
    <col width="8.5" customWidth="1" style="680" min="7429" max="7429"/>
    <col width="6" customWidth="1" style="680" min="7430" max="7430"/>
    <col width="10.5" customWidth="1" style="680" min="7431" max="7431"/>
    <col width="8.125" customWidth="1" style="680" min="7432" max="7432"/>
    <col width="5.5" customWidth="1" style="680" min="7433" max="7433"/>
    <col width="4.125" customWidth="1" style="680" min="7434" max="7434"/>
    <col width="3.75" customWidth="1" style="680" min="7435" max="7435"/>
    <col width="4.375" customWidth="1" style="680" min="7436" max="7436"/>
    <col width="4.625" customWidth="1" style="680" min="7437" max="7437"/>
    <col width="4.875" customWidth="1" style="680" min="7438" max="7438"/>
    <col width="6.25" customWidth="1" style="680" min="7681" max="7681"/>
    <col width="9.875" customWidth="1" style="680" min="7682" max="7682"/>
    <col width="4" customWidth="1" style="680" min="7683" max="7683"/>
    <col width="10.75" customWidth="1" style="680" min="7684" max="7684"/>
    <col width="8.5" customWidth="1" style="680" min="7685" max="7685"/>
    <col width="6" customWidth="1" style="680" min="7686" max="7686"/>
    <col width="10.5" customWidth="1" style="680" min="7687" max="7687"/>
    <col width="8.125" customWidth="1" style="680" min="7688" max="7688"/>
    <col width="5.5" customWidth="1" style="680" min="7689" max="7689"/>
    <col width="4.125" customWidth="1" style="680" min="7690" max="7690"/>
    <col width="3.75" customWidth="1" style="680" min="7691" max="7691"/>
    <col width="4.375" customWidth="1" style="680" min="7692" max="7692"/>
    <col width="4.625" customWidth="1" style="680" min="7693" max="7693"/>
    <col width="4.875" customWidth="1" style="680" min="7694" max="7694"/>
    <col width="6.25" customWidth="1" style="680" min="7937" max="7937"/>
    <col width="9.875" customWidth="1" style="680" min="7938" max="7938"/>
    <col width="4" customWidth="1" style="680" min="7939" max="7939"/>
    <col width="10.75" customWidth="1" style="680" min="7940" max="7940"/>
    <col width="8.5" customWidth="1" style="680" min="7941" max="7941"/>
    <col width="6" customWidth="1" style="680" min="7942" max="7942"/>
    <col width="10.5" customWidth="1" style="680" min="7943" max="7943"/>
    <col width="8.125" customWidth="1" style="680" min="7944" max="7944"/>
    <col width="5.5" customWidth="1" style="680" min="7945" max="7945"/>
    <col width="4.125" customWidth="1" style="680" min="7946" max="7946"/>
    <col width="3.75" customWidth="1" style="680" min="7947" max="7947"/>
    <col width="4.375" customWidth="1" style="680" min="7948" max="7948"/>
    <col width="4.625" customWidth="1" style="680" min="7949" max="7949"/>
    <col width="4.875" customWidth="1" style="680" min="7950" max="7950"/>
    <col width="6.25" customWidth="1" style="680" min="8193" max="8193"/>
    <col width="9.875" customWidth="1" style="680" min="8194" max="8194"/>
    <col width="4" customWidth="1" style="680" min="8195" max="8195"/>
    <col width="10.75" customWidth="1" style="680" min="8196" max="8196"/>
    <col width="8.5" customWidth="1" style="680" min="8197" max="8197"/>
    <col width="6" customWidth="1" style="680" min="8198" max="8198"/>
    <col width="10.5" customWidth="1" style="680" min="8199" max="8199"/>
    <col width="8.125" customWidth="1" style="680" min="8200" max="8200"/>
    <col width="5.5" customWidth="1" style="680" min="8201" max="8201"/>
    <col width="4.125" customWidth="1" style="680" min="8202" max="8202"/>
    <col width="3.75" customWidth="1" style="680" min="8203" max="8203"/>
    <col width="4.375" customWidth="1" style="680" min="8204" max="8204"/>
    <col width="4.625" customWidth="1" style="680" min="8205" max="8205"/>
    <col width="4.875" customWidth="1" style="680" min="8206" max="8206"/>
    <col width="6.25" customWidth="1" style="680" min="8449" max="8449"/>
    <col width="9.875" customWidth="1" style="680" min="8450" max="8450"/>
    <col width="4" customWidth="1" style="680" min="8451" max="8451"/>
    <col width="10.75" customWidth="1" style="680" min="8452" max="8452"/>
    <col width="8.5" customWidth="1" style="680" min="8453" max="8453"/>
    <col width="6" customWidth="1" style="680" min="8454" max="8454"/>
    <col width="10.5" customWidth="1" style="680" min="8455" max="8455"/>
    <col width="8.125" customWidth="1" style="680" min="8456" max="8456"/>
    <col width="5.5" customWidth="1" style="680" min="8457" max="8457"/>
    <col width="4.125" customWidth="1" style="680" min="8458" max="8458"/>
    <col width="3.75" customWidth="1" style="680" min="8459" max="8459"/>
    <col width="4.375" customWidth="1" style="680" min="8460" max="8460"/>
    <col width="4.625" customWidth="1" style="680" min="8461" max="8461"/>
    <col width="4.875" customWidth="1" style="680" min="8462" max="8462"/>
    <col width="6.25" customWidth="1" style="680" min="8705" max="8705"/>
    <col width="9.875" customWidth="1" style="680" min="8706" max="8706"/>
    <col width="4" customWidth="1" style="680" min="8707" max="8707"/>
    <col width="10.75" customWidth="1" style="680" min="8708" max="8708"/>
    <col width="8.5" customWidth="1" style="680" min="8709" max="8709"/>
    <col width="6" customWidth="1" style="680" min="8710" max="8710"/>
    <col width="10.5" customWidth="1" style="680" min="8711" max="8711"/>
    <col width="8.125" customWidth="1" style="680" min="8712" max="8712"/>
    <col width="5.5" customWidth="1" style="680" min="8713" max="8713"/>
    <col width="4.125" customWidth="1" style="680" min="8714" max="8714"/>
    <col width="3.75" customWidth="1" style="680" min="8715" max="8715"/>
    <col width="4.375" customWidth="1" style="680" min="8716" max="8716"/>
    <col width="4.625" customWidth="1" style="680" min="8717" max="8717"/>
    <col width="4.875" customWidth="1" style="680" min="8718" max="8718"/>
    <col width="6.25" customWidth="1" style="680" min="8961" max="8961"/>
    <col width="9.875" customWidth="1" style="680" min="8962" max="8962"/>
    <col width="4" customWidth="1" style="680" min="8963" max="8963"/>
    <col width="10.75" customWidth="1" style="680" min="8964" max="8964"/>
    <col width="8.5" customWidth="1" style="680" min="8965" max="8965"/>
    <col width="6" customWidth="1" style="680" min="8966" max="8966"/>
    <col width="10.5" customWidth="1" style="680" min="8967" max="8967"/>
    <col width="8.125" customWidth="1" style="680" min="8968" max="8968"/>
    <col width="5.5" customWidth="1" style="680" min="8969" max="8969"/>
    <col width="4.125" customWidth="1" style="680" min="8970" max="8970"/>
    <col width="3.75" customWidth="1" style="680" min="8971" max="8971"/>
    <col width="4.375" customWidth="1" style="680" min="8972" max="8972"/>
    <col width="4.625" customWidth="1" style="680" min="8973" max="8973"/>
    <col width="4.875" customWidth="1" style="680" min="8974" max="8974"/>
    <col width="6.25" customWidth="1" style="680" min="9217" max="9217"/>
    <col width="9.875" customWidth="1" style="680" min="9218" max="9218"/>
    <col width="4" customWidth="1" style="680" min="9219" max="9219"/>
    <col width="10.75" customWidth="1" style="680" min="9220" max="9220"/>
    <col width="8.5" customWidth="1" style="680" min="9221" max="9221"/>
    <col width="6" customWidth="1" style="680" min="9222" max="9222"/>
    <col width="10.5" customWidth="1" style="680" min="9223" max="9223"/>
    <col width="8.125" customWidth="1" style="680" min="9224" max="9224"/>
    <col width="5.5" customWidth="1" style="680" min="9225" max="9225"/>
    <col width="4.125" customWidth="1" style="680" min="9226" max="9226"/>
    <col width="3.75" customWidth="1" style="680" min="9227" max="9227"/>
    <col width="4.375" customWidth="1" style="680" min="9228" max="9228"/>
    <col width="4.625" customWidth="1" style="680" min="9229" max="9229"/>
    <col width="4.875" customWidth="1" style="680" min="9230" max="9230"/>
    <col width="6.25" customWidth="1" style="680" min="9473" max="9473"/>
    <col width="9.875" customWidth="1" style="680" min="9474" max="9474"/>
    <col width="4" customWidth="1" style="680" min="9475" max="9475"/>
    <col width="10.75" customWidth="1" style="680" min="9476" max="9476"/>
    <col width="8.5" customWidth="1" style="680" min="9477" max="9477"/>
    <col width="6" customWidth="1" style="680" min="9478" max="9478"/>
    <col width="10.5" customWidth="1" style="680" min="9479" max="9479"/>
    <col width="8.125" customWidth="1" style="680" min="9480" max="9480"/>
    <col width="5.5" customWidth="1" style="680" min="9481" max="9481"/>
    <col width="4.125" customWidth="1" style="680" min="9482" max="9482"/>
    <col width="3.75" customWidth="1" style="680" min="9483" max="9483"/>
    <col width="4.375" customWidth="1" style="680" min="9484" max="9484"/>
    <col width="4.625" customWidth="1" style="680" min="9485" max="9485"/>
    <col width="4.875" customWidth="1" style="680" min="9486" max="9486"/>
    <col width="6.25" customWidth="1" style="680" min="9729" max="9729"/>
    <col width="9.875" customWidth="1" style="680" min="9730" max="9730"/>
    <col width="4" customWidth="1" style="680" min="9731" max="9731"/>
    <col width="10.75" customWidth="1" style="680" min="9732" max="9732"/>
    <col width="8.5" customWidth="1" style="680" min="9733" max="9733"/>
    <col width="6" customWidth="1" style="680" min="9734" max="9734"/>
    <col width="10.5" customWidth="1" style="680" min="9735" max="9735"/>
    <col width="8.125" customWidth="1" style="680" min="9736" max="9736"/>
    <col width="5.5" customWidth="1" style="680" min="9737" max="9737"/>
    <col width="4.125" customWidth="1" style="680" min="9738" max="9738"/>
    <col width="3.75" customWidth="1" style="680" min="9739" max="9739"/>
    <col width="4.375" customWidth="1" style="680" min="9740" max="9740"/>
    <col width="4.625" customWidth="1" style="680" min="9741" max="9741"/>
    <col width="4.875" customWidth="1" style="680" min="9742" max="9742"/>
    <col width="6.25" customWidth="1" style="680" min="9985" max="9985"/>
    <col width="9.875" customWidth="1" style="680" min="9986" max="9986"/>
    <col width="4" customWidth="1" style="680" min="9987" max="9987"/>
    <col width="10.75" customWidth="1" style="680" min="9988" max="9988"/>
    <col width="8.5" customWidth="1" style="680" min="9989" max="9989"/>
    <col width="6" customWidth="1" style="680" min="9990" max="9990"/>
    <col width="10.5" customWidth="1" style="680" min="9991" max="9991"/>
    <col width="8.125" customWidth="1" style="680" min="9992" max="9992"/>
    <col width="5.5" customWidth="1" style="680" min="9993" max="9993"/>
    <col width="4.125" customWidth="1" style="680" min="9994" max="9994"/>
    <col width="3.75" customWidth="1" style="680" min="9995" max="9995"/>
    <col width="4.375" customWidth="1" style="680" min="9996" max="9996"/>
    <col width="4.625" customWidth="1" style="680" min="9997" max="9997"/>
    <col width="4.875" customWidth="1" style="680" min="9998" max="9998"/>
    <col width="6.25" customWidth="1" style="680" min="10241" max="10241"/>
    <col width="9.875" customWidth="1" style="680" min="10242" max="10242"/>
    <col width="4" customWidth="1" style="680" min="10243" max="10243"/>
    <col width="10.75" customWidth="1" style="680" min="10244" max="10244"/>
    <col width="8.5" customWidth="1" style="680" min="10245" max="10245"/>
    <col width="6" customWidth="1" style="680" min="10246" max="10246"/>
    <col width="10.5" customWidth="1" style="680" min="10247" max="10247"/>
    <col width="8.125" customWidth="1" style="680" min="10248" max="10248"/>
    <col width="5.5" customWidth="1" style="680" min="10249" max="10249"/>
    <col width="4.125" customWidth="1" style="680" min="10250" max="10250"/>
    <col width="3.75" customWidth="1" style="680" min="10251" max="10251"/>
    <col width="4.375" customWidth="1" style="680" min="10252" max="10252"/>
    <col width="4.625" customWidth="1" style="680" min="10253" max="10253"/>
    <col width="4.875" customWidth="1" style="680" min="10254" max="10254"/>
    <col width="6.25" customWidth="1" style="680" min="10497" max="10497"/>
    <col width="9.875" customWidth="1" style="680" min="10498" max="10498"/>
    <col width="4" customWidth="1" style="680" min="10499" max="10499"/>
    <col width="10.75" customWidth="1" style="680" min="10500" max="10500"/>
    <col width="8.5" customWidth="1" style="680" min="10501" max="10501"/>
    <col width="6" customWidth="1" style="680" min="10502" max="10502"/>
    <col width="10.5" customWidth="1" style="680" min="10503" max="10503"/>
    <col width="8.125" customWidth="1" style="680" min="10504" max="10504"/>
    <col width="5.5" customWidth="1" style="680" min="10505" max="10505"/>
    <col width="4.125" customWidth="1" style="680" min="10506" max="10506"/>
    <col width="3.75" customWidth="1" style="680" min="10507" max="10507"/>
    <col width="4.375" customWidth="1" style="680" min="10508" max="10508"/>
    <col width="4.625" customWidth="1" style="680" min="10509" max="10509"/>
    <col width="4.875" customWidth="1" style="680" min="10510" max="10510"/>
    <col width="6.25" customWidth="1" style="680" min="10753" max="10753"/>
    <col width="9.875" customWidth="1" style="680" min="10754" max="10754"/>
    <col width="4" customWidth="1" style="680" min="10755" max="10755"/>
    <col width="10.75" customWidth="1" style="680" min="10756" max="10756"/>
    <col width="8.5" customWidth="1" style="680" min="10757" max="10757"/>
    <col width="6" customWidth="1" style="680" min="10758" max="10758"/>
    <col width="10.5" customWidth="1" style="680" min="10759" max="10759"/>
    <col width="8.125" customWidth="1" style="680" min="10760" max="10760"/>
    <col width="5.5" customWidth="1" style="680" min="10761" max="10761"/>
    <col width="4.125" customWidth="1" style="680" min="10762" max="10762"/>
    <col width="3.75" customWidth="1" style="680" min="10763" max="10763"/>
    <col width="4.375" customWidth="1" style="680" min="10764" max="10764"/>
    <col width="4.625" customWidth="1" style="680" min="10765" max="10765"/>
    <col width="4.875" customWidth="1" style="680" min="10766" max="10766"/>
    <col width="6.25" customWidth="1" style="680" min="11009" max="11009"/>
    <col width="9.875" customWidth="1" style="680" min="11010" max="11010"/>
    <col width="4" customWidth="1" style="680" min="11011" max="11011"/>
    <col width="10.75" customWidth="1" style="680" min="11012" max="11012"/>
    <col width="8.5" customWidth="1" style="680" min="11013" max="11013"/>
    <col width="6" customWidth="1" style="680" min="11014" max="11014"/>
    <col width="10.5" customWidth="1" style="680" min="11015" max="11015"/>
    <col width="8.125" customWidth="1" style="680" min="11016" max="11016"/>
    <col width="5.5" customWidth="1" style="680" min="11017" max="11017"/>
    <col width="4.125" customWidth="1" style="680" min="11018" max="11018"/>
    <col width="3.75" customWidth="1" style="680" min="11019" max="11019"/>
    <col width="4.375" customWidth="1" style="680" min="11020" max="11020"/>
    <col width="4.625" customWidth="1" style="680" min="11021" max="11021"/>
    <col width="4.875" customWidth="1" style="680" min="11022" max="11022"/>
    <col width="6.25" customWidth="1" style="680" min="11265" max="11265"/>
    <col width="9.875" customWidth="1" style="680" min="11266" max="11266"/>
    <col width="4" customWidth="1" style="680" min="11267" max="11267"/>
    <col width="10.75" customWidth="1" style="680" min="11268" max="11268"/>
    <col width="8.5" customWidth="1" style="680" min="11269" max="11269"/>
    <col width="6" customWidth="1" style="680" min="11270" max="11270"/>
    <col width="10.5" customWidth="1" style="680" min="11271" max="11271"/>
    <col width="8.125" customWidth="1" style="680" min="11272" max="11272"/>
    <col width="5.5" customWidth="1" style="680" min="11273" max="11273"/>
    <col width="4.125" customWidth="1" style="680" min="11274" max="11274"/>
    <col width="3.75" customWidth="1" style="680" min="11275" max="11275"/>
    <col width="4.375" customWidth="1" style="680" min="11276" max="11276"/>
    <col width="4.625" customWidth="1" style="680" min="11277" max="11277"/>
    <col width="4.875" customWidth="1" style="680" min="11278" max="11278"/>
    <col width="6.25" customWidth="1" style="680" min="11521" max="11521"/>
    <col width="9.875" customWidth="1" style="680" min="11522" max="11522"/>
    <col width="4" customWidth="1" style="680" min="11523" max="11523"/>
    <col width="10.75" customWidth="1" style="680" min="11524" max="11524"/>
    <col width="8.5" customWidth="1" style="680" min="11525" max="11525"/>
    <col width="6" customWidth="1" style="680" min="11526" max="11526"/>
    <col width="10.5" customWidth="1" style="680" min="11527" max="11527"/>
    <col width="8.125" customWidth="1" style="680" min="11528" max="11528"/>
    <col width="5.5" customWidth="1" style="680" min="11529" max="11529"/>
    <col width="4.125" customWidth="1" style="680" min="11530" max="11530"/>
    <col width="3.75" customWidth="1" style="680" min="11531" max="11531"/>
    <col width="4.375" customWidth="1" style="680" min="11532" max="11532"/>
    <col width="4.625" customWidth="1" style="680" min="11533" max="11533"/>
    <col width="4.875" customWidth="1" style="680" min="11534" max="11534"/>
    <col width="6.25" customWidth="1" style="680" min="11777" max="11777"/>
    <col width="9.875" customWidth="1" style="680" min="11778" max="11778"/>
    <col width="4" customWidth="1" style="680" min="11779" max="11779"/>
    <col width="10.75" customWidth="1" style="680" min="11780" max="11780"/>
    <col width="8.5" customWidth="1" style="680" min="11781" max="11781"/>
    <col width="6" customWidth="1" style="680" min="11782" max="11782"/>
    <col width="10.5" customWidth="1" style="680" min="11783" max="11783"/>
    <col width="8.125" customWidth="1" style="680" min="11784" max="11784"/>
    <col width="5.5" customWidth="1" style="680" min="11785" max="11785"/>
    <col width="4.125" customWidth="1" style="680" min="11786" max="11786"/>
    <col width="3.75" customWidth="1" style="680" min="11787" max="11787"/>
    <col width="4.375" customWidth="1" style="680" min="11788" max="11788"/>
    <col width="4.625" customWidth="1" style="680" min="11789" max="11789"/>
    <col width="4.875" customWidth="1" style="680" min="11790" max="11790"/>
    <col width="6.25" customWidth="1" style="680" min="12033" max="12033"/>
    <col width="9.875" customWidth="1" style="680" min="12034" max="12034"/>
    <col width="4" customWidth="1" style="680" min="12035" max="12035"/>
    <col width="10.75" customWidth="1" style="680" min="12036" max="12036"/>
    <col width="8.5" customWidth="1" style="680" min="12037" max="12037"/>
    <col width="6" customWidth="1" style="680" min="12038" max="12038"/>
    <col width="10.5" customWidth="1" style="680" min="12039" max="12039"/>
    <col width="8.125" customWidth="1" style="680" min="12040" max="12040"/>
    <col width="5.5" customWidth="1" style="680" min="12041" max="12041"/>
    <col width="4.125" customWidth="1" style="680" min="12042" max="12042"/>
    <col width="3.75" customWidth="1" style="680" min="12043" max="12043"/>
    <col width="4.375" customWidth="1" style="680" min="12044" max="12044"/>
    <col width="4.625" customWidth="1" style="680" min="12045" max="12045"/>
    <col width="4.875" customWidth="1" style="680" min="12046" max="12046"/>
    <col width="6.25" customWidth="1" style="680" min="12289" max="12289"/>
    <col width="9.875" customWidth="1" style="680" min="12290" max="12290"/>
    <col width="4" customWidth="1" style="680" min="12291" max="12291"/>
    <col width="10.75" customWidth="1" style="680" min="12292" max="12292"/>
    <col width="8.5" customWidth="1" style="680" min="12293" max="12293"/>
    <col width="6" customWidth="1" style="680" min="12294" max="12294"/>
    <col width="10.5" customWidth="1" style="680" min="12295" max="12295"/>
    <col width="8.125" customWidth="1" style="680" min="12296" max="12296"/>
    <col width="5.5" customWidth="1" style="680" min="12297" max="12297"/>
    <col width="4.125" customWidth="1" style="680" min="12298" max="12298"/>
    <col width="3.75" customWidth="1" style="680" min="12299" max="12299"/>
    <col width="4.375" customWidth="1" style="680" min="12300" max="12300"/>
    <col width="4.625" customWidth="1" style="680" min="12301" max="12301"/>
    <col width="4.875" customWidth="1" style="680" min="12302" max="12302"/>
    <col width="6.25" customWidth="1" style="680" min="12545" max="12545"/>
    <col width="9.875" customWidth="1" style="680" min="12546" max="12546"/>
    <col width="4" customWidth="1" style="680" min="12547" max="12547"/>
    <col width="10.75" customWidth="1" style="680" min="12548" max="12548"/>
    <col width="8.5" customWidth="1" style="680" min="12549" max="12549"/>
    <col width="6" customWidth="1" style="680" min="12550" max="12550"/>
    <col width="10.5" customWidth="1" style="680" min="12551" max="12551"/>
    <col width="8.125" customWidth="1" style="680" min="12552" max="12552"/>
    <col width="5.5" customWidth="1" style="680" min="12553" max="12553"/>
    <col width="4.125" customWidth="1" style="680" min="12554" max="12554"/>
    <col width="3.75" customWidth="1" style="680" min="12555" max="12555"/>
    <col width="4.375" customWidth="1" style="680" min="12556" max="12556"/>
    <col width="4.625" customWidth="1" style="680" min="12557" max="12557"/>
    <col width="4.875" customWidth="1" style="680" min="12558" max="12558"/>
    <col width="6.25" customWidth="1" style="680" min="12801" max="12801"/>
    <col width="9.875" customWidth="1" style="680" min="12802" max="12802"/>
    <col width="4" customWidth="1" style="680" min="12803" max="12803"/>
    <col width="10.75" customWidth="1" style="680" min="12804" max="12804"/>
    <col width="8.5" customWidth="1" style="680" min="12805" max="12805"/>
    <col width="6" customWidth="1" style="680" min="12806" max="12806"/>
    <col width="10.5" customWidth="1" style="680" min="12807" max="12807"/>
    <col width="8.125" customWidth="1" style="680" min="12808" max="12808"/>
    <col width="5.5" customWidth="1" style="680" min="12809" max="12809"/>
    <col width="4.125" customWidth="1" style="680" min="12810" max="12810"/>
    <col width="3.75" customWidth="1" style="680" min="12811" max="12811"/>
    <col width="4.375" customWidth="1" style="680" min="12812" max="12812"/>
    <col width="4.625" customWidth="1" style="680" min="12813" max="12813"/>
    <col width="4.875" customWidth="1" style="680" min="12814" max="12814"/>
    <col width="6.25" customWidth="1" style="680" min="13057" max="13057"/>
    <col width="9.875" customWidth="1" style="680" min="13058" max="13058"/>
    <col width="4" customWidth="1" style="680" min="13059" max="13059"/>
    <col width="10.75" customWidth="1" style="680" min="13060" max="13060"/>
    <col width="8.5" customWidth="1" style="680" min="13061" max="13061"/>
    <col width="6" customWidth="1" style="680" min="13062" max="13062"/>
    <col width="10.5" customWidth="1" style="680" min="13063" max="13063"/>
    <col width="8.125" customWidth="1" style="680" min="13064" max="13064"/>
    <col width="5.5" customWidth="1" style="680" min="13065" max="13065"/>
    <col width="4.125" customWidth="1" style="680" min="13066" max="13066"/>
    <col width="3.75" customWidth="1" style="680" min="13067" max="13067"/>
    <col width="4.375" customWidth="1" style="680" min="13068" max="13068"/>
    <col width="4.625" customWidth="1" style="680" min="13069" max="13069"/>
    <col width="4.875" customWidth="1" style="680" min="13070" max="13070"/>
    <col width="6.25" customWidth="1" style="680" min="13313" max="13313"/>
    <col width="9.875" customWidth="1" style="680" min="13314" max="13314"/>
    <col width="4" customWidth="1" style="680" min="13315" max="13315"/>
    <col width="10.75" customWidth="1" style="680" min="13316" max="13316"/>
    <col width="8.5" customWidth="1" style="680" min="13317" max="13317"/>
    <col width="6" customWidth="1" style="680" min="13318" max="13318"/>
    <col width="10.5" customWidth="1" style="680" min="13319" max="13319"/>
    <col width="8.125" customWidth="1" style="680" min="13320" max="13320"/>
    <col width="5.5" customWidth="1" style="680" min="13321" max="13321"/>
    <col width="4.125" customWidth="1" style="680" min="13322" max="13322"/>
    <col width="3.75" customWidth="1" style="680" min="13323" max="13323"/>
    <col width="4.375" customWidth="1" style="680" min="13324" max="13324"/>
    <col width="4.625" customWidth="1" style="680" min="13325" max="13325"/>
    <col width="4.875" customWidth="1" style="680" min="13326" max="13326"/>
    <col width="6.25" customWidth="1" style="680" min="13569" max="13569"/>
    <col width="9.875" customWidth="1" style="680" min="13570" max="13570"/>
    <col width="4" customWidth="1" style="680" min="13571" max="13571"/>
    <col width="10.75" customWidth="1" style="680" min="13572" max="13572"/>
    <col width="8.5" customWidth="1" style="680" min="13573" max="13573"/>
    <col width="6" customWidth="1" style="680" min="13574" max="13574"/>
    <col width="10.5" customWidth="1" style="680" min="13575" max="13575"/>
    <col width="8.125" customWidth="1" style="680" min="13576" max="13576"/>
    <col width="5.5" customWidth="1" style="680" min="13577" max="13577"/>
    <col width="4.125" customWidth="1" style="680" min="13578" max="13578"/>
    <col width="3.75" customWidth="1" style="680" min="13579" max="13579"/>
    <col width="4.375" customWidth="1" style="680" min="13580" max="13580"/>
    <col width="4.625" customWidth="1" style="680" min="13581" max="13581"/>
    <col width="4.875" customWidth="1" style="680" min="13582" max="13582"/>
    <col width="6.25" customWidth="1" style="680" min="13825" max="13825"/>
    <col width="9.875" customWidth="1" style="680" min="13826" max="13826"/>
    <col width="4" customWidth="1" style="680" min="13827" max="13827"/>
    <col width="10.75" customWidth="1" style="680" min="13828" max="13828"/>
    <col width="8.5" customWidth="1" style="680" min="13829" max="13829"/>
    <col width="6" customWidth="1" style="680" min="13830" max="13830"/>
    <col width="10.5" customWidth="1" style="680" min="13831" max="13831"/>
    <col width="8.125" customWidth="1" style="680" min="13832" max="13832"/>
    <col width="5.5" customWidth="1" style="680" min="13833" max="13833"/>
    <col width="4.125" customWidth="1" style="680" min="13834" max="13834"/>
    <col width="3.75" customWidth="1" style="680" min="13835" max="13835"/>
    <col width="4.375" customWidth="1" style="680" min="13836" max="13836"/>
    <col width="4.625" customWidth="1" style="680" min="13837" max="13837"/>
    <col width="4.875" customWidth="1" style="680" min="13838" max="13838"/>
    <col width="6.25" customWidth="1" style="680" min="14081" max="14081"/>
    <col width="9.875" customWidth="1" style="680" min="14082" max="14082"/>
    <col width="4" customWidth="1" style="680" min="14083" max="14083"/>
    <col width="10.75" customWidth="1" style="680" min="14084" max="14084"/>
    <col width="8.5" customWidth="1" style="680" min="14085" max="14085"/>
    <col width="6" customWidth="1" style="680" min="14086" max="14086"/>
    <col width="10.5" customWidth="1" style="680" min="14087" max="14087"/>
    <col width="8.125" customWidth="1" style="680" min="14088" max="14088"/>
    <col width="5.5" customWidth="1" style="680" min="14089" max="14089"/>
    <col width="4.125" customWidth="1" style="680" min="14090" max="14090"/>
    <col width="3.75" customWidth="1" style="680" min="14091" max="14091"/>
    <col width="4.375" customWidth="1" style="680" min="14092" max="14092"/>
    <col width="4.625" customWidth="1" style="680" min="14093" max="14093"/>
    <col width="4.875" customWidth="1" style="680" min="14094" max="14094"/>
    <col width="6.25" customWidth="1" style="680" min="14337" max="14337"/>
    <col width="9.875" customWidth="1" style="680" min="14338" max="14338"/>
    <col width="4" customWidth="1" style="680" min="14339" max="14339"/>
    <col width="10.75" customWidth="1" style="680" min="14340" max="14340"/>
    <col width="8.5" customWidth="1" style="680" min="14341" max="14341"/>
    <col width="6" customWidth="1" style="680" min="14342" max="14342"/>
    <col width="10.5" customWidth="1" style="680" min="14343" max="14343"/>
    <col width="8.125" customWidth="1" style="680" min="14344" max="14344"/>
    <col width="5.5" customWidth="1" style="680" min="14345" max="14345"/>
    <col width="4.125" customWidth="1" style="680" min="14346" max="14346"/>
    <col width="3.75" customWidth="1" style="680" min="14347" max="14347"/>
    <col width="4.375" customWidth="1" style="680" min="14348" max="14348"/>
    <col width="4.625" customWidth="1" style="680" min="14349" max="14349"/>
    <col width="4.875" customWidth="1" style="680" min="14350" max="14350"/>
    <col width="6.25" customWidth="1" style="680" min="14593" max="14593"/>
    <col width="9.875" customWidth="1" style="680" min="14594" max="14594"/>
    <col width="4" customWidth="1" style="680" min="14595" max="14595"/>
    <col width="10.75" customWidth="1" style="680" min="14596" max="14596"/>
    <col width="8.5" customWidth="1" style="680" min="14597" max="14597"/>
    <col width="6" customWidth="1" style="680" min="14598" max="14598"/>
    <col width="10.5" customWidth="1" style="680" min="14599" max="14599"/>
    <col width="8.125" customWidth="1" style="680" min="14600" max="14600"/>
    <col width="5.5" customWidth="1" style="680" min="14601" max="14601"/>
    <col width="4.125" customWidth="1" style="680" min="14602" max="14602"/>
    <col width="3.75" customWidth="1" style="680" min="14603" max="14603"/>
    <col width="4.375" customWidth="1" style="680" min="14604" max="14604"/>
    <col width="4.625" customWidth="1" style="680" min="14605" max="14605"/>
    <col width="4.875" customWidth="1" style="680" min="14606" max="14606"/>
    <col width="6.25" customWidth="1" style="680" min="14849" max="14849"/>
    <col width="9.875" customWidth="1" style="680" min="14850" max="14850"/>
    <col width="4" customWidth="1" style="680" min="14851" max="14851"/>
    <col width="10.75" customWidth="1" style="680" min="14852" max="14852"/>
    <col width="8.5" customWidth="1" style="680" min="14853" max="14853"/>
    <col width="6" customWidth="1" style="680" min="14854" max="14854"/>
    <col width="10.5" customWidth="1" style="680" min="14855" max="14855"/>
    <col width="8.125" customWidth="1" style="680" min="14856" max="14856"/>
    <col width="5.5" customWidth="1" style="680" min="14857" max="14857"/>
    <col width="4.125" customWidth="1" style="680" min="14858" max="14858"/>
    <col width="3.75" customWidth="1" style="680" min="14859" max="14859"/>
    <col width="4.375" customWidth="1" style="680" min="14860" max="14860"/>
    <col width="4.625" customWidth="1" style="680" min="14861" max="14861"/>
    <col width="4.875" customWidth="1" style="680" min="14862" max="14862"/>
    <col width="6.25" customWidth="1" style="680" min="15105" max="15105"/>
    <col width="9.875" customWidth="1" style="680" min="15106" max="15106"/>
    <col width="4" customWidth="1" style="680" min="15107" max="15107"/>
    <col width="10.75" customWidth="1" style="680" min="15108" max="15108"/>
    <col width="8.5" customWidth="1" style="680" min="15109" max="15109"/>
    <col width="6" customWidth="1" style="680" min="15110" max="15110"/>
    <col width="10.5" customWidth="1" style="680" min="15111" max="15111"/>
    <col width="8.125" customWidth="1" style="680" min="15112" max="15112"/>
    <col width="5.5" customWidth="1" style="680" min="15113" max="15113"/>
    <col width="4.125" customWidth="1" style="680" min="15114" max="15114"/>
    <col width="3.75" customWidth="1" style="680" min="15115" max="15115"/>
    <col width="4.375" customWidth="1" style="680" min="15116" max="15116"/>
    <col width="4.625" customWidth="1" style="680" min="15117" max="15117"/>
    <col width="4.875" customWidth="1" style="680" min="15118" max="15118"/>
    <col width="6.25" customWidth="1" style="680" min="15361" max="15361"/>
    <col width="9.875" customWidth="1" style="680" min="15362" max="15362"/>
    <col width="4" customWidth="1" style="680" min="15363" max="15363"/>
    <col width="10.75" customWidth="1" style="680" min="15364" max="15364"/>
    <col width="8.5" customWidth="1" style="680" min="15365" max="15365"/>
    <col width="6" customWidth="1" style="680" min="15366" max="15366"/>
    <col width="10.5" customWidth="1" style="680" min="15367" max="15367"/>
    <col width="8.125" customWidth="1" style="680" min="15368" max="15368"/>
    <col width="5.5" customWidth="1" style="680" min="15369" max="15369"/>
    <col width="4.125" customWidth="1" style="680" min="15370" max="15370"/>
    <col width="3.75" customWidth="1" style="680" min="15371" max="15371"/>
    <col width="4.375" customWidth="1" style="680" min="15372" max="15372"/>
    <col width="4.625" customWidth="1" style="680" min="15373" max="15373"/>
    <col width="4.875" customWidth="1" style="680" min="15374" max="15374"/>
    <col width="6.25" customWidth="1" style="680" min="15617" max="15617"/>
    <col width="9.875" customWidth="1" style="680" min="15618" max="15618"/>
    <col width="4" customWidth="1" style="680" min="15619" max="15619"/>
    <col width="10.75" customWidth="1" style="680" min="15620" max="15620"/>
    <col width="8.5" customWidth="1" style="680" min="15621" max="15621"/>
    <col width="6" customWidth="1" style="680" min="15622" max="15622"/>
    <col width="10.5" customWidth="1" style="680" min="15623" max="15623"/>
    <col width="8.125" customWidth="1" style="680" min="15624" max="15624"/>
    <col width="5.5" customWidth="1" style="680" min="15625" max="15625"/>
    <col width="4.125" customWidth="1" style="680" min="15626" max="15626"/>
    <col width="3.75" customWidth="1" style="680" min="15627" max="15627"/>
    <col width="4.375" customWidth="1" style="680" min="15628" max="15628"/>
    <col width="4.625" customWidth="1" style="680" min="15629" max="15629"/>
    <col width="4.875" customWidth="1" style="680" min="15630" max="15630"/>
    <col width="6.25" customWidth="1" style="680" min="15873" max="15873"/>
    <col width="9.875" customWidth="1" style="680" min="15874" max="15874"/>
    <col width="4" customWidth="1" style="680" min="15875" max="15875"/>
    <col width="10.75" customWidth="1" style="680" min="15876" max="15876"/>
    <col width="8.5" customWidth="1" style="680" min="15877" max="15877"/>
    <col width="6" customWidth="1" style="680" min="15878" max="15878"/>
    <col width="10.5" customWidth="1" style="680" min="15879" max="15879"/>
    <col width="8.125" customWidth="1" style="680" min="15880" max="15880"/>
    <col width="5.5" customWidth="1" style="680" min="15881" max="15881"/>
    <col width="4.125" customWidth="1" style="680" min="15882" max="15882"/>
    <col width="3.75" customWidth="1" style="680" min="15883" max="15883"/>
    <col width="4.375" customWidth="1" style="680" min="15884" max="15884"/>
    <col width="4.625" customWidth="1" style="680" min="15885" max="15885"/>
    <col width="4.875" customWidth="1" style="680" min="15886" max="15886"/>
    <col width="6.25" customWidth="1" style="680" min="16129" max="16129"/>
    <col width="9.875" customWidth="1" style="680" min="16130" max="16130"/>
    <col width="4" customWidth="1" style="680" min="16131" max="16131"/>
    <col width="10.75" customWidth="1" style="680" min="16132" max="16132"/>
    <col width="8.5" customWidth="1" style="680" min="16133" max="16133"/>
    <col width="6" customWidth="1" style="680" min="16134" max="16134"/>
    <col width="10.5" customWidth="1" style="680" min="16135" max="16135"/>
    <col width="8.125" customWidth="1" style="680" min="16136" max="16136"/>
    <col width="5.5" customWidth="1" style="680" min="16137" max="16137"/>
    <col width="4.125" customWidth="1" style="680" min="16138" max="16138"/>
    <col width="3.75" customWidth="1" style="680" min="16139" max="16139"/>
    <col width="4.375" customWidth="1" style="680" min="16140" max="16140"/>
    <col width="4.625" customWidth="1" style="680" min="16141" max="16141"/>
    <col width="4.875" customWidth="1" style="680" min="16142" max="16142"/>
  </cols>
  <sheetData>
    <row r="1" ht="18" customHeight="1" s="680">
      <c r="A1" s="958">
        <f>CONCATENATE(輸入!S18,輸入!T18,CHAR(10),輸入!S19,輸入!T19)</f>
        <v/>
      </c>
      <c r="B1" s="580" t="n"/>
      <c r="C1" s="580" t="n"/>
      <c r="D1" s="954" t="inlineStr">
        <is>
          <t>刑事案件</t>
        </is>
      </c>
      <c r="E1" s="580" t="n"/>
      <c r="F1" s="580" t="n"/>
      <c r="G1" s="928" t="inlineStr">
        <is>
          <t>報告單</t>
        </is>
      </c>
      <c r="H1" s="959" t="inlineStr">
        <is>
          <t>中華
民國</t>
        </is>
      </c>
      <c r="I1" s="929">
        <f>LEFT(下拉用!$J$5,10)</f>
        <v/>
      </c>
      <c r="J1" s="580" t="n"/>
      <c r="K1" s="580" t="n"/>
      <c r="L1" s="580" t="n"/>
      <c r="M1" s="580" t="n"/>
      <c r="N1" s="581" t="n"/>
      <c r="O1" s="610" t="n"/>
      <c r="P1" s="610" t="n"/>
      <c r="Q1" s="610" t="n"/>
      <c r="R1" s="610" t="n"/>
      <c r="S1" s="610" t="n"/>
      <c r="T1" s="610" t="n"/>
      <c r="U1" s="610" t="n"/>
      <c r="V1" s="610" t="n"/>
      <c r="W1" s="610" t="n"/>
      <c r="X1" s="610" t="n"/>
      <c r="Y1" s="610" t="n"/>
      <c r="Z1" s="610" t="n"/>
      <c r="AA1" s="610" t="n"/>
      <c r="AB1" s="610" t="n"/>
      <c r="AC1" s="610" t="n"/>
      <c r="AD1" s="610" t="n"/>
      <c r="AE1" s="610" t="n"/>
      <c r="AF1" s="610" t="n"/>
      <c r="AG1" s="610" t="n"/>
      <c r="AH1" s="610" t="n"/>
      <c r="AI1" s="610" t="n"/>
      <c r="AJ1" s="610" t="n"/>
      <c r="AK1" s="610" t="n"/>
      <c r="AL1" s="610" t="n"/>
      <c r="AM1" s="610" t="n"/>
    </row>
    <row r="2" ht="18" customHeight="1" s="680">
      <c r="A2" s="609" t="n"/>
      <c r="D2" s="927" t="inlineStr">
        <is>
          <t>違反社會秩序維護法案件</t>
        </is>
      </c>
      <c r="N2" s="611" t="n"/>
      <c r="O2" s="610" t="n"/>
      <c r="P2" s="610" t="n"/>
      <c r="Q2" s="610" t="n"/>
      <c r="R2" s="610" t="n"/>
      <c r="S2" s="610" t="n"/>
      <c r="T2" s="610" t="n"/>
      <c r="U2" s="610" t="n"/>
      <c r="V2" s="610" t="n"/>
      <c r="W2" s="610" t="n"/>
      <c r="X2" s="610" t="n"/>
      <c r="Y2" s="610" t="n"/>
      <c r="Z2" s="610" t="n"/>
      <c r="AA2" s="610" t="n"/>
      <c r="AB2" s="610" t="n"/>
      <c r="AC2" s="610" t="n"/>
      <c r="AD2" s="610" t="n"/>
      <c r="AE2" s="610" t="n"/>
      <c r="AF2" s="610" t="n"/>
      <c r="AG2" s="610" t="n"/>
      <c r="AH2" s="610" t="n"/>
      <c r="AI2" s="610" t="n"/>
      <c r="AJ2" s="610" t="n"/>
      <c r="AK2" s="610" t="n"/>
      <c r="AL2" s="610" t="n"/>
      <c r="AM2" s="610" t="n"/>
    </row>
    <row r="3" ht="18" customHeight="1" s="680">
      <c r="A3" s="582" t="n"/>
      <c r="B3" s="583" t="n"/>
      <c r="C3" s="583" t="n"/>
      <c r="D3" s="937" t="inlineStr">
        <is>
          <t>違反行政法令案件</t>
        </is>
      </c>
      <c r="E3" s="583" t="n"/>
      <c r="F3" s="583" t="n"/>
      <c r="G3" s="583" t="n"/>
      <c r="H3" s="955" t="inlineStr">
        <is>
          <t>北市警信分刑字第</t>
        </is>
      </c>
      <c r="I3" s="583" t="n"/>
      <c r="J3" s="935" t="n"/>
      <c r="K3" s="583" t="n"/>
      <c r="L3" s="583" t="n"/>
      <c r="M3" s="583" t="n"/>
      <c r="N3" s="318" t="inlineStr">
        <is>
          <t>號</t>
        </is>
      </c>
      <c r="O3" s="610" t="n"/>
      <c r="P3" s="610" t="n"/>
      <c r="Q3" s="610" t="n"/>
      <c r="R3" s="610" t="n"/>
      <c r="S3" s="610" t="n"/>
      <c r="T3" s="610" t="n"/>
      <c r="U3" s="610" t="n"/>
      <c r="V3" s="610" t="n"/>
      <c r="W3" s="610" t="n"/>
      <c r="X3" s="610" t="n"/>
      <c r="Y3" s="610" t="n"/>
      <c r="Z3" s="610" t="n"/>
      <c r="AA3" s="610" t="n"/>
      <c r="AB3" s="610" t="n"/>
      <c r="AC3" s="610" t="n"/>
      <c r="AD3" s="610" t="n"/>
      <c r="AE3" s="610" t="n"/>
      <c r="AF3" s="610" t="n"/>
      <c r="AG3" s="610" t="n"/>
      <c r="AH3" s="610" t="n"/>
      <c r="AI3" s="610" t="n"/>
      <c r="AJ3" s="610" t="n"/>
      <c r="AK3" s="610" t="n"/>
      <c r="AL3" s="610" t="n"/>
      <c r="AM3" s="610" t="n"/>
    </row>
    <row r="4" ht="22.5" customHeight="1" s="680">
      <c r="A4" s="944" t="inlineStr">
        <is>
          <t>嫌疑人</t>
        </is>
      </c>
      <c r="B4" s="604" t="inlineStr">
        <is>
          <t>姓名</t>
        </is>
      </c>
      <c r="C4" s="615" t="inlineStr">
        <is>
          <t>性別</t>
        </is>
      </c>
      <c r="D4" s="604" t="inlineStr">
        <is>
          <t>出生年月日</t>
        </is>
      </c>
      <c r="E4" s="604" t="inlineStr">
        <is>
          <t>出生地</t>
        </is>
      </c>
      <c r="F4" s="604" t="inlineStr">
        <is>
          <t>職業</t>
        </is>
      </c>
      <c r="G4" s="604" t="inlineStr">
        <is>
          <t>身分證字號</t>
        </is>
      </c>
      <c r="H4" s="604" t="inlineStr">
        <is>
          <t>住址</t>
        </is>
      </c>
      <c r="I4" s="577" t="n"/>
      <c r="J4" s="574" t="n"/>
      <c r="K4" s="604" t="inlineStr">
        <is>
          <t>素行</t>
        </is>
      </c>
      <c r="L4" s="574" t="n"/>
      <c r="M4" s="604" t="inlineStr">
        <is>
          <t>備考</t>
        </is>
      </c>
      <c r="N4" s="574" t="n"/>
      <c r="O4" s="610" t="n"/>
      <c r="P4" s="610" t="n"/>
      <c r="Q4" s="610" t="n"/>
      <c r="R4" s="610" t="n"/>
      <c r="S4" s="610" t="n"/>
      <c r="T4" s="610" t="n"/>
      <c r="U4" s="610" t="n"/>
      <c r="V4" s="610" t="n"/>
      <c r="W4" s="610" t="n"/>
      <c r="X4" s="610" t="n"/>
      <c r="Y4" s="610" t="n"/>
      <c r="Z4" s="610" t="n"/>
      <c r="AA4" s="610" t="n"/>
      <c r="AB4" s="610" t="n"/>
      <c r="AC4" s="610" t="n"/>
      <c r="AD4" s="610" t="n"/>
      <c r="AE4" s="610" t="n"/>
      <c r="AF4" s="610" t="n"/>
      <c r="AG4" s="610" t="n"/>
      <c r="AH4" s="610" t="n"/>
      <c r="AI4" s="610" t="n"/>
      <c r="AJ4" s="610" t="n"/>
      <c r="AK4" s="610" t="n"/>
      <c r="AL4" s="610" t="n"/>
      <c r="AM4" s="610" t="n"/>
    </row>
    <row r="5" ht="38.25" customHeight="1" s="680">
      <c r="A5" s="945" t="n"/>
      <c r="B5" s="604" t="inlineStr">
        <is>
          <t>廖志盛</t>
        </is>
      </c>
      <c r="C5" s="604">
        <f>VLOOKUP($B$5,個資,11,FALSE)</f>
        <v/>
      </c>
      <c r="D5" s="604">
        <f>VLOOKUP($B$5,個資,16,FALSE)</f>
        <v/>
      </c>
      <c r="E5" s="604">
        <f>VLOOKUP($B$5,個資,3,FALSE)</f>
        <v/>
      </c>
      <c r="F5" s="604">
        <f>VLOOKUP($B$5,個資,8,FALSE)</f>
        <v/>
      </c>
      <c r="G5" s="604">
        <f>UPPER(VLOOKUP($B$5,個資,2,FALSE))</f>
        <v/>
      </c>
      <c r="H5" s="602">
        <f>VLOOKUP($B$5,個資,6,FALSE)</f>
        <v/>
      </c>
      <c r="I5" s="577" t="n"/>
      <c r="J5" s="574" t="n"/>
      <c r="K5" s="602" t="inlineStr">
        <is>
          <t>詳如素行</t>
        </is>
      </c>
      <c r="L5" s="574" t="n"/>
      <c r="M5" s="604">
        <f>IF($B$5="","",VLOOKUP($B$5,個資,12,FALSE))</f>
        <v/>
      </c>
      <c r="N5" s="574" t="n"/>
      <c r="O5" s="610" t="n"/>
      <c r="P5" s="610" t="n"/>
      <c r="Q5" s="610" t="n"/>
      <c r="R5" s="610" t="n"/>
      <c r="S5" s="610" t="n"/>
      <c r="T5" s="610" t="n"/>
      <c r="U5" s="610" t="n"/>
      <c r="V5" s="610" t="n"/>
      <c r="W5" s="610" t="n"/>
      <c r="X5" s="610" t="n"/>
      <c r="Y5" s="610" t="n"/>
      <c r="Z5" s="610" t="n"/>
      <c r="AA5" s="610" t="n"/>
      <c r="AB5" s="610" t="n"/>
      <c r="AC5" s="610" t="n"/>
      <c r="AD5" s="610" t="n"/>
      <c r="AE5" s="610" t="n"/>
      <c r="AF5" s="610" t="n"/>
      <c r="AG5" s="610" t="n"/>
      <c r="AH5" s="610" t="n"/>
      <c r="AI5" s="610" t="n"/>
      <c r="AJ5" s="610" t="n"/>
      <c r="AK5" s="610" t="n"/>
      <c r="AL5" s="610" t="n"/>
      <c r="AM5" s="610" t="n"/>
    </row>
    <row r="6" ht="39" customHeight="1" s="680">
      <c r="A6" s="588" t="n"/>
      <c r="B6" s="604" t="n"/>
      <c r="C6" s="604">
        <f>IFERROR(IF($B$6="","",VLOOKUP($B$6,個資,11,FALSE)),"")</f>
        <v/>
      </c>
      <c r="D6" s="604">
        <f>IFERROR(IF($B$6="","",VLOOKUP($B$6,個資,16,FALSE)),"")</f>
        <v/>
      </c>
      <c r="E6" s="604">
        <f>IFERROR(IF($B$6="","",VLOOKUP($B$6,個資,3,FALSE)),"")</f>
        <v/>
      </c>
      <c r="F6" s="604">
        <f>IFERROR(IF($B$6="","",VLOOKUP($B$6,個資,8,FALSE)),"")</f>
        <v/>
      </c>
      <c r="G6" s="604">
        <f>IFERROR(IF($B$6="","",UPPER(VLOOKUP($B$6,個資,2,FALSE))),"")</f>
        <v/>
      </c>
      <c r="H6" s="602">
        <f>IFERROR(IF($B$6="","",VLOOKUP($B$6,個資,6,FALSE)),"")</f>
        <v/>
      </c>
      <c r="I6" s="577" t="n"/>
      <c r="J6" s="574" t="n"/>
      <c r="K6" s="604" t="n"/>
      <c r="L6" s="574" t="n"/>
      <c r="M6" s="604">
        <f>IFERROR(IF($B$6="","",IF($B$6="","",VLOOKUP($B$6,個資,12,FALSE))),"")</f>
        <v/>
      </c>
      <c r="N6" s="574" t="n"/>
      <c r="O6" s="610" t="n"/>
      <c r="P6" s="610" t="n"/>
      <c r="Q6" s="610" t="n"/>
      <c r="R6" s="610" t="n"/>
      <c r="S6" s="610" t="n"/>
      <c r="T6" s="610" t="n"/>
      <c r="U6" s="610" t="n"/>
      <c r="V6" s="610" t="n"/>
      <c r="W6" s="610" t="n"/>
      <c r="X6" s="610" t="n"/>
      <c r="Y6" s="610" t="n"/>
      <c r="Z6" s="610" t="n"/>
      <c r="AA6" s="610" t="n"/>
      <c r="AB6" s="610" t="n"/>
      <c r="AC6" s="610" t="n"/>
      <c r="AD6" s="610" t="n"/>
      <c r="AE6" s="610" t="n"/>
      <c r="AF6" s="610" t="n"/>
      <c r="AG6" s="610" t="n"/>
      <c r="AH6" s="610" t="n"/>
      <c r="AI6" s="610" t="n"/>
      <c r="AJ6" s="610" t="n"/>
      <c r="AK6" s="610" t="n"/>
      <c r="AL6" s="610" t="n"/>
      <c r="AM6" s="610" t="n"/>
    </row>
    <row r="7" ht="34.5" customHeight="1" s="680">
      <c r="A7" s="953" t="inlineStr">
        <is>
          <t>刑案關係人</t>
        </is>
      </c>
      <c r="B7" s="604" t="inlineStr">
        <is>
          <t>姓名</t>
        </is>
      </c>
      <c r="C7" s="615" t="inlineStr">
        <is>
          <t>性別</t>
        </is>
      </c>
      <c r="D7" s="604" t="inlineStr">
        <is>
          <t>住址</t>
        </is>
      </c>
      <c r="E7" s="574" t="n"/>
      <c r="F7" s="602" t="inlineStr">
        <is>
          <t>何種
關係</t>
        </is>
      </c>
      <c r="G7" s="604" t="inlineStr">
        <is>
          <t>姓名</t>
        </is>
      </c>
      <c r="H7" s="604" t="inlineStr">
        <is>
          <t>性別</t>
        </is>
      </c>
      <c r="I7" s="604" t="inlineStr">
        <is>
          <t>住址</t>
        </is>
      </c>
      <c r="J7" s="577" t="n"/>
      <c r="K7" s="577" t="n"/>
      <c r="L7" s="574" t="n"/>
      <c r="M7" s="602" t="inlineStr">
        <is>
          <t>何種
關係</t>
        </is>
      </c>
      <c r="N7" s="574" t="n"/>
      <c r="O7" s="610" t="n"/>
      <c r="P7" s="610" t="n"/>
      <c r="Q7" s="610" t="n"/>
      <c r="R7" s="610" t="n"/>
      <c r="S7" s="610" t="n"/>
      <c r="T7" s="610" t="n"/>
      <c r="U7" s="610" t="n"/>
      <c r="V7" s="610" t="n"/>
      <c r="W7" s="610" t="n"/>
      <c r="X7" s="610" t="n"/>
      <c r="Y7" s="610" t="n"/>
      <c r="Z7" s="610" t="n"/>
      <c r="AA7" s="610" t="n"/>
      <c r="AB7" s="610" t="n"/>
      <c r="AC7" s="610" t="n"/>
      <c r="AD7" s="610" t="n"/>
      <c r="AE7" s="610" t="n"/>
      <c r="AF7" s="610" t="n"/>
      <c r="AG7" s="610" t="n"/>
      <c r="AH7" s="610" t="n"/>
      <c r="AI7" s="610" t="n"/>
      <c r="AJ7" s="610" t="n"/>
      <c r="AK7" s="610" t="n"/>
      <c r="AL7" s="610" t="n"/>
      <c r="AM7" s="610" t="n"/>
    </row>
    <row r="8" ht="21" customHeight="1" s="680">
      <c r="A8" s="945" t="n"/>
      <c r="B8" s="615" t="n"/>
      <c r="C8" s="615">
        <f>IFERROR(IF($B$8="","",VLOOKUP($B$8,個資,11,FALSE)),"")</f>
        <v/>
      </c>
      <c r="D8" s="933">
        <f>IFERROR(IF($B$8="","",VLOOKUP($B$8,個資,6,FALSE)),"")</f>
        <v/>
      </c>
      <c r="E8" s="574" t="n"/>
      <c r="F8" s="615">
        <f>IFERROR(IF($B$8="","",IF($B$8="","",VLOOKUP($B$8,個資,12,FALSE))),"")</f>
        <v/>
      </c>
      <c r="G8" s="615" t="n"/>
      <c r="H8" s="615">
        <f>IFERROR(IF($G$8="","",VLOOKUP($G$8,個資,11,FALSE)),"")</f>
        <v/>
      </c>
      <c r="I8" s="933">
        <f>IFERROR(IF($G$8="","",VLOOKUP($G$8,個資,6,FALSE)),"")</f>
        <v/>
      </c>
      <c r="J8" s="577" t="n"/>
      <c r="K8" s="577" t="n"/>
      <c r="L8" s="574" t="n"/>
      <c r="M8" s="615">
        <f>IFERROR(IF($G$8="","",IF($G$8="","",VLOOKUP($G$8,個資,12,FALSE))),"")</f>
        <v/>
      </c>
      <c r="N8" s="574" t="n"/>
      <c r="O8" s="610" t="n"/>
      <c r="P8" s="610" t="n"/>
      <c r="Q8" s="610" t="n"/>
      <c r="R8" s="610" t="n"/>
      <c r="S8" s="610" t="n"/>
      <c r="T8" s="610" t="n"/>
      <c r="U8" s="610" t="n"/>
      <c r="V8" s="610" t="n"/>
      <c r="W8" s="610" t="n"/>
      <c r="X8" s="610" t="n"/>
      <c r="Y8" s="610" t="n"/>
      <c r="Z8" s="610" t="n"/>
      <c r="AA8" s="610" t="n"/>
      <c r="AB8" s="610" t="n"/>
      <c r="AC8" s="610" t="n"/>
      <c r="AD8" s="610" t="n"/>
      <c r="AE8" s="610" t="n"/>
      <c r="AF8" s="610" t="n"/>
      <c r="AG8" s="610" t="n"/>
      <c r="AH8" s="610" t="n"/>
      <c r="AI8" s="610" t="n"/>
      <c r="AJ8" s="610" t="n"/>
      <c r="AK8" s="610" t="n"/>
      <c r="AL8" s="610" t="n"/>
      <c r="AM8" s="610" t="n"/>
    </row>
    <row r="9" ht="23.25" customHeight="1" s="680">
      <c r="A9" s="588" t="n"/>
      <c r="B9" s="615" t="n"/>
      <c r="C9" s="615">
        <f>IFERROR(IF($B$9="","",VLOOKUP($B$9,個資,11,FALSE)),"")</f>
        <v/>
      </c>
      <c r="D9" s="933">
        <f>IFERROR(IF($B$9="","",VLOOKUP($B$9,個資,6,FALSE)),"")</f>
        <v/>
      </c>
      <c r="E9" s="574" t="n"/>
      <c r="F9" s="615">
        <f>IFERROR(IF($B$9="","",IF($B$9="","",VLOOKUP($B$9,個資,12,FALSE))),"")</f>
        <v/>
      </c>
      <c r="G9" s="615" t="n"/>
      <c r="H9" s="615">
        <f>IFERROR(IF($G$9="","",VLOOKUP($G$9,個資,11,FALSE)),"")</f>
        <v/>
      </c>
      <c r="I9" s="933">
        <f>IFERROR(IF($G$9="","",VLOOKUP($G$9,個資,6,FALSE)),"")</f>
        <v/>
      </c>
      <c r="J9" s="577" t="n"/>
      <c r="K9" s="577" t="n"/>
      <c r="L9" s="574" t="n"/>
      <c r="M9" s="615">
        <f>IFERROR(IF($G$9="","",IF($G$9="","",VLOOKUP($G$9,個資,12,FALSE))),"")</f>
        <v/>
      </c>
      <c r="N9" s="574" t="n"/>
      <c r="O9" s="610" t="n"/>
      <c r="P9" s="610" t="n"/>
      <c r="Q9" s="610" t="n"/>
      <c r="R9" s="610" t="n"/>
      <c r="S9" s="610" t="n"/>
      <c r="T9" s="610" t="n"/>
      <c r="U9" s="610" t="n"/>
      <c r="V9" s="610" t="n"/>
      <c r="W9" s="610" t="n"/>
      <c r="X9" s="610" t="n"/>
      <c r="Y9" s="610" t="n"/>
      <c r="Z9" s="610" t="n"/>
      <c r="AA9" s="610" t="n"/>
      <c r="AB9" s="610" t="n"/>
      <c r="AC9" s="610" t="n"/>
      <c r="AD9" s="610" t="n"/>
      <c r="AE9" s="610" t="n"/>
      <c r="AF9" s="610" t="n"/>
      <c r="AG9" s="610" t="n"/>
      <c r="AH9" s="610" t="n"/>
      <c r="AI9" s="610" t="n"/>
      <c r="AJ9" s="610" t="n"/>
      <c r="AK9" s="610" t="n"/>
      <c r="AL9" s="610" t="n"/>
      <c r="AM9" s="610" t="n"/>
    </row>
    <row r="10" ht="45.6" customHeight="1" s="680">
      <c r="A10" s="947" t="inlineStr">
        <is>
          <t>違犯事實</t>
        </is>
      </c>
      <c r="B10" s="939">
        <f>呈報單!$F$16</f>
        <v/>
      </c>
      <c r="C10" s="580" t="n"/>
      <c r="D10" s="580" t="n"/>
      <c r="E10" s="580" t="n"/>
      <c r="F10" s="580" t="n"/>
      <c r="G10" s="581" t="n"/>
      <c r="H10" s="604" t="inlineStr">
        <is>
          <t>時間</t>
        </is>
      </c>
      <c r="I10" s="604">
        <f>下拉用!$J$5</f>
        <v/>
      </c>
      <c r="J10" s="577" t="n"/>
      <c r="K10" s="577" t="n"/>
      <c r="L10" s="577" t="n"/>
      <c r="M10" s="577" t="n"/>
      <c r="N10" s="574" t="n"/>
      <c r="O10" s="610" t="n"/>
      <c r="P10" s="610" t="n"/>
      <c r="Q10" s="610" t="n"/>
      <c r="R10" s="610" t="n"/>
      <c r="S10" s="610" t="n"/>
      <c r="T10" s="610" t="n"/>
      <c r="U10" s="610" t="n"/>
      <c r="V10" s="610" t="n"/>
      <c r="W10" s="610" t="n"/>
      <c r="X10" s="610" t="n"/>
      <c r="Y10" s="610" t="n"/>
      <c r="Z10" s="610" t="n"/>
      <c r="AA10" s="610" t="n"/>
      <c r="AB10" s="610" t="n"/>
      <c r="AC10" s="610" t="n"/>
      <c r="AD10" s="610" t="n"/>
      <c r="AE10" s="610" t="n"/>
      <c r="AF10" s="610" t="n"/>
      <c r="AG10" s="610" t="n"/>
      <c r="AH10" s="610" t="n"/>
      <c r="AI10" s="610" t="n"/>
      <c r="AJ10" s="610" t="n"/>
      <c r="AK10" s="610" t="n"/>
      <c r="AL10" s="610" t="n"/>
      <c r="AM10" s="610" t="n"/>
    </row>
    <row r="11" ht="44.25" customHeight="1" s="680">
      <c r="A11" s="945" t="n"/>
      <c r="B11" s="609" t="n"/>
      <c r="G11" s="611" t="n"/>
      <c r="H11" s="604" t="inlineStr">
        <is>
          <t>處所</t>
        </is>
      </c>
      <c r="I11" s="957">
        <f>輸入!$C$7</f>
        <v/>
      </c>
      <c r="J11" s="577" t="n"/>
      <c r="K11" s="577" t="n"/>
      <c r="L11" s="577" t="n"/>
      <c r="M11" s="577" t="n"/>
      <c r="N11" s="574" t="n"/>
      <c r="O11" s="610" t="n"/>
      <c r="P11" s="610" t="n"/>
      <c r="Q11" s="610" t="n"/>
      <c r="R11" s="610" t="n"/>
      <c r="S11" s="610" t="n"/>
      <c r="T11" s="610" t="n"/>
      <c r="U11" s="610" t="n"/>
      <c r="V11" s="610" t="n"/>
      <c r="W11" s="610" t="n"/>
      <c r="X11" s="610" t="n"/>
      <c r="Y11" s="610" t="n"/>
      <c r="Z11" s="610" t="n"/>
      <c r="AA11" s="610" t="n"/>
      <c r="AB11" s="610" t="n"/>
      <c r="AC11" s="610" t="n"/>
      <c r="AD11" s="610" t="n"/>
      <c r="AE11" s="610" t="n"/>
      <c r="AF11" s="610" t="n"/>
      <c r="AG11" s="610" t="n"/>
      <c r="AH11" s="610" t="n"/>
      <c r="AI11" s="610" t="n"/>
      <c r="AJ11" s="610" t="n"/>
      <c r="AK11" s="610" t="n"/>
      <c r="AL11" s="610" t="n"/>
      <c r="AM11" s="610" t="n"/>
    </row>
    <row r="12" ht="43.15" customHeight="1" s="680">
      <c r="A12" s="588" t="n"/>
      <c r="B12" s="582" t="n"/>
      <c r="C12" s="583" t="n"/>
      <c r="D12" s="583" t="n"/>
      <c r="E12" s="583" t="n"/>
      <c r="F12" s="583" t="n"/>
      <c r="G12" s="584" t="n"/>
      <c r="H12" s="319" t="inlineStr">
        <is>
          <t>觸犯法條</t>
        </is>
      </c>
      <c r="I12" s="604">
        <f>呈報單!$G$15</f>
        <v/>
      </c>
      <c r="J12" s="577" t="n"/>
      <c r="K12" s="577" t="n"/>
      <c r="L12" s="577" t="n"/>
      <c r="M12" s="577" t="n"/>
      <c r="N12" s="574" t="n"/>
      <c r="O12" s="610" t="n"/>
      <c r="P12" s="610" t="n"/>
      <c r="Q12" s="610" t="n"/>
      <c r="R12" s="610" t="n"/>
      <c r="S12" s="610" t="n"/>
      <c r="T12" s="610" t="n"/>
      <c r="U12" s="610" t="n"/>
      <c r="V12" s="610" t="n"/>
      <c r="W12" s="610" t="n"/>
      <c r="X12" s="610" t="n"/>
      <c r="Y12" s="610" t="n"/>
      <c r="Z12" s="610" t="n"/>
      <c r="AA12" s="610" t="n"/>
      <c r="AB12" s="610" t="n"/>
      <c r="AC12" s="610" t="n"/>
      <c r="AD12" s="610" t="n"/>
      <c r="AE12" s="610" t="n"/>
      <c r="AF12" s="610" t="n"/>
      <c r="AG12" s="610" t="n"/>
      <c r="AH12" s="610" t="n"/>
      <c r="AI12" s="610" t="n"/>
      <c r="AJ12" s="610" t="n"/>
      <c r="AK12" s="610" t="n"/>
      <c r="AL12" s="610" t="n"/>
      <c r="AM12" s="610" t="n"/>
    </row>
    <row r="13" ht="80.25" customHeight="1" s="680">
      <c r="A13" s="320" t="inlineStr">
        <is>
          <t>附送刑案含犯罪證據</t>
        </is>
      </c>
      <c r="B13" s="936" t="inlineStr">
        <is>
          <t>一、嫌疑人1名。           二、警詢筆錄。             三、各類附表。            四、查扣證物詳扣押目錄表。</t>
        </is>
      </c>
      <c r="C13" s="577" t="n"/>
      <c r="D13" s="574" t="n"/>
      <c r="E13" s="604" t="n"/>
      <c r="F13" s="577" t="n"/>
      <c r="G13" s="574" t="n"/>
      <c r="H13" s="614" t="inlineStr">
        <is>
          <t>查獲員警
擬辦意見</t>
        </is>
      </c>
      <c r="I13" s="604" t="inlineStr">
        <is>
          <t>移請  偵查隊辦理</t>
        </is>
      </c>
      <c r="J13" s="577" t="n"/>
      <c r="K13" s="577" t="n"/>
      <c r="L13" s="577" t="n"/>
      <c r="M13" s="577" t="n"/>
      <c r="N13" s="574" t="n"/>
      <c r="O13" s="610" t="n"/>
      <c r="P13" s="610" t="n"/>
      <c r="Q13" s="610" t="n"/>
      <c r="R13" s="610" t="n"/>
      <c r="S13" s="610" t="n"/>
      <c r="T13" s="610" t="n"/>
      <c r="U13" s="610" t="n"/>
      <c r="V13" s="610" t="n"/>
      <c r="W13" s="610" t="n"/>
      <c r="X13" s="610" t="n"/>
      <c r="Y13" s="610" t="n"/>
      <c r="Z13" s="610" t="n"/>
      <c r="AA13" s="610" t="n"/>
      <c r="AB13" s="610" t="n"/>
      <c r="AC13" s="610" t="n"/>
      <c r="AD13" s="610" t="n"/>
      <c r="AE13" s="610" t="n"/>
      <c r="AF13" s="610" t="n"/>
      <c r="AG13" s="610" t="n"/>
      <c r="AH13" s="610" t="n"/>
      <c r="AI13" s="610" t="n"/>
      <c r="AJ13" s="610" t="n"/>
      <c r="AK13" s="610" t="n"/>
      <c r="AL13" s="610" t="n"/>
      <c r="AM13" s="610" t="n"/>
    </row>
    <row r="14" ht="30" customHeight="1" s="680">
      <c r="A14" s="951">
        <f>CONCATENATE("受理單位:",輸入!$S$18,輸入!$T$18,輸入!$S$19,輸入!$T$19,輸入!$S$20,輸入!$T$20,)</f>
        <v/>
      </c>
      <c r="B14" s="580" t="n"/>
      <c r="C14" s="580" t="n"/>
      <c r="D14" s="580" t="n"/>
      <c r="E14" s="580" t="n"/>
      <c r="F14" s="580" t="n"/>
      <c r="G14" s="580" t="n"/>
      <c r="H14" s="581" t="n"/>
      <c r="I14" s="948" t="inlineStr">
        <is>
          <t>敬   陳</t>
        </is>
      </c>
      <c r="J14" s="580" t="n"/>
      <c r="K14" s="580" t="n"/>
      <c r="L14" s="580" t="n"/>
      <c r="M14" s="580" t="n"/>
      <c r="N14" s="581" t="n"/>
      <c r="O14" s="610" t="n"/>
      <c r="P14" s="610" t="n"/>
      <c r="Q14" s="610" t="n"/>
      <c r="R14" s="610" t="n"/>
      <c r="S14" s="610" t="n"/>
      <c r="T14" s="610" t="n"/>
      <c r="U14" s="610" t="n"/>
      <c r="V14" s="610" t="n"/>
      <c r="W14" s="610" t="n"/>
      <c r="X14" s="610" t="n"/>
      <c r="Y14" s="610" t="n"/>
      <c r="Z14" s="610" t="n"/>
      <c r="AA14" s="610" t="n"/>
      <c r="AB14" s="610" t="n"/>
      <c r="AC14" s="610" t="n"/>
      <c r="AD14" s="610" t="n"/>
      <c r="AE14" s="610" t="n"/>
      <c r="AF14" s="610" t="n"/>
      <c r="AG14" s="610" t="n"/>
      <c r="AH14" s="610" t="n"/>
      <c r="AI14" s="610" t="n"/>
      <c r="AJ14" s="610" t="n"/>
      <c r="AK14" s="610" t="n"/>
      <c r="AL14" s="610" t="n"/>
      <c r="AM14" s="610" t="n"/>
    </row>
    <row r="15" ht="30" customHeight="1" s="680">
      <c r="A15" s="934" t="inlineStr">
        <is>
          <t>主    管:</t>
        </is>
      </c>
      <c r="H15" s="611" t="n"/>
      <c r="I15" s="943" t="inlineStr">
        <is>
          <t>分   局   長</t>
        </is>
      </c>
      <c r="N15" s="611" t="n"/>
      <c r="O15" s="610" t="n"/>
      <c r="P15" s="610" t="n"/>
      <c r="Q15" s="610" t="n"/>
      <c r="R15" s="610" t="n"/>
      <c r="S15" s="610" t="n"/>
      <c r="T15" s="610" t="n"/>
      <c r="U15" s="610" t="n"/>
      <c r="V15" s="610" t="n"/>
      <c r="W15" s="610" t="n"/>
      <c r="X15" s="610" t="n"/>
      <c r="Y15" s="610" t="n"/>
      <c r="Z15" s="610" t="n"/>
      <c r="AA15" s="610" t="n"/>
      <c r="AB15" s="610" t="n"/>
      <c r="AC15" s="610" t="n"/>
      <c r="AD15" s="610" t="n"/>
      <c r="AE15" s="610" t="n"/>
      <c r="AF15" s="610" t="n"/>
      <c r="AG15" s="610" t="n"/>
      <c r="AH15" s="610" t="n"/>
      <c r="AI15" s="610" t="n"/>
      <c r="AJ15" s="610" t="n"/>
      <c r="AK15" s="610" t="n"/>
      <c r="AL15" s="610" t="n"/>
      <c r="AM15" s="610" t="n"/>
    </row>
    <row r="16" ht="30" customHeight="1" s="680">
      <c r="A16" s="949">
        <f>CONCATENATE("受理員警:警員 ",輸入!$O$8)</f>
        <v/>
      </c>
      <c r="B16" s="583" t="n"/>
      <c r="C16" s="583" t="n"/>
      <c r="D16" s="583" t="n"/>
      <c r="E16" s="583" t="n"/>
      <c r="F16" s="583" t="n"/>
      <c r="G16" s="583" t="n"/>
      <c r="H16" s="584" t="n"/>
      <c r="I16" s="583" t="n"/>
      <c r="J16" s="583" t="n"/>
      <c r="K16" s="583" t="n"/>
      <c r="L16" s="583" t="n"/>
      <c r="M16" s="583" t="n"/>
      <c r="N16" s="584" t="n"/>
      <c r="O16" s="610" t="n"/>
      <c r="P16" s="610" t="n"/>
      <c r="Q16" s="610" t="n"/>
      <c r="R16" s="610" t="n"/>
      <c r="S16" s="610" t="n"/>
      <c r="T16" s="610" t="n"/>
      <c r="U16" s="610" t="n"/>
      <c r="V16" s="610" t="n"/>
      <c r="W16" s="610" t="n"/>
      <c r="X16" s="610" t="n"/>
      <c r="Y16" s="610" t="n"/>
      <c r="Z16" s="610" t="n"/>
      <c r="AA16" s="610" t="n"/>
      <c r="AB16" s="610" t="n"/>
      <c r="AC16" s="610" t="n"/>
      <c r="AD16" s="610" t="n"/>
      <c r="AE16" s="610" t="n"/>
      <c r="AF16" s="610" t="n"/>
      <c r="AG16" s="610" t="n"/>
      <c r="AH16" s="610" t="n"/>
      <c r="AI16" s="610" t="n"/>
      <c r="AJ16" s="610" t="n"/>
      <c r="AK16" s="610" t="n"/>
      <c r="AL16" s="610" t="n"/>
      <c r="AM16" s="610" t="n"/>
    </row>
    <row r="17" ht="24" customHeight="1" s="680">
      <c r="A17" s="952" t="inlineStr">
        <is>
          <t>填製說明:</t>
        </is>
      </c>
      <c r="C17" s="956" t="inlineStr">
        <is>
          <t>一、本報告單應用十六開紙印製，一式三聯，一聯存根，一聯報送，一聯副本。</t>
        </is>
      </c>
      <c r="N17" s="610" t="n"/>
      <c r="O17" s="610" t="n"/>
      <c r="P17" s="610" t="n"/>
      <c r="Q17" s="610" t="n"/>
      <c r="R17" s="610" t="n"/>
      <c r="S17" s="610" t="n"/>
      <c r="T17" s="610" t="n"/>
      <c r="U17" s="610" t="n"/>
      <c r="V17" s="610" t="n"/>
      <c r="W17" s="610" t="n"/>
      <c r="X17" s="610" t="n"/>
      <c r="Y17" s="610" t="n"/>
      <c r="Z17" s="610" t="n"/>
      <c r="AA17" s="610" t="n"/>
      <c r="AB17" s="610" t="n"/>
      <c r="AC17" s="610" t="n"/>
      <c r="AD17" s="610" t="n"/>
      <c r="AE17" s="610" t="n"/>
      <c r="AF17" s="610" t="n"/>
      <c r="AG17" s="610" t="n"/>
      <c r="AH17" s="610" t="n"/>
      <c r="AI17" s="610" t="n"/>
      <c r="AJ17" s="610" t="n"/>
      <c r="AK17" s="610" t="n"/>
      <c r="AL17" s="610" t="n"/>
      <c r="AM17" s="610" t="n"/>
    </row>
    <row r="18" ht="33.75" customHeight="1" s="680" thickBot="1">
      <c r="A18" s="952" t="n"/>
      <c r="B18" s="952" t="n"/>
      <c r="C18" s="956" t="inlineStr">
        <is>
          <t>二、填用時，應注意按其性質於報告單所印三項名稱知中央位置劃ˇ，如係刑事案
    件者，及於其上之中心點劃ˇ符號，或劃塗其他名稱，以免混淆。</t>
        </is>
      </c>
      <c r="N18" s="610" t="n"/>
      <c r="O18" s="610" t="n"/>
      <c r="P18" s="610" t="n"/>
      <c r="Q18" s="610" t="n"/>
      <c r="R18" s="610" t="n"/>
      <c r="S18" s="610" t="n"/>
      <c r="T18" s="610" t="n"/>
      <c r="U18" s="610" t="n"/>
      <c r="V18" s="610" t="n"/>
      <c r="W18" s="610" t="n"/>
      <c r="X18" s="610" t="n"/>
      <c r="Y18" s="610" t="n"/>
      <c r="Z18" s="610" t="n"/>
      <c r="AA18" s="610" t="n"/>
      <c r="AB18" s="610" t="n"/>
      <c r="AC18" s="610" t="n"/>
      <c r="AD18" s="610" t="n"/>
      <c r="AE18" s="610" t="n"/>
      <c r="AF18" s="610" t="n"/>
      <c r="AG18" s="610" t="n"/>
      <c r="AH18" s="610" t="n"/>
      <c r="AI18" s="610" t="n"/>
      <c r="AJ18" s="610" t="n"/>
      <c r="AK18" s="610" t="n"/>
      <c r="AL18" s="610" t="n"/>
      <c r="AM18" s="610" t="n"/>
    </row>
    <row r="19" ht="17.25" customHeight="1" s="680" thickTop="1">
      <c r="A19" s="950" t="inlineStr">
        <is>
          <t>偵查隊</t>
        </is>
      </c>
      <c r="B19" s="932" t="n"/>
      <c r="C19" s="930" t="inlineStr">
        <is>
          <t>勤務指揮中心</t>
        </is>
      </c>
      <c r="D19" s="932" t="n"/>
      <c r="E19" s="930" t="inlineStr">
        <is>
          <t>督察組</t>
        </is>
      </c>
      <c r="F19" s="932" t="n"/>
      <c r="G19" s="930" t="inlineStr">
        <is>
          <t>副分局長</t>
        </is>
      </c>
      <c r="H19" s="932" t="n"/>
      <c r="I19" s="930" t="inlineStr">
        <is>
          <t>分局長</t>
        </is>
      </c>
      <c r="J19" s="931" t="n"/>
      <c r="K19" s="931" t="n"/>
      <c r="L19" s="931" t="n"/>
      <c r="M19" s="931" t="n"/>
      <c r="N19" s="932" t="n"/>
      <c r="O19" s="610" t="n"/>
      <c r="P19" s="610" t="n"/>
      <c r="Q19" s="610" t="n"/>
      <c r="R19" s="610" t="n"/>
      <c r="S19" s="610" t="n"/>
      <c r="T19" s="610" t="n"/>
      <c r="U19" s="610" t="n"/>
      <c r="V19" s="610" t="n"/>
      <c r="W19" s="610" t="n"/>
      <c r="X19" s="610" t="n"/>
      <c r="Y19" s="610" t="n"/>
      <c r="Z19" s="610" t="n"/>
      <c r="AA19" s="610" t="n"/>
      <c r="AB19" s="610" t="n"/>
      <c r="AC19" s="610" t="n"/>
      <c r="AD19" s="610" t="n"/>
      <c r="AE19" s="610" t="n"/>
      <c r="AF19" s="610" t="n"/>
      <c r="AG19" s="610" t="n"/>
      <c r="AH19" s="610" t="n"/>
      <c r="AI19" s="610" t="n"/>
      <c r="AJ19" s="610" t="n"/>
      <c r="AK19" s="610" t="n"/>
      <c r="AL19" s="610" t="n"/>
      <c r="AM19" s="610" t="n"/>
    </row>
    <row r="20">
      <c r="A20" s="942" t="n"/>
      <c r="B20" s="584" t="n"/>
      <c r="C20" s="582" t="n"/>
      <c r="D20" s="584" t="n"/>
      <c r="E20" s="582" t="n"/>
      <c r="F20" s="584" t="n"/>
      <c r="G20" s="582" t="n"/>
      <c r="H20" s="584" t="n"/>
      <c r="I20" s="582" t="n"/>
      <c r="J20" s="583" t="n"/>
      <c r="K20" s="583" t="n"/>
      <c r="L20" s="583" t="n"/>
      <c r="M20" s="583" t="n"/>
      <c r="N20" s="584" t="n"/>
      <c r="O20" s="610" t="n"/>
      <c r="P20" s="610" t="n"/>
      <c r="Q20" s="610" t="n"/>
      <c r="R20" s="610" t="n"/>
      <c r="S20" s="610" t="n"/>
      <c r="T20" s="610" t="n"/>
      <c r="U20" s="610" t="n"/>
      <c r="V20" s="610" t="n"/>
      <c r="W20" s="610" t="n"/>
      <c r="X20" s="610" t="n"/>
      <c r="Y20" s="610" t="n"/>
      <c r="Z20" s="610" t="n"/>
      <c r="AA20" s="610" t="n"/>
      <c r="AB20" s="610" t="n"/>
      <c r="AC20" s="610" t="n"/>
      <c r="AD20" s="610" t="n"/>
      <c r="AE20" s="610" t="n"/>
      <c r="AF20" s="610" t="n"/>
      <c r="AG20" s="610" t="n"/>
      <c r="AH20" s="610" t="n"/>
      <c r="AI20" s="610" t="n"/>
      <c r="AJ20" s="610" t="n"/>
      <c r="AK20" s="610" t="n"/>
      <c r="AL20" s="610" t="n"/>
      <c r="AM20" s="610" t="n"/>
    </row>
    <row r="21" ht="20.1" customHeight="1" s="680">
      <c r="A21" s="940" t="inlineStr">
        <is>
          <t>擬:
一、本案經查符合線上
立破之要件。
二、依規定通報。</t>
        </is>
      </c>
      <c r="B21" s="581" t="n"/>
      <c r="C21" s="946" t="inlineStr">
        <is>
          <t>1.轄區內破獲
  是□、否□
2.勤務中心指揮
  是□、否□
3.勤務編排項目
  是□、否□</t>
        </is>
      </c>
      <c r="D21" s="581" t="n"/>
      <c r="E21" s="938" t="n"/>
      <c r="F21" s="581" t="n"/>
      <c r="G21" s="938" t="n"/>
      <c r="H21" s="581" t="n"/>
      <c r="I21" s="938" t="n"/>
      <c r="J21" s="580" t="n"/>
      <c r="K21" s="580" t="n"/>
      <c r="L21" s="580" t="n"/>
      <c r="M21" s="580" t="n"/>
      <c r="N21" s="581" t="n"/>
      <c r="O21" s="610" t="n"/>
      <c r="P21" s="610" t="n"/>
      <c r="Q21" s="610" t="n"/>
      <c r="R21" s="610" t="n"/>
      <c r="S21" s="610" t="n"/>
      <c r="T21" s="610" t="n"/>
      <c r="U21" s="610" t="n"/>
      <c r="V21" s="610" t="n"/>
      <c r="W21" s="610" t="n"/>
      <c r="X21" s="610" t="n"/>
      <c r="Y21" s="610" t="n"/>
      <c r="Z21" s="610" t="n"/>
      <c r="AA21" s="610" t="n"/>
      <c r="AB21" s="610" t="n"/>
      <c r="AC21" s="610" t="n"/>
      <c r="AD21" s="610" t="n"/>
      <c r="AE21" s="610" t="n"/>
      <c r="AF21" s="610" t="n"/>
      <c r="AG21" s="610" t="n"/>
      <c r="AH21" s="610" t="n"/>
      <c r="AI21" s="610" t="n"/>
      <c r="AJ21" s="610" t="n"/>
      <c r="AK21" s="610" t="n"/>
      <c r="AL21" s="610" t="n"/>
      <c r="AM21" s="610" t="n"/>
    </row>
    <row r="22" ht="20.1" customHeight="1" s="680">
      <c r="A22" s="941" t="n"/>
      <c r="B22" s="611" t="n"/>
      <c r="C22" s="609" t="n"/>
      <c r="D22" s="611" t="n"/>
      <c r="E22" s="609" t="n"/>
      <c r="F22" s="611" t="n"/>
      <c r="G22" s="609" t="n"/>
      <c r="H22" s="611" t="n"/>
      <c r="I22" s="609" t="n"/>
      <c r="N22" s="611" t="n"/>
      <c r="O22" s="610" t="n"/>
      <c r="P22" s="610" t="n"/>
      <c r="Q22" s="610" t="n"/>
      <c r="R22" s="610" t="n"/>
      <c r="S22" s="610" t="n"/>
      <c r="T22" s="610" t="n"/>
      <c r="U22" s="610" t="n"/>
      <c r="V22" s="610" t="n"/>
      <c r="W22" s="610" t="n"/>
      <c r="X22" s="610" t="n"/>
      <c r="Y22" s="610" t="n"/>
      <c r="Z22" s="610" t="n"/>
      <c r="AA22" s="610" t="n"/>
      <c r="AB22" s="610" t="n"/>
      <c r="AC22" s="610" t="n"/>
      <c r="AD22" s="610" t="n"/>
      <c r="AE22" s="610" t="n"/>
      <c r="AF22" s="610" t="n"/>
      <c r="AG22" s="610" t="n"/>
      <c r="AH22" s="610" t="n"/>
      <c r="AI22" s="610" t="n"/>
      <c r="AJ22" s="610" t="n"/>
      <c r="AK22" s="610" t="n"/>
      <c r="AL22" s="610" t="n"/>
      <c r="AM22" s="610" t="n"/>
    </row>
    <row r="23" ht="20.1" customHeight="1" s="680">
      <c r="A23" s="941" t="n"/>
      <c r="B23" s="611" t="n"/>
      <c r="C23" s="609" t="n"/>
      <c r="D23" s="611" t="n"/>
      <c r="E23" s="609" t="n"/>
      <c r="F23" s="611" t="n"/>
      <c r="G23" s="609" t="n"/>
      <c r="H23" s="611" t="n"/>
      <c r="I23" s="609" t="n"/>
      <c r="N23" s="611" t="n"/>
      <c r="O23" s="610" t="n"/>
      <c r="P23" s="610" t="n"/>
      <c r="Q23" s="610" t="n"/>
      <c r="R23" s="610" t="n"/>
      <c r="S23" s="610" t="n"/>
      <c r="T23" s="610" t="n"/>
      <c r="U23" s="610" t="n"/>
      <c r="V23" s="610" t="n"/>
      <c r="W23" s="610" t="n"/>
      <c r="X23" s="610" t="n"/>
      <c r="Y23" s="610" t="n"/>
      <c r="Z23" s="610" t="n"/>
      <c r="AA23" s="610" t="n"/>
      <c r="AB23" s="610" t="n"/>
      <c r="AC23" s="610" t="n"/>
      <c r="AD23" s="610" t="n"/>
      <c r="AE23" s="610" t="n"/>
      <c r="AF23" s="610" t="n"/>
      <c r="AG23" s="610" t="n"/>
      <c r="AH23" s="610" t="n"/>
      <c r="AI23" s="610" t="n"/>
      <c r="AJ23" s="610" t="n"/>
      <c r="AK23" s="610" t="n"/>
      <c r="AL23" s="610" t="n"/>
      <c r="AM23" s="610" t="n"/>
    </row>
    <row r="24" ht="20.1" customHeight="1" s="680">
      <c r="A24" s="941" t="n"/>
      <c r="B24" s="611" t="n"/>
      <c r="C24" s="609" t="n"/>
      <c r="D24" s="611" t="n"/>
      <c r="E24" s="609" t="n"/>
      <c r="F24" s="611" t="n"/>
      <c r="G24" s="609" t="n"/>
      <c r="H24" s="611" t="n"/>
      <c r="I24" s="609" t="n"/>
      <c r="N24" s="611" t="n"/>
      <c r="O24" s="610" t="n"/>
      <c r="P24" s="610" t="n"/>
      <c r="Q24" s="610" t="n"/>
      <c r="R24" s="610" t="n"/>
      <c r="S24" s="610" t="n"/>
      <c r="T24" s="610" t="n"/>
      <c r="U24" s="610" t="n"/>
      <c r="V24" s="610" t="n"/>
      <c r="W24" s="610" t="n"/>
      <c r="X24" s="610" t="n"/>
      <c r="Y24" s="610" t="n"/>
      <c r="Z24" s="610" t="n"/>
      <c r="AA24" s="610" t="n"/>
      <c r="AB24" s="610" t="n"/>
      <c r="AC24" s="610" t="n"/>
      <c r="AD24" s="610" t="n"/>
      <c r="AE24" s="610" t="n"/>
      <c r="AF24" s="610" t="n"/>
      <c r="AG24" s="610" t="n"/>
      <c r="AH24" s="610" t="n"/>
      <c r="AI24" s="610" t="n"/>
      <c r="AJ24" s="610" t="n"/>
      <c r="AK24" s="610" t="n"/>
      <c r="AL24" s="610" t="n"/>
      <c r="AM24" s="610" t="n"/>
    </row>
    <row r="25" ht="20.1" customHeight="1" s="680">
      <c r="A25" s="941" t="n"/>
      <c r="B25" s="611" t="n"/>
      <c r="C25" s="609" t="n"/>
      <c r="D25" s="611" t="n"/>
      <c r="E25" s="609" t="n"/>
      <c r="F25" s="611" t="n"/>
      <c r="G25" s="609" t="n"/>
      <c r="H25" s="611" t="n"/>
      <c r="I25" s="609" t="n"/>
      <c r="N25" s="611" t="n"/>
      <c r="O25" s="610" t="n"/>
      <c r="P25" s="610" t="n"/>
      <c r="Q25" s="610" t="n"/>
      <c r="R25" s="610" t="n"/>
      <c r="S25" s="610" t="n"/>
      <c r="T25" s="610" t="n"/>
      <c r="U25" s="610" t="n"/>
      <c r="V25" s="610" t="n"/>
      <c r="W25" s="610" t="n"/>
      <c r="X25" s="610" t="n"/>
      <c r="Y25" s="610" t="n"/>
      <c r="Z25" s="610" t="n"/>
      <c r="AA25" s="610" t="n"/>
      <c r="AB25" s="610" t="n"/>
      <c r="AC25" s="610" t="n"/>
      <c r="AD25" s="610" t="n"/>
      <c r="AE25" s="610" t="n"/>
      <c r="AF25" s="610" t="n"/>
      <c r="AG25" s="610" t="n"/>
      <c r="AH25" s="610" t="n"/>
      <c r="AI25" s="610" t="n"/>
      <c r="AJ25" s="610" t="n"/>
      <c r="AK25" s="610" t="n"/>
      <c r="AL25" s="610" t="n"/>
      <c r="AM25" s="610" t="n"/>
    </row>
    <row r="26" ht="9" customHeight="1" s="680" thickBot="1">
      <c r="A26" s="942" t="n"/>
      <c r="B26" s="584" t="n"/>
      <c r="C26" s="582" t="n"/>
      <c r="D26" s="584" t="n"/>
      <c r="E26" s="582" t="n"/>
      <c r="F26" s="584" t="n"/>
      <c r="G26" s="582" t="n"/>
      <c r="H26" s="584" t="n"/>
      <c r="I26" s="582" t="n"/>
      <c r="J26" s="583" t="n"/>
      <c r="K26" s="583" t="n"/>
      <c r="L26" s="583" t="n"/>
      <c r="M26" s="583" t="n"/>
      <c r="N26" s="584" t="n"/>
      <c r="O26" s="610" t="n"/>
      <c r="P26" s="610" t="n"/>
      <c r="Q26" s="610" t="n"/>
      <c r="R26" s="610" t="n"/>
      <c r="S26" s="610" t="n"/>
      <c r="T26" s="610" t="n"/>
      <c r="U26" s="610" t="n"/>
      <c r="V26" s="610" t="n"/>
      <c r="W26" s="610" t="n"/>
      <c r="X26" s="610" t="n"/>
      <c r="Y26" s="610" t="n"/>
      <c r="Z26" s="610" t="n"/>
      <c r="AA26" s="610" t="n"/>
      <c r="AB26" s="610" t="n"/>
      <c r="AC26" s="610" t="n"/>
      <c r="AD26" s="610" t="n"/>
      <c r="AE26" s="610" t="n"/>
      <c r="AF26" s="610" t="n"/>
      <c r="AG26" s="610" t="n"/>
      <c r="AH26" s="610" t="n"/>
      <c r="AI26" s="610" t="n"/>
      <c r="AJ26" s="610" t="n"/>
      <c r="AK26" s="610" t="n"/>
      <c r="AL26" s="610" t="n"/>
      <c r="AM26" s="610" t="n"/>
    </row>
    <row r="27" ht="17.25" customHeight="1" s="680" thickTop="1">
      <c r="A27" s="610" t="n"/>
      <c r="B27" s="610" t="n"/>
      <c r="C27" s="610" t="n"/>
      <c r="D27" s="610" t="n"/>
      <c r="E27" s="610" t="n"/>
      <c r="F27" s="610" t="n"/>
      <c r="G27" s="610" t="n"/>
      <c r="H27" s="610" t="n"/>
      <c r="I27" s="610" t="n"/>
      <c r="J27" s="610" t="n"/>
      <c r="K27" s="610" t="n"/>
      <c r="L27" s="610" t="n"/>
      <c r="M27" s="610" t="n"/>
      <c r="N27" s="610" t="n"/>
      <c r="O27" s="610" t="n"/>
      <c r="P27" s="610" t="n"/>
      <c r="Q27" s="610" t="n"/>
      <c r="R27" s="610" t="n"/>
      <c r="S27" s="610" t="n"/>
      <c r="T27" s="610" t="n"/>
      <c r="U27" s="610" t="n"/>
      <c r="V27" s="610" t="n"/>
      <c r="W27" s="610" t="n"/>
      <c r="X27" s="610" t="n"/>
      <c r="Y27" s="610" t="n"/>
      <c r="Z27" s="610" t="n"/>
      <c r="AA27" s="610" t="n"/>
      <c r="AB27" s="610" t="n"/>
      <c r="AC27" s="610" t="n"/>
      <c r="AD27" s="610" t="n"/>
      <c r="AE27" s="610" t="n"/>
      <c r="AF27" s="610" t="n"/>
      <c r="AG27" s="610" t="n"/>
      <c r="AH27" s="610" t="n"/>
      <c r="AI27" s="610" t="n"/>
      <c r="AJ27" s="610" t="n"/>
      <c r="AK27" s="610" t="n"/>
      <c r="AL27" s="610" t="n"/>
      <c r="AM27" s="610" t="n"/>
    </row>
    <row r="28">
      <c r="A28" s="610" t="n"/>
      <c r="B28" s="610" t="n"/>
      <c r="C28" s="610" t="n"/>
      <c r="D28" s="610" t="n"/>
      <c r="E28" s="610" t="n"/>
      <c r="F28" s="610" t="n"/>
      <c r="G28" s="610" t="n"/>
      <c r="H28" s="610" t="n"/>
      <c r="I28" s="610" t="n"/>
      <c r="J28" s="610" t="n"/>
      <c r="K28" s="610" t="n"/>
      <c r="L28" s="610" t="n"/>
      <c r="M28" s="610" t="n"/>
      <c r="N28" s="610" t="n"/>
      <c r="O28" s="610" t="n"/>
      <c r="P28" s="610" t="n"/>
      <c r="Q28" s="610" t="n"/>
      <c r="R28" s="610" t="n"/>
      <c r="S28" s="610" t="n"/>
      <c r="T28" s="610" t="n"/>
      <c r="U28" s="610" t="n"/>
      <c r="V28" s="610" t="n"/>
      <c r="W28" s="610" t="n"/>
      <c r="X28" s="610" t="n"/>
      <c r="Y28" s="610" t="n"/>
      <c r="Z28" s="610" t="n"/>
      <c r="AA28" s="610" t="n"/>
      <c r="AB28" s="610" t="n"/>
      <c r="AC28" s="610" t="n"/>
      <c r="AD28" s="610" t="n"/>
      <c r="AE28" s="610" t="n"/>
      <c r="AF28" s="610" t="n"/>
      <c r="AG28" s="610" t="n"/>
      <c r="AH28" s="610" t="n"/>
      <c r="AI28" s="610" t="n"/>
      <c r="AJ28" s="610" t="n"/>
      <c r="AK28" s="610" t="n"/>
      <c r="AL28" s="610" t="n"/>
      <c r="AM28" s="610" t="n"/>
    </row>
    <row r="29">
      <c r="A29" s="610" t="n"/>
      <c r="B29" s="610" t="n"/>
      <c r="C29" s="610" t="n"/>
      <c r="D29" s="610" t="n"/>
      <c r="E29" s="610" t="n"/>
      <c r="F29" s="610" t="n"/>
      <c r="G29" s="610" t="n"/>
      <c r="H29" s="610" t="n"/>
      <c r="I29" s="610" t="n"/>
      <c r="J29" s="610" t="n"/>
      <c r="K29" s="610" t="n"/>
      <c r="L29" s="610" t="n"/>
      <c r="M29" s="610" t="n"/>
      <c r="N29" s="610" t="n"/>
      <c r="O29" s="610" t="n"/>
      <c r="P29" s="610" t="n"/>
      <c r="Q29" s="610" t="n"/>
      <c r="R29" s="610" t="n"/>
      <c r="S29" s="610" t="n"/>
      <c r="T29" s="610" t="n"/>
      <c r="U29" s="610" t="n"/>
      <c r="V29" s="610" t="n"/>
      <c r="W29" s="610" t="n"/>
      <c r="X29" s="610" t="n"/>
      <c r="Y29" s="610" t="n"/>
      <c r="Z29" s="610" t="n"/>
      <c r="AA29" s="610" t="n"/>
      <c r="AB29" s="610" t="n"/>
      <c r="AC29" s="610" t="n"/>
      <c r="AD29" s="610" t="n"/>
      <c r="AE29" s="610" t="n"/>
      <c r="AF29" s="610" t="n"/>
      <c r="AG29" s="610" t="n"/>
      <c r="AH29" s="610" t="n"/>
      <c r="AI29" s="610" t="n"/>
      <c r="AJ29" s="610" t="n"/>
      <c r="AK29" s="610" t="n"/>
      <c r="AL29" s="610" t="n"/>
      <c r="AM29" s="610" t="n"/>
    </row>
    <row r="30">
      <c r="A30" s="610" t="n"/>
      <c r="B30" s="610" t="n"/>
      <c r="C30" s="610" t="n"/>
      <c r="D30" s="610" t="n"/>
      <c r="E30" s="610" t="n"/>
      <c r="F30" s="610" t="n"/>
      <c r="G30" s="610" t="n"/>
      <c r="H30" s="610" t="n"/>
      <c r="I30" s="610" t="n"/>
      <c r="J30" s="610" t="n"/>
      <c r="K30" s="610" t="n"/>
      <c r="L30" s="610" t="n"/>
      <c r="M30" s="610" t="n"/>
      <c r="N30" s="610" t="n"/>
      <c r="O30" s="610" t="n"/>
      <c r="P30" s="610" t="n"/>
      <c r="Q30" s="610" t="n"/>
      <c r="R30" s="610" t="n"/>
      <c r="S30" s="610" t="n"/>
      <c r="T30" s="610" t="n"/>
      <c r="U30" s="610" t="n"/>
      <c r="V30" s="610" t="n"/>
      <c r="W30" s="610" t="n"/>
      <c r="X30" s="610" t="n"/>
      <c r="Y30" s="610" t="n"/>
      <c r="Z30" s="610" t="n"/>
      <c r="AA30" s="610" t="n"/>
      <c r="AB30" s="610" t="n"/>
      <c r="AC30" s="610" t="n"/>
      <c r="AD30" s="610" t="n"/>
      <c r="AE30" s="610" t="n"/>
      <c r="AF30" s="610" t="n"/>
      <c r="AG30" s="610" t="n"/>
      <c r="AH30" s="610" t="n"/>
      <c r="AI30" s="610" t="n"/>
      <c r="AJ30" s="610" t="n"/>
      <c r="AK30" s="610" t="n"/>
      <c r="AL30" s="610" t="n"/>
      <c r="AM30" s="610" t="n"/>
    </row>
    <row r="31">
      <c r="A31" s="610" t="n"/>
      <c r="B31" s="610" t="n"/>
      <c r="C31" s="610" t="n"/>
      <c r="D31" s="610" t="n"/>
      <c r="E31" s="610" t="n"/>
      <c r="F31" s="610" t="n"/>
      <c r="G31" s="610" t="n"/>
      <c r="H31" s="610" t="n"/>
      <c r="I31" s="610" t="n"/>
      <c r="J31" s="610" t="n"/>
      <c r="K31" s="610" t="n"/>
      <c r="L31" s="610" t="n"/>
      <c r="M31" s="610" t="n"/>
      <c r="N31" s="610" t="n"/>
      <c r="O31" s="610" t="n"/>
      <c r="P31" s="610" t="n"/>
      <c r="Q31" s="610" t="n"/>
      <c r="R31" s="610" t="n"/>
      <c r="S31" s="610" t="n"/>
      <c r="T31" s="610" t="n"/>
      <c r="U31" s="610" t="n"/>
      <c r="V31" s="610" t="n"/>
      <c r="W31" s="610" t="n"/>
      <c r="X31" s="610" t="n"/>
      <c r="Y31" s="610" t="n"/>
      <c r="Z31" s="610" t="n"/>
      <c r="AA31" s="610" t="n"/>
      <c r="AB31" s="610" t="n"/>
      <c r="AC31" s="610" t="n"/>
      <c r="AD31" s="610" t="n"/>
      <c r="AE31" s="610" t="n"/>
      <c r="AF31" s="610" t="n"/>
      <c r="AG31" s="610" t="n"/>
      <c r="AH31" s="610" t="n"/>
      <c r="AI31" s="610" t="n"/>
      <c r="AJ31" s="610" t="n"/>
      <c r="AK31" s="610" t="n"/>
      <c r="AL31" s="610" t="n"/>
      <c r="AM31" s="610" t="n"/>
    </row>
    <row r="32">
      <c r="A32" s="610" t="n"/>
      <c r="B32" s="610" t="n"/>
      <c r="C32" s="610" t="n"/>
      <c r="D32" s="610" t="n"/>
      <c r="E32" s="610" t="n"/>
      <c r="F32" s="610" t="n"/>
      <c r="G32" s="610" t="n"/>
      <c r="H32" s="610" t="n"/>
      <c r="I32" s="610" t="n"/>
      <c r="J32" s="610" t="n"/>
      <c r="K32" s="610" t="n"/>
      <c r="L32" s="610" t="n"/>
      <c r="M32" s="610" t="n"/>
      <c r="N32" s="610" t="n"/>
      <c r="O32" s="610" t="n"/>
      <c r="P32" s="610" t="n"/>
      <c r="Q32" s="610" t="n"/>
      <c r="R32" s="610" t="n"/>
      <c r="S32" s="610" t="n"/>
      <c r="T32" s="610" t="n"/>
      <c r="U32" s="610" t="n"/>
      <c r="V32" s="610" t="n"/>
      <c r="W32" s="610" t="n"/>
      <c r="X32" s="610" t="n"/>
      <c r="Y32" s="610" t="n"/>
      <c r="Z32" s="610" t="n"/>
      <c r="AA32" s="610" t="n"/>
      <c r="AB32" s="610" t="n"/>
      <c r="AC32" s="610" t="n"/>
      <c r="AD32" s="610" t="n"/>
      <c r="AE32" s="610" t="n"/>
      <c r="AF32" s="610" t="n"/>
      <c r="AG32" s="610" t="n"/>
      <c r="AH32" s="610" t="n"/>
      <c r="AI32" s="610" t="n"/>
      <c r="AJ32" s="610" t="n"/>
      <c r="AK32" s="610" t="n"/>
      <c r="AL32" s="610" t="n"/>
      <c r="AM32" s="610" t="n"/>
    </row>
    <row r="33">
      <c r="A33" s="610" t="n"/>
      <c r="B33" s="610" t="n"/>
      <c r="C33" s="610" t="n"/>
      <c r="D33" s="610" t="n"/>
      <c r="E33" s="610" t="n"/>
      <c r="F33" s="610" t="n"/>
      <c r="G33" s="610" t="n"/>
      <c r="H33" s="610" t="n"/>
      <c r="I33" s="610" t="n"/>
      <c r="J33" s="610" t="n"/>
      <c r="K33" s="610" t="n"/>
      <c r="L33" s="610" t="n"/>
      <c r="M33" s="610" t="n"/>
      <c r="N33" s="610" t="n"/>
      <c r="O33" s="610" t="n"/>
      <c r="P33" s="610" t="n"/>
      <c r="Q33" s="610" t="n"/>
      <c r="R33" s="610" t="n"/>
      <c r="S33" s="610" t="n"/>
      <c r="T33" s="610" t="n"/>
      <c r="U33" s="610" t="n"/>
      <c r="V33" s="610" t="n"/>
      <c r="W33" s="610" t="n"/>
      <c r="X33" s="610" t="n"/>
      <c r="Y33" s="610" t="n"/>
      <c r="Z33" s="610" t="n"/>
      <c r="AA33" s="610" t="n"/>
      <c r="AB33" s="610" t="n"/>
      <c r="AC33" s="610" t="n"/>
      <c r="AD33" s="610" t="n"/>
      <c r="AE33" s="610" t="n"/>
      <c r="AF33" s="610" t="n"/>
      <c r="AG33" s="610" t="n"/>
      <c r="AH33" s="610" t="n"/>
      <c r="AI33" s="610" t="n"/>
      <c r="AJ33" s="610" t="n"/>
      <c r="AK33" s="610" t="n"/>
      <c r="AL33" s="610" t="n"/>
      <c r="AM33" s="610" t="n"/>
    </row>
    <row r="34">
      <c r="A34" s="610" t="n"/>
      <c r="B34" s="610" t="n"/>
      <c r="C34" s="610" t="n"/>
      <c r="D34" s="610" t="n"/>
      <c r="E34" s="610" t="n"/>
      <c r="F34" s="610" t="n"/>
      <c r="G34" s="610" t="n"/>
      <c r="H34" s="610" t="n"/>
      <c r="I34" s="610" t="n"/>
      <c r="J34" s="610" t="n"/>
      <c r="K34" s="610" t="n"/>
      <c r="L34" s="610" t="n"/>
      <c r="M34" s="610" t="n"/>
      <c r="N34" s="610" t="n"/>
      <c r="O34" s="610" t="n"/>
      <c r="P34" s="610" t="n"/>
      <c r="Q34" s="610" t="n"/>
      <c r="R34" s="610" t="n"/>
      <c r="S34" s="610" t="n"/>
      <c r="T34" s="610" t="n"/>
      <c r="U34" s="610" t="n"/>
      <c r="V34" s="610" t="n"/>
      <c r="W34" s="610" t="n"/>
      <c r="X34" s="610" t="n"/>
      <c r="Y34" s="610" t="n"/>
      <c r="Z34" s="610" t="n"/>
      <c r="AA34" s="610" t="n"/>
      <c r="AB34" s="610" t="n"/>
      <c r="AC34" s="610" t="n"/>
      <c r="AD34" s="610" t="n"/>
      <c r="AE34" s="610" t="n"/>
      <c r="AF34" s="610" t="n"/>
      <c r="AG34" s="610" t="n"/>
      <c r="AH34" s="610" t="n"/>
      <c r="AI34" s="610" t="n"/>
      <c r="AJ34" s="610" t="n"/>
      <c r="AK34" s="610" t="n"/>
      <c r="AL34" s="610" t="n"/>
      <c r="AM34" s="610" t="n"/>
    </row>
    <row r="35">
      <c r="A35" s="610" t="n"/>
      <c r="B35" s="610" t="n"/>
      <c r="C35" s="610" t="n"/>
      <c r="D35" s="610" t="n"/>
      <c r="E35" s="610" t="n"/>
      <c r="F35" s="610" t="n"/>
      <c r="G35" s="610" t="n"/>
      <c r="H35" s="610" t="n"/>
      <c r="I35" s="610" t="n"/>
      <c r="J35" s="610" t="n"/>
      <c r="K35" s="610" t="n"/>
      <c r="L35" s="610" t="n"/>
      <c r="M35" s="610" t="n"/>
      <c r="N35" s="610" t="n"/>
      <c r="O35" s="610" t="n"/>
      <c r="P35" s="610" t="n"/>
      <c r="Q35" s="610" t="n"/>
      <c r="R35" s="610" t="n"/>
      <c r="S35" s="610" t="n"/>
      <c r="T35" s="610" t="n"/>
      <c r="U35" s="610" t="n"/>
      <c r="V35" s="610" t="n"/>
      <c r="W35" s="610" t="n"/>
      <c r="X35" s="610" t="n"/>
      <c r="Y35" s="610" t="n"/>
      <c r="Z35" s="610" t="n"/>
      <c r="AA35" s="610" t="n"/>
      <c r="AB35" s="610" t="n"/>
      <c r="AC35" s="610" t="n"/>
      <c r="AD35" s="610" t="n"/>
      <c r="AE35" s="610" t="n"/>
      <c r="AF35" s="610" t="n"/>
      <c r="AG35" s="610" t="n"/>
      <c r="AH35" s="610" t="n"/>
      <c r="AI35" s="610" t="n"/>
      <c r="AJ35" s="610" t="n"/>
      <c r="AK35" s="610" t="n"/>
      <c r="AL35" s="610" t="n"/>
      <c r="AM35" s="610" t="n"/>
    </row>
    <row r="36">
      <c r="A36" s="610" t="n"/>
      <c r="B36" s="610" t="n"/>
      <c r="C36" s="610" t="n"/>
      <c r="D36" s="610" t="n"/>
      <c r="E36" s="610" t="n"/>
      <c r="F36" s="610" t="n"/>
      <c r="G36" s="610" t="n"/>
      <c r="H36" s="610" t="n"/>
      <c r="I36" s="610" t="n"/>
      <c r="J36" s="610" t="n"/>
      <c r="K36" s="610" t="n"/>
      <c r="L36" s="610" t="n"/>
      <c r="M36" s="610" t="n"/>
      <c r="N36" s="610" t="n"/>
      <c r="O36" s="610" t="n"/>
      <c r="P36" s="610" t="n"/>
      <c r="Q36" s="610" t="n"/>
      <c r="R36" s="610" t="n"/>
      <c r="S36" s="610" t="n"/>
      <c r="T36" s="610" t="n"/>
      <c r="U36" s="610" t="n"/>
      <c r="V36" s="610" t="n"/>
      <c r="W36" s="610" t="n"/>
      <c r="X36" s="610" t="n"/>
      <c r="Y36" s="610" t="n"/>
      <c r="Z36" s="610" t="n"/>
      <c r="AA36" s="610" t="n"/>
      <c r="AB36" s="610" t="n"/>
      <c r="AC36" s="610" t="n"/>
      <c r="AD36" s="610" t="n"/>
      <c r="AE36" s="610" t="n"/>
      <c r="AF36" s="610" t="n"/>
      <c r="AG36" s="610" t="n"/>
      <c r="AH36" s="610" t="n"/>
      <c r="AI36" s="610" t="n"/>
      <c r="AJ36" s="610" t="n"/>
      <c r="AK36" s="610" t="n"/>
      <c r="AL36" s="610" t="n"/>
      <c r="AM36" s="610" t="n"/>
    </row>
    <row r="37">
      <c r="A37" s="610" t="n"/>
      <c r="B37" s="610" t="n"/>
      <c r="C37" s="610" t="n"/>
      <c r="D37" s="610" t="n"/>
      <c r="E37" s="610" t="n"/>
      <c r="F37" s="610" t="n"/>
      <c r="G37" s="610" t="n"/>
      <c r="H37" s="610" t="n"/>
      <c r="I37" s="610" t="n"/>
      <c r="J37" s="610" t="n"/>
      <c r="K37" s="610" t="n"/>
      <c r="L37" s="610" t="n"/>
      <c r="M37" s="610" t="n"/>
      <c r="N37" s="610" t="n"/>
      <c r="O37" s="610" t="n"/>
      <c r="P37" s="610" t="n"/>
      <c r="Q37" s="610" t="n"/>
      <c r="R37" s="610" t="n"/>
      <c r="S37" s="610" t="n"/>
      <c r="T37" s="610" t="n"/>
      <c r="U37" s="610" t="n"/>
      <c r="V37" s="610" t="n"/>
      <c r="W37" s="610" t="n"/>
      <c r="X37" s="610" t="n"/>
      <c r="Y37" s="610" t="n"/>
      <c r="Z37" s="610" t="n"/>
      <c r="AA37" s="610" t="n"/>
      <c r="AB37" s="610" t="n"/>
      <c r="AC37" s="610" t="n"/>
      <c r="AD37" s="610" t="n"/>
      <c r="AE37" s="610" t="n"/>
      <c r="AF37" s="610" t="n"/>
      <c r="AG37" s="610" t="n"/>
      <c r="AH37" s="610" t="n"/>
      <c r="AI37" s="610" t="n"/>
      <c r="AJ37" s="610" t="n"/>
      <c r="AK37" s="610" t="n"/>
      <c r="AL37" s="610" t="n"/>
      <c r="AM37" s="610" t="n"/>
    </row>
    <row r="38">
      <c r="A38" s="610" t="n"/>
      <c r="B38" s="610" t="n"/>
      <c r="C38" s="610" t="n"/>
      <c r="D38" s="610" t="n"/>
      <c r="E38" s="610" t="n"/>
      <c r="F38" s="610" t="n"/>
      <c r="G38" s="610" t="n"/>
      <c r="H38" s="610" t="n"/>
      <c r="I38" s="610" t="n"/>
      <c r="J38" s="610" t="n"/>
      <c r="K38" s="610" t="n"/>
      <c r="L38" s="610" t="n"/>
      <c r="M38" s="610" t="n"/>
      <c r="N38" s="610" t="n"/>
      <c r="O38" s="610" t="n"/>
      <c r="P38" s="610" t="n"/>
      <c r="Q38" s="610" t="n"/>
      <c r="R38" s="610" t="n"/>
      <c r="S38" s="610" t="n"/>
      <c r="T38" s="610" t="n"/>
      <c r="U38" s="610" t="n"/>
      <c r="V38" s="610" t="n"/>
      <c r="W38" s="610" t="n"/>
      <c r="X38" s="610" t="n"/>
      <c r="Y38" s="610" t="n"/>
      <c r="Z38" s="610" t="n"/>
      <c r="AA38" s="610" t="n"/>
      <c r="AB38" s="610" t="n"/>
      <c r="AC38" s="610" t="n"/>
      <c r="AD38" s="610" t="n"/>
      <c r="AE38" s="610" t="n"/>
      <c r="AF38" s="610" t="n"/>
      <c r="AG38" s="610" t="n"/>
      <c r="AH38" s="610" t="n"/>
      <c r="AI38" s="610" t="n"/>
      <c r="AJ38" s="610" t="n"/>
      <c r="AK38" s="610" t="n"/>
      <c r="AL38" s="610" t="n"/>
      <c r="AM38" s="610" t="n"/>
    </row>
    <row r="39">
      <c r="A39" s="610" t="n"/>
      <c r="B39" s="610" t="n"/>
      <c r="C39" s="610" t="n"/>
      <c r="D39" s="610" t="n"/>
      <c r="E39" s="610" t="n"/>
      <c r="F39" s="610" t="n"/>
      <c r="G39" s="610" t="n"/>
      <c r="H39" s="610" t="n"/>
      <c r="I39" s="610" t="n"/>
      <c r="J39" s="610" t="n"/>
      <c r="K39" s="610" t="n"/>
      <c r="L39" s="610" t="n"/>
      <c r="M39" s="610" t="n"/>
      <c r="N39" s="610" t="n"/>
      <c r="O39" s="610" t="n"/>
      <c r="P39" s="610" t="n"/>
      <c r="Q39" s="610" t="n"/>
      <c r="R39" s="610" t="n"/>
      <c r="S39" s="610" t="n"/>
      <c r="T39" s="610" t="n"/>
      <c r="U39" s="610" t="n"/>
      <c r="V39" s="610" t="n"/>
      <c r="W39" s="610" t="n"/>
      <c r="X39" s="610" t="n"/>
      <c r="Y39" s="610" t="n"/>
      <c r="Z39" s="610" t="n"/>
      <c r="AA39" s="610" t="n"/>
      <c r="AB39" s="610" t="n"/>
      <c r="AC39" s="610" t="n"/>
      <c r="AD39" s="610" t="n"/>
      <c r="AE39" s="610" t="n"/>
      <c r="AF39" s="610" t="n"/>
      <c r="AG39" s="610" t="n"/>
      <c r="AH39" s="610" t="n"/>
      <c r="AI39" s="610" t="n"/>
      <c r="AJ39" s="610" t="n"/>
      <c r="AK39" s="610" t="n"/>
      <c r="AL39" s="610" t="n"/>
      <c r="AM39" s="610" t="n"/>
    </row>
    <row r="40">
      <c r="A40" s="610" t="n"/>
      <c r="B40" s="610" t="n"/>
      <c r="C40" s="610" t="n"/>
      <c r="D40" s="610" t="n"/>
      <c r="E40" s="610" t="n"/>
      <c r="F40" s="610" t="n"/>
      <c r="G40" s="610" t="n"/>
      <c r="H40" s="610" t="n"/>
      <c r="I40" s="610" t="n"/>
      <c r="J40" s="610" t="n"/>
      <c r="K40" s="610" t="n"/>
      <c r="L40" s="610" t="n"/>
      <c r="M40" s="610" t="n"/>
      <c r="N40" s="610" t="n"/>
      <c r="O40" s="610" t="n"/>
      <c r="P40" s="610" t="n"/>
      <c r="Q40" s="610" t="n"/>
      <c r="R40" s="610" t="n"/>
      <c r="S40" s="610" t="n"/>
      <c r="T40" s="610" t="n"/>
      <c r="U40" s="610" t="n"/>
      <c r="V40" s="610" t="n"/>
      <c r="W40" s="610" t="n"/>
      <c r="X40" s="610" t="n"/>
      <c r="Y40" s="610" t="n"/>
      <c r="Z40" s="610" t="n"/>
      <c r="AA40" s="610" t="n"/>
      <c r="AB40" s="610" t="n"/>
      <c r="AC40" s="610" t="n"/>
      <c r="AD40" s="610" t="n"/>
      <c r="AE40" s="610" t="n"/>
      <c r="AF40" s="610" t="n"/>
      <c r="AG40" s="610" t="n"/>
      <c r="AH40" s="610" t="n"/>
      <c r="AI40" s="610" t="n"/>
      <c r="AJ40" s="610" t="n"/>
      <c r="AK40" s="610" t="n"/>
      <c r="AL40" s="610" t="n"/>
      <c r="AM40" s="610" t="n"/>
    </row>
    <row r="41">
      <c r="A41" s="610" t="n"/>
      <c r="B41" s="610" t="n"/>
      <c r="C41" s="610" t="n"/>
      <c r="D41" s="610" t="n"/>
      <c r="E41" s="610" t="n"/>
      <c r="F41" s="610" t="n"/>
      <c r="G41" s="610" t="n"/>
      <c r="H41" s="610" t="n"/>
      <c r="I41" s="610" t="n"/>
      <c r="J41" s="610" t="n"/>
      <c r="K41" s="610" t="n"/>
      <c r="L41" s="610" t="n"/>
      <c r="M41" s="610" t="n"/>
      <c r="N41" s="610" t="n"/>
      <c r="O41" s="610" t="n"/>
      <c r="P41" s="610" t="n"/>
      <c r="Q41" s="610" t="n"/>
      <c r="R41" s="610" t="n"/>
      <c r="S41" s="610" t="n"/>
      <c r="T41" s="610" t="n"/>
      <c r="U41" s="610" t="n"/>
      <c r="V41" s="610" t="n"/>
      <c r="W41" s="610" t="n"/>
      <c r="X41" s="610" t="n"/>
      <c r="Y41" s="610" t="n"/>
      <c r="Z41" s="610" t="n"/>
      <c r="AA41" s="610" t="n"/>
      <c r="AB41" s="610" t="n"/>
      <c r="AC41" s="610" t="n"/>
      <c r="AD41" s="610" t="n"/>
      <c r="AE41" s="610" t="n"/>
      <c r="AF41" s="610" t="n"/>
      <c r="AG41" s="610" t="n"/>
      <c r="AH41" s="610" t="n"/>
      <c r="AI41" s="610" t="n"/>
      <c r="AJ41" s="610" t="n"/>
      <c r="AK41" s="610" t="n"/>
      <c r="AL41" s="610" t="n"/>
      <c r="AM41" s="610" t="n"/>
    </row>
    <row r="42">
      <c r="A42" s="610" t="n"/>
      <c r="B42" s="610" t="n"/>
      <c r="C42" s="610" t="n"/>
      <c r="D42" s="610" t="n"/>
      <c r="E42" s="610" t="n"/>
      <c r="F42" s="610" t="n"/>
      <c r="G42" s="610" t="n"/>
      <c r="H42" s="610" t="n"/>
      <c r="I42" s="610" t="n"/>
      <c r="J42" s="610" t="n"/>
      <c r="K42" s="610" t="n"/>
      <c r="L42" s="610" t="n"/>
      <c r="M42" s="610" t="n"/>
      <c r="N42" s="610" t="n"/>
      <c r="O42" s="610" t="n"/>
      <c r="P42" s="610" t="n"/>
      <c r="Q42" s="610" t="n"/>
      <c r="R42" s="610" t="n"/>
      <c r="S42" s="610" t="n"/>
      <c r="T42" s="610" t="n"/>
      <c r="U42" s="610" t="n"/>
      <c r="V42" s="610" t="n"/>
      <c r="W42" s="610" t="n"/>
      <c r="X42" s="610" t="n"/>
      <c r="Y42" s="610" t="n"/>
      <c r="Z42" s="610" t="n"/>
      <c r="AA42" s="610" t="n"/>
      <c r="AB42" s="610" t="n"/>
      <c r="AC42" s="610" t="n"/>
      <c r="AD42" s="610" t="n"/>
      <c r="AE42" s="610" t="n"/>
      <c r="AF42" s="610" t="n"/>
      <c r="AG42" s="610" t="n"/>
      <c r="AH42" s="610" t="n"/>
      <c r="AI42" s="610" t="n"/>
      <c r="AJ42" s="610" t="n"/>
      <c r="AK42" s="610" t="n"/>
      <c r="AL42" s="610" t="n"/>
      <c r="AM42" s="610" t="n"/>
    </row>
    <row r="43">
      <c r="A43" s="610" t="n"/>
      <c r="B43" s="610" t="n"/>
      <c r="C43" s="610" t="n"/>
      <c r="D43" s="610" t="n"/>
      <c r="E43" s="610" t="n"/>
      <c r="F43" s="610" t="n"/>
      <c r="G43" s="610" t="n"/>
      <c r="H43" s="610" t="n"/>
      <c r="I43" s="610" t="n"/>
      <c r="J43" s="610" t="n"/>
      <c r="K43" s="610" t="n"/>
      <c r="L43" s="610" t="n"/>
      <c r="M43" s="610" t="n"/>
      <c r="N43" s="610" t="n"/>
      <c r="O43" s="610" t="n"/>
      <c r="P43" s="610" t="n"/>
      <c r="Q43" s="610" t="n"/>
      <c r="R43" s="610" t="n"/>
      <c r="S43" s="610" t="n"/>
      <c r="T43" s="610" t="n"/>
      <c r="U43" s="610" t="n"/>
      <c r="V43" s="610" t="n"/>
      <c r="W43" s="610" t="n"/>
      <c r="X43" s="610" t="n"/>
      <c r="Y43" s="610" t="n"/>
      <c r="Z43" s="610" t="n"/>
      <c r="AA43" s="610" t="n"/>
      <c r="AB43" s="610" t="n"/>
      <c r="AC43" s="610" t="n"/>
      <c r="AD43" s="610" t="n"/>
      <c r="AE43" s="610" t="n"/>
      <c r="AF43" s="610" t="n"/>
      <c r="AG43" s="610" t="n"/>
      <c r="AH43" s="610" t="n"/>
      <c r="AI43" s="610" t="n"/>
      <c r="AJ43" s="610" t="n"/>
      <c r="AK43" s="610" t="n"/>
      <c r="AL43" s="610" t="n"/>
      <c r="AM43" s="610" t="n"/>
    </row>
    <row r="44">
      <c r="A44" s="610" t="n"/>
      <c r="B44" s="610" t="n"/>
      <c r="C44" s="610" t="n"/>
      <c r="D44" s="610" t="n"/>
      <c r="E44" s="610" t="n"/>
      <c r="F44" s="610" t="n"/>
      <c r="G44" s="610" t="n"/>
      <c r="H44" s="610" t="n"/>
      <c r="I44" s="610" t="n"/>
      <c r="J44" s="610" t="n"/>
      <c r="K44" s="610" t="n"/>
      <c r="L44" s="610" t="n"/>
      <c r="M44" s="610" t="n"/>
      <c r="N44" s="610" t="n"/>
      <c r="O44" s="610" t="n"/>
      <c r="P44" s="610" t="n"/>
      <c r="Q44" s="610" t="n"/>
      <c r="R44" s="610" t="n"/>
      <c r="S44" s="610" t="n"/>
      <c r="T44" s="610" t="n"/>
      <c r="U44" s="610" t="n"/>
      <c r="V44" s="610" t="n"/>
      <c r="W44" s="610" t="n"/>
      <c r="X44" s="610" t="n"/>
      <c r="Y44" s="610" t="n"/>
      <c r="Z44" s="610" t="n"/>
      <c r="AA44" s="610" t="n"/>
      <c r="AB44" s="610" t="n"/>
      <c r="AC44" s="610" t="n"/>
      <c r="AD44" s="610" t="n"/>
      <c r="AE44" s="610" t="n"/>
      <c r="AF44" s="610" t="n"/>
      <c r="AG44" s="610" t="n"/>
      <c r="AH44" s="610" t="n"/>
      <c r="AI44" s="610" t="n"/>
      <c r="AJ44" s="610" t="n"/>
      <c r="AK44" s="610" t="n"/>
      <c r="AL44" s="610" t="n"/>
      <c r="AM44" s="610" t="n"/>
    </row>
    <row r="45">
      <c r="A45" s="610" t="n"/>
      <c r="B45" s="610" t="n"/>
      <c r="C45" s="610" t="n"/>
      <c r="D45" s="610" t="n"/>
      <c r="E45" s="610" t="n"/>
      <c r="F45" s="610" t="n"/>
      <c r="G45" s="610" t="n"/>
      <c r="H45" s="610" t="n"/>
      <c r="I45" s="610" t="n"/>
      <c r="J45" s="610" t="n"/>
      <c r="K45" s="610" t="n"/>
      <c r="L45" s="610" t="n"/>
      <c r="M45" s="610" t="n"/>
      <c r="N45" s="610" t="n"/>
      <c r="O45" s="610" t="n"/>
      <c r="P45" s="610" t="n"/>
      <c r="Q45" s="610" t="n"/>
      <c r="R45" s="610" t="n"/>
      <c r="S45" s="610" t="n"/>
      <c r="T45" s="610" t="n"/>
      <c r="U45" s="610" t="n"/>
      <c r="V45" s="610" t="n"/>
      <c r="W45" s="610" t="n"/>
      <c r="X45" s="610" t="n"/>
      <c r="Y45" s="610" t="n"/>
      <c r="Z45" s="610" t="n"/>
      <c r="AA45" s="610" t="n"/>
      <c r="AB45" s="610" t="n"/>
      <c r="AC45" s="610" t="n"/>
      <c r="AD45" s="610" t="n"/>
      <c r="AE45" s="610" t="n"/>
      <c r="AF45" s="610" t="n"/>
      <c r="AG45" s="610" t="n"/>
      <c r="AH45" s="610" t="n"/>
      <c r="AI45" s="610" t="n"/>
      <c r="AJ45" s="610" t="n"/>
      <c r="AK45" s="610" t="n"/>
      <c r="AL45" s="610" t="n"/>
      <c r="AM45" s="610" t="n"/>
    </row>
    <row r="46">
      <c r="A46" s="610" t="n"/>
      <c r="B46" s="610" t="n"/>
      <c r="C46" s="610" t="n"/>
      <c r="D46" s="610" t="n"/>
      <c r="E46" s="610" t="n"/>
      <c r="F46" s="610" t="n"/>
      <c r="G46" s="610" t="n"/>
      <c r="H46" s="610" t="n"/>
      <c r="I46" s="610" t="n"/>
      <c r="J46" s="610" t="n"/>
      <c r="K46" s="610" t="n"/>
      <c r="L46" s="610" t="n"/>
      <c r="M46" s="610" t="n"/>
      <c r="N46" s="610" t="n"/>
      <c r="O46" s="610" t="n"/>
      <c r="P46" s="610" t="n"/>
      <c r="Q46" s="610" t="n"/>
      <c r="R46" s="610" t="n"/>
      <c r="S46" s="610" t="n"/>
      <c r="T46" s="610" t="n"/>
      <c r="U46" s="610" t="n"/>
      <c r="V46" s="610" t="n"/>
      <c r="W46" s="610" t="n"/>
      <c r="X46" s="610" t="n"/>
      <c r="Y46" s="610" t="n"/>
      <c r="Z46" s="610" t="n"/>
      <c r="AA46" s="610" t="n"/>
      <c r="AB46" s="610" t="n"/>
      <c r="AC46" s="610" t="n"/>
      <c r="AD46" s="610" t="n"/>
      <c r="AE46" s="610" t="n"/>
      <c r="AF46" s="610" t="n"/>
      <c r="AG46" s="610" t="n"/>
      <c r="AH46" s="610" t="n"/>
      <c r="AI46" s="610" t="n"/>
      <c r="AJ46" s="610" t="n"/>
      <c r="AK46" s="610" t="n"/>
      <c r="AL46" s="610" t="n"/>
      <c r="AM46" s="610" t="n"/>
    </row>
    <row r="47">
      <c r="A47" s="610" t="n"/>
      <c r="B47" s="610" t="n"/>
      <c r="C47" s="610" t="n"/>
      <c r="D47" s="610" t="n"/>
      <c r="E47" s="610" t="n"/>
      <c r="F47" s="610" t="n"/>
      <c r="G47" s="610" t="n"/>
      <c r="H47" s="610" t="n"/>
      <c r="I47" s="610" t="n"/>
      <c r="J47" s="610" t="n"/>
      <c r="K47" s="610" t="n"/>
      <c r="L47" s="610" t="n"/>
      <c r="M47" s="610" t="n"/>
      <c r="N47" s="610" t="n"/>
      <c r="O47" s="610" t="n"/>
      <c r="P47" s="610" t="n"/>
      <c r="Q47" s="610" t="n"/>
      <c r="R47" s="610" t="n"/>
      <c r="S47" s="610" t="n"/>
      <c r="T47" s="610" t="n"/>
      <c r="U47" s="610" t="n"/>
      <c r="V47" s="610" t="n"/>
      <c r="W47" s="610" t="n"/>
      <c r="X47" s="610" t="n"/>
      <c r="Y47" s="610" t="n"/>
      <c r="Z47" s="610" t="n"/>
      <c r="AA47" s="610" t="n"/>
      <c r="AB47" s="610" t="n"/>
      <c r="AC47" s="610" t="n"/>
      <c r="AD47" s="610" t="n"/>
      <c r="AE47" s="610" t="n"/>
      <c r="AF47" s="610" t="n"/>
      <c r="AG47" s="610" t="n"/>
      <c r="AH47" s="610" t="n"/>
      <c r="AI47" s="610" t="n"/>
      <c r="AJ47" s="610" t="n"/>
      <c r="AK47" s="610" t="n"/>
      <c r="AL47" s="610" t="n"/>
      <c r="AM47" s="610" t="n"/>
    </row>
    <row r="48">
      <c r="A48" s="610" t="n"/>
      <c r="B48" s="610" t="n"/>
      <c r="C48" s="610" t="n"/>
      <c r="D48" s="610" t="n"/>
      <c r="E48" s="610" t="n"/>
      <c r="F48" s="610" t="n"/>
      <c r="G48" s="610" t="n"/>
      <c r="H48" s="610" t="n"/>
      <c r="I48" s="610" t="n"/>
      <c r="J48" s="610" t="n"/>
      <c r="K48" s="610" t="n"/>
      <c r="L48" s="610" t="n"/>
      <c r="M48" s="610" t="n"/>
      <c r="N48" s="610" t="n"/>
      <c r="O48" s="610" t="n"/>
      <c r="P48" s="610" t="n"/>
      <c r="Q48" s="610" t="n"/>
      <c r="R48" s="610" t="n"/>
      <c r="S48" s="610" t="n"/>
      <c r="T48" s="610" t="n"/>
      <c r="U48" s="610" t="n"/>
      <c r="V48" s="610" t="n"/>
      <c r="W48" s="610" t="n"/>
      <c r="X48" s="610" t="n"/>
      <c r="Y48" s="610" t="n"/>
      <c r="Z48" s="610" t="n"/>
      <c r="AA48" s="610" t="n"/>
      <c r="AB48" s="610" t="n"/>
      <c r="AC48" s="610" t="n"/>
      <c r="AD48" s="610" t="n"/>
      <c r="AE48" s="610" t="n"/>
      <c r="AF48" s="610" t="n"/>
      <c r="AG48" s="610" t="n"/>
      <c r="AH48" s="610" t="n"/>
      <c r="AI48" s="610" t="n"/>
      <c r="AJ48" s="610" t="n"/>
      <c r="AK48" s="610" t="n"/>
      <c r="AL48" s="610" t="n"/>
      <c r="AM48" s="610" t="n"/>
    </row>
    <row r="49">
      <c r="A49" s="610" t="n"/>
      <c r="B49" s="610" t="n"/>
      <c r="C49" s="610" t="n"/>
      <c r="D49" s="610" t="n"/>
      <c r="E49" s="610" t="n"/>
      <c r="F49" s="610" t="n"/>
      <c r="G49" s="610" t="n"/>
      <c r="H49" s="610" t="n"/>
      <c r="I49" s="610" t="n"/>
      <c r="J49" s="610" t="n"/>
      <c r="K49" s="610" t="n"/>
      <c r="L49" s="610" t="n"/>
      <c r="M49" s="610" t="n"/>
      <c r="N49" s="610" t="n"/>
      <c r="O49" s="610" t="n"/>
      <c r="P49" s="610" t="n"/>
      <c r="Q49" s="610" t="n"/>
      <c r="R49" s="610" t="n"/>
      <c r="S49" s="610" t="n"/>
      <c r="T49" s="610" t="n"/>
      <c r="U49" s="610" t="n"/>
      <c r="V49" s="610" t="n"/>
      <c r="W49" s="610" t="n"/>
      <c r="X49" s="610" t="n"/>
      <c r="Y49" s="610" t="n"/>
      <c r="Z49" s="610" t="n"/>
      <c r="AA49" s="610" t="n"/>
      <c r="AB49" s="610" t="n"/>
      <c r="AC49" s="610" t="n"/>
      <c r="AD49" s="610" t="n"/>
      <c r="AE49" s="610" t="n"/>
      <c r="AF49" s="610" t="n"/>
      <c r="AG49" s="610" t="n"/>
      <c r="AH49" s="610" t="n"/>
      <c r="AI49" s="610" t="n"/>
      <c r="AJ49" s="610" t="n"/>
      <c r="AK49" s="610" t="n"/>
      <c r="AL49" s="610" t="n"/>
      <c r="AM49" s="610" t="n"/>
    </row>
    <row r="50">
      <c r="A50" s="610" t="n"/>
      <c r="B50" s="610" t="n"/>
      <c r="C50" s="610" t="n"/>
      <c r="D50" s="610" t="n"/>
      <c r="E50" s="610" t="n"/>
      <c r="F50" s="610" t="n"/>
      <c r="G50" s="610" t="n"/>
      <c r="H50" s="610" t="n"/>
      <c r="I50" s="610" t="n"/>
      <c r="J50" s="610" t="n"/>
      <c r="K50" s="610" t="n"/>
      <c r="L50" s="610" t="n"/>
      <c r="M50" s="610" t="n"/>
      <c r="N50" s="610" t="n"/>
      <c r="O50" s="610" t="n"/>
      <c r="P50" s="610" t="n"/>
      <c r="Q50" s="610" t="n"/>
      <c r="R50" s="610" t="n"/>
      <c r="S50" s="610" t="n"/>
      <c r="T50" s="610" t="n"/>
      <c r="U50" s="610" t="n"/>
      <c r="V50" s="610" t="n"/>
      <c r="W50" s="610" t="n"/>
      <c r="X50" s="610" t="n"/>
      <c r="Y50" s="610" t="n"/>
      <c r="Z50" s="610" t="n"/>
      <c r="AA50" s="610" t="n"/>
      <c r="AB50" s="610" t="n"/>
      <c r="AC50" s="610" t="n"/>
      <c r="AD50" s="610" t="n"/>
      <c r="AE50" s="610" t="n"/>
      <c r="AF50" s="610" t="n"/>
      <c r="AG50" s="610" t="n"/>
      <c r="AH50" s="610" t="n"/>
      <c r="AI50" s="610" t="n"/>
      <c r="AJ50" s="610" t="n"/>
      <c r="AK50" s="610" t="n"/>
      <c r="AL50" s="610" t="n"/>
      <c r="AM50" s="610" t="n"/>
    </row>
    <row r="51">
      <c r="A51" s="610" t="n"/>
      <c r="B51" s="610" t="n"/>
      <c r="C51" s="610" t="n"/>
      <c r="D51" s="610" t="n"/>
      <c r="E51" s="610" t="n"/>
      <c r="F51" s="610" t="n"/>
      <c r="G51" s="610" t="n"/>
      <c r="H51" s="610" t="n"/>
      <c r="I51" s="610" t="n"/>
      <c r="J51" s="610" t="n"/>
      <c r="K51" s="610" t="n"/>
      <c r="L51" s="610" t="n"/>
      <c r="M51" s="610" t="n"/>
      <c r="N51" s="610" t="n"/>
      <c r="O51" s="610" t="n"/>
      <c r="P51" s="610" t="n"/>
      <c r="Q51" s="610" t="n"/>
      <c r="R51" s="610" t="n"/>
      <c r="S51" s="610" t="n"/>
      <c r="T51" s="610" t="n"/>
      <c r="U51" s="610" t="n"/>
      <c r="V51" s="610" t="n"/>
      <c r="W51" s="610" t="n"/>
      <c r="X51" s="610" t="n"/>
      <c r="Y51" s="610" t="n"/>
      <c r="Z51" s="610" t="n"/>
      <c r="AA51" s="610" t="n"/>
      <c r="AB51" s="610" t="n"/>
      <c r="AC51" s="610" t="n"/>
      <c r="AD51" s="610" t="n"/>
      <c r="AE51" s="610" t="n"/>
      <c r="AF51" s="610" t="n"/>
      <c r="AG51" s="610" t="n"/>
      <c r="AH51" s="610" t="n"/>
      <c r="AI51" s="610" t="n"/>
      <c r="AJ51" s="610" t="n"/>
      <c r="AK51" s="610" t="n"/>
      <c r="AL51" s="610" t="n"/>
      <c r="AM51" s="610" t="n"/>
    </row>
    <row r="52">
      <c r="A52" s="610" t="n"/>
      <c r="B52" s="610" t="n"/>
      <c r="C52" s="610" t="n"/>
      <c r="D52" s="610" t="n"/>
      <c r="E52" s="610" t="n"/>
      <c r="F52" s="610" t="n"/>
      <c r="G52" s="610" t="n"/>
      <c r="H52" s="610" t="n"/>
      <c r="I52" s="610" t="n"/>
      <c r="J52" s="610" t="n"/>
      <c r="K52" s="610" t="n"/>
      <c r="L52" s="610" t="n"/>
      <c r="M52" s="610" t="n"/>
      <c r="N52" s="610" t="n"/>
      <c r="O52" s="610" t="n"/>
      <c r="P52" s="610" t="n"/>
      <c r="Q52" s="610" t="n"/>
      <c r="R52" s="610" t="n"/>
      <c r="S52" s="610" t="n"/>
      <c r="T52" s="610" t="n"/>
      <c r="U52" s="610" t="n"/>
      <c r="V52" s="610" t="n"/>
      <c r="W52" s="610" t="n"/>
      <c r="X52" s="610" t="n"/>
      <c r="Y52" s="610" t="n"/>
      <c r="Z52" s="610" t="n"/>
      <c r="AA52" s="610" t="n"/>
      <c r="AB52" s="610" t="n"/>
      <c r="AC52" s="610" t="n"/>
      <c r="AD52" s="610" t="n"/>
      <c r="AE52" s="610" t="n"/>
      <c r="AF52" s="610" t="n"/>
      <c r="AG52" s="610" t="n"/>
      <c r="AH52" s="610" t="n"/>
      <c r="AI52" s="610" t="n"/>
      <c r="AJ52" s="610" t="n"/>
      <c r="AK52" s="610" t="n"/>
      <c r="AL52" s="610" t="n"/>
      <c r="AM52" s="610" t="n"/>
    </row>
    <row r="53">
      <c r="A53" s="610" t="n"/>
      <c r="B53" s="610" t="n"/>
      <c r="C53" s="610" t="n"/>
      <c r="D53" s="610" t="n"/>
      <c r="E53" s="610" t="n"/>
      <c r="F53" s="610" t="n"/>
      <c r="G53" s="610" t="n"/>
      <c r="H53" s="610" t="n"/>
      <c r="I53" s="610" t="n"/>
      <c r="J53" s="610" t="n"/>
      <c r="K53" s="610" t="n"/>
      <c r="L53" s="610" t="n"/>
      <c r="M53" s="610" t="n"/>
      <c r="N53" s="610" t="n"/>
      <c r="O53" s="610" t="n"/>
      <c r="P53" s="610" t="n"/>
      <c r="Q53" s="610" t="n"/>
      <c r="R53" s="610" t="n"/>
      <c r="S53" s="610" t="n"/>
      <c r="T53" s="610" t="n"/>
      <c r="U53" s="610" t="n"/>
      <c r="V53" s="610" t="n"/>
      <c r="W53" s="610" t="n"/>
      <c r="X53" s="610" t="n"/>
      <c r="Y53" s="610" t="n"/>
      <c r="Z53" s="610" t="n"/>
      <c r="AA53" s="610" t="n"/>
      <c r="AB53" s="610" t="n"/>
      <c r="AC53" s="610" t="n"/>
      <c r="AD53" s="610" t="n"/>
      <c r="AE53" s="610" t="n"/>
      <c r="AF53" s="610" t="n"/>
      <c r="AG53" s="610" t="n"/>
      <c r="AH53" s="610" t="n"/>
      <c r="AI53" s="610" t="n"/>
      <c r="AJ53" s="610" t="n"/>
      <c r="AK53" s="610" t="n"/>
      <c r="AL53" s="610" t="n"/>
      <c r="AM53" s="610" t="n"/>
    </row>
    <row r="54">
      <c r="A54" s="610" t="n"/>
      <c r="B54" s="610" t="n"/>
      <c r="C54" s="610" t="n"/>
      <c r="D54" s="610" t="n"/>
      <c r="E54" s="610" t="n"/>
      <c r="F54" s="610" t="n"/>
      <c r="G54" s="610" t="n"/>
      <c r="H54" s="610" t="n"/>
      <c r="I54" s="610" t="n"/>
      <c r="J54" s="610" t="n"/>
      <c r="K54" s="610" t="n"/>
      <c r="L54" s="610" t="n"/>
      <c r="M54" s="610" t="n"/>
      <c r="N54" s="610" t="n"/>
      <c r="O54" s="610" t="n"/>
      <c r="P54" s="610" t="n"/>
      <c r="Q54" s="610" t="n"/>
      <c r="R54" s="610" t="n"/>
      <c r="S54" s="610" t="n"/>
      <c r="T54" s="610" t="n"/>
      <c r="U54" s="610" t="n"/>
      <c r="V54" s="610" t="n"/>
      <c r="W54" s="610" t="n"/>
      <c r="X54" s="610" t="n"/>
      <c r="Y54" s="610" t="n"/>
      <c r="Z54" s="610" t="n"/>
      <c r="AA54" s="610" t="n"/>
      <c r="AB54" s="610" t="n"/>
      <c r="AC54" s="610" t="n"/>
      <c r="AD54" s="610" t="n"/>
      <c r="AE54" s="610" t="n"/>
      <c r="AF54" s="610" t="n"/>
      <c r="AG54" s="610" t="n"/>
      <c r="AH54" s="610" t="n"/>
      <c r="AI54" s="610" t="n"/>
      <c r="AJ54" s="610" t="n"/>
      <c r="AK54" s="610" t="n"/>
      <c r="AL54" s="610" t="n"/>
      <c r="AM54" s="610" t="n"/>
    </row>
    <row r="55">
      <c r="A55" s="610" t="n"/>
      <c r="B55" s="610" t="n"/>
      <c r="C55" s="610" t="n"/>
      <c r="D55" s="610" t="n"/>
      <c r="E55" s="610" t="n"/>
      <c r="F55" s="610" t="n"/>
      <c r="G55" s="610" t="n"/>
      <c r="H55" s="610" t="n"/>
      <c r="I55" s="610" t="n"/>
      <c r="J55" s="610" t="n"/>
      <c r="K55" s="610" t="n"/>
      <c r="L55" s="610" t="n"/>
      <c r="M55" s="610" t="n"/>
      <c r="N55" s="610" t="n"/>
      <c r="O55" s="610" t="n"/>
      <c r="P55" s="610" t="n"/>
      <c r="Q55" s="610" t="n"/>
      <c r="R55" s="610" t="n"/>
      <c r="S55" s="610" t="n"/>
      <c r="T55" s="610" t="n"/>
      <c r="U55" s="610" t="n"/>
      <c r="V55" s="610" t="n"/>
      <c r="W55" s="610" t="n"/>
      <c r="X55" s="610" t="n"/>
      <c r="Y55" s="610" t="n"/>
      <c r="Z55" s="610" t="n"/>
      <c r="AA55" s="610" t="n"/>
      <c r="AB55" s="610" t="n"/>
      <c r="AC55" s="610" t="n"/>
      <c r="AD55" s="610" t="n"/>
      <c r="AE55" s="610" t="n"/>
      <c r="AF55" s="610" t="n"/>
      <c r="AG55" s="610" t="n"/>
      <c r="AH55" s="610" t="n"/>
      <c r="AI55" s="610" t="n"/>
      <c r="AJ55" s="610" t="n"/>
      <c r="AK55" s="610" t="n"/>
      <c r="AL55" s="610" t="n"/>
      <c r="AM55" s="610" t="n"/>
    </row>
    <row r="56">
      <c r="A56" s="610" t="n"/>
      <c r="B56" s="610" t="n"/>
      <c r="C56" s="610" t="n"/>
      <c r="D56" s="610" t="n"/>
      <c r="E56" s="610" t="n"/>
      <c r="F56" s="610" t="n"/>
      <c r="G56" s="610" t="n"/>
      <c r="H56" s="610" t="n"/>
      <c r="I56" s="610" t="n"/>
      <c r="J56" s="610" t="n"/>
      <c r="K56" s="610" t="n"/>
      <c r="L56" s="610" t="n"/>
      <c r="M56" s="610" t="n"/>
      <c r="N56" s="610" t="n"/>
      <c r="O56" s="610" t="n"/>
      <c r="P56" s="610" t="n"/>
      <c r="Q56" s="610" t="n"/>
      <c r="R56" s="610" t="n"/>
      <c r="S56" s="610" t="n"/>
      <c r="T56" s="610" t="n"/>
      <c r="U56" s="610" t="n"/>
      <c r="V56" s="610" t="n"/>
      <c r="W56" s="610" t="n"/>
      <c r="X56" s="610" t="n"/>
      <c r="Y56" s="610" t="n"/>
      <c r="Z56" s="610" t="n"/>
      <c r="AA56" s="610" t="n"/>
      <c r="AB56" s="610" t="n"/>
      <c r="AC56" s="610" t="n"/>
      <c r="AD56" s="610" t="n"/>
      <c r="AE56" s="610" t="n"/>
      <c r="AF56" s="610" t="n"/>
      <c r="AG56" s="610" t="n"/>
      <c r="AH56" s="610" t="n"/>
      <c r="AI56" s="610" t="n"/>
      <c r="AJ56" s="610" t="n"/>
      <c r="AK56" s="610" t="n"/>
      <c r="AL56" s="610" t="n"/>
      <c r="AM56" s="610" t="n"/>
    </row>
    <row r="57">
      <c r="A57" s="610" t="n"/>
      <c r="B57" s="610" t="n"/>
      <c r="C57" s="610" t="n"/>
      <c r="D57" s="610" t="n"/>
      <c r="E57" s="610" t="n"/>
      <c r="F57" s="610" t="n"/>
      <c r="G57" s="610" t="n"/>
      <c r="H57" s="610" t="n"/>
      <c r="I57" s="610" t="n"/>
      <c r="J57" s="610" t="n"/>
      <c r="K57" s="610" t="n"/>
      <c r="L57" s="610" t="n"/>
      <c r="M57" s="610" t="n"/>
      <c r="N57" s="610" t="n"/>
      <c r="O57" s="610" t="n"/>
      <c r="P57" s="610" t="n"/>
      <c r="Q57" s="610" t="n"/>
      <c r="R57" s="610" t="n"/>
      <c r="S57" s="610" t="n"/>
      <c r="T57" s="610" t="n"/>
      <c r="U57" s="610" t="n"/>
      <c r="V57" s="610" t="n"/>
      <c r="W57" s="610" t="n"/>
      <c r="X57" s="610" t="n"/>
      <c r="Y57" s="610" t="n"/>
      <c r="Z57" s="610" t="n"/>
      <c r="AA57" s="610" t="n"/>
      <c r="AB57" s="610" t="n"/>
      <c r="AC57" s="610" t="n"/>
      <c r="AD57" s="610" t="n"/>
      <c r="AE57" s="610" t="n"/>
      <c r="AF57" s="610" t="n"/>
      <c r="AG57" s="610" t="n"/>
      <c r="AH57" s="610" t="n"/>
      <c r="AI57" s="610" t="n"/>
      <c r="AJ57" s="610" t="n"/>
      <c r="AK57" s="610" t="n"/>
      <c r="AL57" s="610" t="n"/>
      <c r="AM57" s="610" t="n"/>
    </row>
    <row r="58">
      <c r="A58" s="610" t="n"/>
      <c r="B58" s="610" t="n"/>
      <c r="C58" s="610" t="n"/>
      <c r="D58" s="610" t="n"/>
      <c r="E58" s="610" t="n"/>
      <c r="F58" s="610" t="n"/>
      <c r="G58" s="610" t="n"/>
      <c r="H58" s="610" t="n"/>
      <c r="I58" s="610" t="n"/>
      <c r="J58" s="610" t="n"/>
      <c r="K58" s="610" t="n"/>
      <c r="L58" s="610" t="n"/>
      <c r="M58" s="610" t="n"/>
      <c r="N58" s="610" t="n"/>
      <c r="O58" s="610" t="n"/>
      <c r="P58" s="610" t="n"/>
      <c r="Q58" s="610" t="n"/>
      <c r="R58" s="610" t="n"/>
      <c r="S58" s="610" t="n"/>
      <c r="T58" s="610" t="n"/>
      <c r="U58" s="610" t="n"/>
      <c r="V58" s="610" t="n"/>
      <c r="W58" s="610" t="n"/>
      <c r="X58" s="610" t="n"/>
      <c r="Y58" s="610" t="n"/>
      <c r="Z58" s="610" t="n"/>
      <c r="AA58" s="610" t="n"/>
      <c r="AB58" s="610" t="n"/>
      <c r="AC58" s="610" t="n"/>
      <c r="AD58" s="610" t="n"/>
      <c r="AE58" s="610" t="n"/>
      <c r="AF58" s="610" t="n"/>
      <c r="AG58" s="610" t="n"/>
      <c r="AH58" s="610" t="n"/>
      <c r="AI58" s="610" t="n"/>
      <c r="AJ58" s="610" t="n"/>
      <c r="AK58" s="610" t="n"/>
      <c r="AL58" s="610" t="n"/>
      <c r="AM58" s="610" t="n"/>
    </row>
    <row r="59">
      <c r="A59" s="610" t="n"/>
      <c r="B59" s="610" t="n"/>
      <c r="C59" s="610" t="n"/>
      <c r="D59" s="610" t="n"/>
      <c r="E59" s="610" t="n"/>
      <c r="F59" s="610" t="n"/>
      <c r="G59" s="610" t="n"/>
      <c r="H59" s="610" t="n"/>
      <c r="I59" s="610" t="n"/>
      <c r="J59" s="610" t="n"/>
      <c r="K59" s="610" t="n"/>
      <c r="L59" s="610" t="n"/>
      <c r="M59" s="610" t="n"/>
      <c r="N59" s="610" t="n"/>
      <c r="O59" s="610" t="n"/>
      <c r="P59" s="610" t="n"/>
      <c r="Q59" s="610" t="n"/>
      <c r="R59" s="610" t="n"/>
      <c r="S59" s="610" t="n"/>
      <c r="T59" s="610" t="n"/>
      <c r="U59" s="610" t="n"/>
      <c r="V59" s="610" t="n"/>
      <c r="W59" s="610" t="n"/>
      <c r="X59" s="610" t="n"/>
      <c r="Y59" s="610" t="n"/>
      <c r="Z59" s="610" t="n"/>
      <c r="AA59" s="610" t="n"/>
      <c r="AB59" s="610" t="n"/>
      <c r="AC59" s="610" t="n"/>
      <c r="AD59" s="610" t="n"/>
      <c r="AE59" s="610" t="n"/>
      <c r="AF59" s="610" t="n"/>
      <c r="AG59" s="610" t="n"/>
      <c r="AH59" s="610" t="n"/>
      <c r="AI59" s="610" t="n"/>
      <c r="AJ59" s="610" t="n"/>
      <c r="AK59" s="610" t="n"/>
      <c r="AL59" s="610" t="n"/>
      <c r="AM59" s="610" t="n"/>
    </row>
    <row r="60">
      <c r="A60" s="610" t="n"/>
      <c r="B60" s="610" t="n"/>
      <c r="C60" s="610" t="n"/>
      <c r="D60" s="610" t="n"/>
      <c r="E60" s="610" t="n"/>
      <c r="F60" s="610" t="n"/>
      <c r="G60" s="610" t="n"/>
      <c r="H60" s="610" t="n"/>
      <c r="I60" s="610" t="n"/>
      <c r="J60" s="610" t="n"/>
      <c r="K60" s="610" t="n"/>
      <c r="L60" s="610" t="n"/>
      <c r="M60" s="610" t="n"/>
      <c r="N60" s="610" t="n"/>
      <c r="O60" s="610" t="n"/>
      <c r="P60" s="610" t="n"/>
      <c r="Q60" s="610" t="n"/>
      <c r="R60" s="610" t="n"/>
      <c r="S60" s="610" t="n"/>
      <c r="T60" s="610" t="n"/>
      <c r="U60" s="610" t="n"/>
      <c r="V60" s="610" t="n"/>
      <c r="W60" s="610" t="n"/>
      <c r="X60" s="610" t="n"/>
      <c r="Y60" s="610" t="n"/>
      <c r="Z60" s="610" t="n"/>
      <c r="AA60" s="610" t="n"/>
      <c r="AB60" s="610" t="n"/>
      <c r="AC60" s="610" t="n"/>
      <c r="AD60" s="610" t="n"/>
      <c r="AE60" s="610" t="n"/>
      <c r="AF60" s="610" t="n"/>
      <c r="AG60" s="610" t="n"/>
      <c r="AH60" s="610" t="n"/>
      <c r="AI60" s="610" t="n"/>
      <c r="AJ60" s="610" t="n"/>
      <c r="AK60" s="610" t="n"/>
      <c r="AL60" s="610" t="n"/>
      <c r="AM60" s="610" t="n"/>
    </row>
    <row r="61">
      <c r="A61" s="610" t="n"/>
      <c r="B61" s="610" t="n"/>
      <c r="C61" s="610" t="n"/>
      <c r="D61" s="610" t="n"/>
      <c r="E61" s="610" t="n"/>
      <c r="F61" s="610" t="n"/>
      <c r="G61" s="610" t="n"/>
      <c r="H61" s="610" t="n"/>
      <c r="I61" s="610" t="n"/>
      <c r="J61" s="610" t="n"/>
      <c r="K61" s="610" t="n"/>
      <c r="L61" s="610" t="n"/>
      <c r="M61" s="610" t="n"/>
      <c r="N61" s="610" t="n"/>
      <c r="O61" s="610" t="n"/>
      <c r="P61" s="610" t="n"/>
      <c r="Q61" s="610" t="n"/>
      <c r="R61" s="610" t="n"/>
      <c r="S61" s="610" t="n"/>
      <c r="T61" s="610" t="n"/>
      <c r="U61" s="610" t="n"/>
      <c r="V61" s="610" t="n"/>
      <c r="W61" s="610" t="n"/>
      <c r="X61" s="610" t="n"/>
      <c r="Y61" s="610" t="n"/>
      <c r="Z61" s="610" t="n"/>
      <c r="AA61" s="610" t="n"/>
      <c r="AB61" s="610" t="n"/>
      <c r="AC61" s="610" t="n"/>
      <c r="AD61" s="610" t="n"/>
      <c r="AE61" s="610" t="n"/>
      <c r="AF61" s="610" t="n"/>
      <c r="AG61" s="610" t="n"/>
      <c r="AH61" s="610" t="n"/>
      <c r="AI61" s="610" t="n"/>
      <c r="AJ61" s="610" t="n"/>
      <c r="AK61" s="610" t="n"/>
      <c r="AL61" s="610" t="n"/>
      <c r="AM61" s="610" t="n"/>
    </row>
    <row r="62">
      <c r="A62" s="610" t="n"/>
      <c r="B62" s="610" t="n"/>
      <c r="C62" s="610" t="n"/>
      <c r="D62" s="610" t="n"/>
      <c r="E62" s="610" t="n"/>
      <c r="F62" s="610" t="n"/>
      <c r="G62" s="610" t="n"/>
      <c r="H62" s="610" t="n"/>
      <c r="I62" s="610" t="n"/>
      <c r="J62" s="610" t="n"/>
      <c r="K62" s="610" t="n"/>
      <c r="L62" s="610" t="n"/>
      <c r="M62" s="610" t="n"/>
      <c r="N62" s="610" t="n"/>
      <c r="O62" s="610" t="n"/>
      <c r="P62" s="610" t="n"/>
      <c r="Q62" s="610" t="n"/>
      <c r="R62" s="610" t="n"/>
      <c r="S62" s="610" t="n"/>
      <c r="T62" s="610" t="n"/>
      <c r="U62" s="610" t="n"/>
      <c r="V62" s="610" t="n"/>
      <c r="W62" s="610" t="n"/>
      <c r="X62" s="610" t="n"/>
      <c r="Y62" s="610" t="n"/>
      <c r="Z62" s="610" t="n"/>
      <c r="AA62" s="610" t="n"/>
      <c r="AB62" s="610" t="n"/>
      <c r="AC62" s="610" t="n"/>
      <c r="AD62" s="610" t="n"/>
      <c r="AE62" s="610" t="n"/>
      <c r="AF62" s="610" t="n"/>
      <c r="AG62" s="610" t="n"/>
      <c r="AH62" s="610" t="n"/>
      <c r="AI62" s="610" t="n"/>
      <c r="AJ62" s="610" t="n"/>
      <c r="AK62" s="610" t="n"/>
      <c r="AL62" s="610" t="n"/>
      <c r="AM62" s="610" t="n"/>
    </row>
    <row r="63">
      <c r="A63" s="610" t="n"/>
      <c r="B63" s="610" t="n"/>
      <c r="C63" s="610" t="n"/>
      <c r="D63" s="610" t="n"/>
      <c r="E63" s="610" t="n"/>
      <c r="F63" s="610" t="n"/>
      <c r="G63" s="610" t="n"/>
      <c r="H63" s="610" t="n"/>
      <c r="I63" s="610" t="n"/>
      <c r="J63" s="610" t="n"/>
      <c r="K63" s="610" t="n"/>
      <c r="L63" s="610" t="n"/>
      <c r="M63" s="610" t="n"/>
      <c r="N63" s="610" t="n"/>
      <c r="O63" s="610" t="n"/>
      <c r="P63" s="610" t="n"/>
      <c r="Q63" s="610" t="n"/>
      <c r="R63" s="610" t="n"/>
      <c r="S63" s="610" t="n"/>
      <c r="T63" s="610" t="n"/>
      <c r="U63" s="610" t="n"/>
      <c r="V63" s="610" t="n"/>
      <c r="W63" s="610" t="n"/>
      <c r="X63" s="610" t="n"/>
      <c r="Y63" s="610" t="n"/>
      <c r="Z63" s="610" t="n"/>
      <c r="AA63" s="610" t="n"/>
      <c r="AB63" s="610" t="n"/>
      <c r="AC63" s="610" t="n"/>
      <c r="AD63" s="610" t="n"/>
      <c r="AE63" s="610" t="n"/>
      <c r="AF63" s="610" t="n"/>
      <c r="AG63" s="610" t="n"/>
      <c r="AH63" s="610" t="n"/>
      <c r="AI63" s="610" t="n"/>
      <c r="AJ63" s="610" t="n"/>
      <c r="AK63" s="610" t="n"/>
      <c r="AL63" s="610" t="n"/>
      <c r="AM63" s="610" t="n"/>
    </row>
    <row r="64">
      <c r="A64" s="610" t="n"/>
      <c r="B64" s="610" t="n"/>
      <c r="C64" s="610" t="n"/>
      <c r="D64" s="610" t="n"/>
      <c r="E64" s="610" t="n"/>
      <c r="F64" s="610" t="n"/>
      <c r="G64" s="610" t="n"/>
      <c r="H64" s="610" t="n"/>
      <c r="I64" s="610" t="n"/>
      <c r="J64" s="610" t="n"/>
      <c r="K64" s="610" t="n"/>
      <c r="L64" s="610" t="n"/>
      <c r="M64" s="610" t="n"/>
      <c r="N64" s="610" t="n"/>
      <c r="O64" s="610" t="n"/>
      <c r="P64" s="610" t="n"/>
      <c r="Q64" s="610" t="n"/>
      <c r="R64" s="610" t="n"/>
      <c r="S64" s="610" t="n"/>
      <c r="T64" s="610" t="n"/>
      <c r="U64" s="610" t="n"/>
      <c r="V64" s="610" t="n"/>
      <c r="W64" s="610" t="n"/>
      <c r="X64" s="610" t="n"/>
      <c r="Y64" s="610" t="n"/>
      <c r="Z64" s="610" t="n"/>
      <c r="AA64" s="610" t="n"/>
      <c r="AB64" s="610" t="n"/>
      <c r="AC64" s="610" t="n"/>
      <c r="AD64" s="610" t="n"/>
      <c r="AE64" s="610" t="n"/>
      <c r="AF64" s="610" t="n"/>
      <c r="AG64" s="610" t="n"/>
      <c r="AH64" s="610" t="n"/>
      <c r="AI64" s="610" t="n"/>
      <c r="AJ64" s="610" t="n"/>
      <c r="AK64" s="610" t="n"/>
      <c r="AL64" s="610" t="n"/>
      <c r="AM64" s="610" t="n"/>
    </row>
    <row r="65">
      <c r="A65" s="610" t="n"/>
      <c r="B65" s="610" t="n"/>
      <c r="C65" s="610" t="n"/>
      <c r="D65" s="610" t="n"/>
      <c r="E65" s="610" t="n"/>
      <c r="F65" s="610" t="n"/>
      <c r="G65" s="610" t="n"/>
      <c r="H65" s="610" t="n"/>
      <c r="I65" s="610" t="n"/>
      <c r="J65" s="610" t="n"/>
      <c r="K65" s="610" t="n"/>
      <c r="L65" s="610" t="n"/>
      <c r="M65" s="610" t="n"/>
      <c r="N65" s="610" t="n"/>
      <c r="O65" s="610" t="n"/>
      <c r="P65" s="610" t="n"/>
      <c r="Q65" s="610" t="n"/>
      <c r="R65" s="610" t="n"/>
      <c r="S65" s="610" t="n"/>
      <c r="T65" s="610" t="n"/>
      <c r="U65" s="610" t="n"/>
      <c r="V65" s="610" t="n"/>
      <c r="W65" s="610" t="n"/>
      <c r="X65" s="610" t="n"/>
      <c r="Y65" s="610" t="n"/>
      <c r="Z65" s="610" t="n"/>
      <c r="AA65" s="610" t="n"/>
      <c r="AB65" s="610" t="n"/>
      <c r="AC65" s="610" t="n"/>
      <c r="AD65" s="610" t="n"/>
      <c r="AE65" s="610" t="n"/>
      <c r="AF65" s="610" t="n"/>
      <c r="AG65" s="610" t="n"/>
      <c r="AH65" s="610" t="n"/>
      <c r="AI65" s="610" t="n"/>
      <c r="AJ65" s="610" t="n"/>
      <c r="AK65" s="610" t="n"/>
      <c r="AL65" s="610" t="n"/>
      <c r="AM65" s="610" t="n"/>
    </row>
    <row r="66">
      <c r="A66" s="610" t="n"/>
      <c r="B66" s="610" t="n"/>
      <c r="C66" s="610" t="n"/>
      <c r="D66" s="610" t="n"/>
      <c r="E66" s="610" t="n"/>
      <c r="F66" s="610" t="n"/>
      <c r="G66" s="610" t="n"/>
      <c r="H66" s="610" t="n"/>
      <c r="I66" s="610" t="n"/>
      <c r="J66" s="610" t="n"/>
      <c r="K66" s="610" t="n"/>
      <c r="L66" s="610" t="n"/>
      <c r="M66" s="610" t="n"/>
      <c r="N66" s="610" t="n"/>
      <c r="O66" s="610" t="n"/>
      <c r="P66" s="610" t="n"/>
      <c r="Q66" s="610" t="n"/>
      <c r="R66" s="610" t="n"/>
      <c r="S66" s="610" t="n"/>
      <c r="T66" s="610" t="n"/>
      <c r="U66" s="610" t="n"/>
      <c r="V66" s="610" t="n"/>
      <c r="W66" s="610" t="n"/>
      <c r="X66" s="610" t="n"/>
      <c r="Y66" s="610" t="n"/>
      <c r="Z66" s="610" t="n"/>
      <c r="AA66" s="610" t="n"/>
      <c r="AB66" s="610" t="n"/>
      <c r="AC66" s="610" t="n"/>
      <c r="AD66" s="610" t="n"/>
      <c r="AE66" s="610" t="n"/>
      <c r="AF66" s="610" t="n"/>
      <c r="AG66" s="610" t="n"/>
      <c r="AH66" s="610" t="n"/>
      <c r="AI66" s="610" t="n"/>
      <c r="AJ66" s="610" t="n"/>
      <c r="AK66" s="610" t="n"/>
      <c r="AL66" s="610" t="n"/>
      <c r="AM66" s="610" t="n"/>
    </row>
    <row r="67">
      <c r="A67" s="610" t="n"/>
      <c r="B67" s="610" t="n"/>
      <c r="C67" s="610" t="n"/>
      <c r="D67" s="610" t="n"/>
      <c r="E67" s="610" t="n"/>
      <c r="F67" s="610" t="n"/>
      <c r="G67" s="610" t="n"/>
      <c r="H67" s="610" t="n"/>
      <c r="I67" s="610" t="n"/>
      <c r="J67" s="610" t="n"/>
      <c r="K67" s="610" t="n"/>
      <c r="L67" s="610" t="n"/>
      <c r="M67" s="610" t="n"/>
      <c r="N67" s="610" t="n"/>
      <c r="O67" s="610" t="n"/>
      <c r="P67" s="610" t="n"/>
      <c r="Q67" s="610" t="n"/>
      <c r="R67" s="610" t="n"/>
      <c r="S67" s="610" t="n"/>
      <c r="T67" s="610" t="n"/>
      <c r="U67" s="610" t="n"/>
      <c r="V67" s="610" t="n"/>
      <c r="W67" s="610" t="n"/>
      <c r="X67" s="610" t="n"/>
      <c r="Y67" s="610" t="n"/>
      <c r="Z67" s="610" t="n"/>
      <c r="AA67" s="610" t="n"/>
      <c r="AB67" s="610" t="n"/>
      <c r="AC67" s="610" t="n"/>
      <c r="AD67" s="610" t="n"/>
      <c r="AE67" s="610" t="n"/>
      <c r="AF67" s="610" t="n"/>
      <c r="AG67" s="610" t="n"/>
      <c r="AH67" s="610" t="n"/>
      <c r="AI67" s="610" t="n"/>
      <c r="AJ67" s="610" t="n"/>
      <c r="AK67" s="610" t="n"/>
      <c r="AL67" s="610" t="n"/>
      <c r="AM67" s="610" t="n"/>
    </row>
    <row r="68">
      <c r="A68" s="610" t="n"/>
      <c r="B68" s="610" t="n"/>
      <c r="C68" s="610" t="n"/>
      <c r="D68" s="610" t="n"/>
      <c r="E68" s="610" t="n"/>
      <c r="F68" s="610" t="n"/>
      <c r="G68" s="610" t="n"/>
      <c r="H68" s="610" t="n"/>
      <c r="I68" s="610" t="n"/>
      <c r="J68" s="610" t="n"/>
      <c r="K68" s="610" t="n"/>
      <c r="L68" s="610" t="n"/>
      <c r="M68" s="610" t="n"/>
      <c r="N68" s="610" t="n"/>
      <c r="O68" s="610" t="n"/>
      <c r="P68" s="610" t="n"/>
      <c r="Q68" s="610" t="n"/>
      <c r="R68" s="610" t="n"/>
      <c r="S68" s="610" t="n"/>
      <c r="T68" s="610" t="n"/>
      <c r="U68" s="610" t="n"/>
      <c r="V68" s="610" t="n"/>
      <c r="W68" s="610" t="n"/>
      <c r="X68" s="610" t="n"/>
      <c r="Y68" s="610" t="n"/>
      <c r="Z68" s="610" t="n"/>
      <c r="AA68" s="610" t="n"/>
      <c r="AB68" s="610" t="n"/>
      <c r="AC68" s="610" t="n"/>
      <c r="AD68" s="610" t="n"/>
      <c r="AE68" s="610" t="n"/>
      <c r="AF68" s="610" t="n"/>
      <c r="AG68" s="610" t="n"/>
      <c r="AH68" s="610" t="n"/>
      <c r="AI68" s="610" t="n"/>
      <c r="AJ68" s="610" t="n"/>
      <c r="AK68" s="610" t="n"/>
      <c r="AL68" s="610" t="n"/>
      <c r="AM68" s="610" t="n"/>
    </row>
    <row r="69">
      <c r="A69" s="610" t="n"/>
      <c r="B69" s="610" t="n"/>
      <c r="C69" s="610" t="n"/>
      <c r="D69" s="610" t="n"/>
      <c r="E69" s="610" t="n"/>
      <c r="F69" s="610" t="n"/>
      <c r="G69" s="610" t="n"/>
      <c r="H69" s="610" t="n"/>
      <c r="I69" s="610" t="n"/>
      <c r="J69" s="610" t="n"/>
      <c r="K69" s="610" t="n"/>
      <c r="L69" s="610" t="n"/>
      <c r="M69" s="610" t="n"/>
      <c r="N69" s="610" t="n"/>
      <c r="O69" s="610" t="n"/>
      <c r="P69" s="610" t="n"/>
      <c r="Q69" s="610" t="n"/>
      <c r="R69" s="610" t="n"/>
      <c r="S69" s="610" t="n"/>
      <c r="T69" s="610" t="n"/>
      <c r="U69" s="610" t="n"/>
      <c r="V69" s="610" t="n"/>
      <c r="W69" s="610" t="n"/>
      <c r="X69" s="610" t="n"/>
      <c r="Y69" s="610" t="n"/>
      <c r="Z69" s="610" t="n"/>
      <c r="AA69" s="610" t="n"/>
      <c r="AB69" s="610" t="n"/>
      <c r="AC69" s="610" t="n"/>
      <c r="AD69" s="610" t="n"/>
      <c r="AE69" s="610" t="n"/>
      <c r="AF69" s="610" t="n"/>
      <c r="AG69" s="610" t="n"/>
      <c r="AH69" s="610" t="n"/>
      <c r="AI69" s="610" t="n"/>
      <c r="AJ69" s="610" t="n"/>
      <c r="AK69" s="610" t="n"/>
      <c r="AL69" s="610" t="n"/>
      <c r="AM69" s="610" t="n"/>
    </row>
    <row r="70">
      <c r="A70" s="610" t="n"/>
      <c r="B70" s="610" t="n"/>
      <c r="C70" s="610" t="n"/>
      <c r="D70" s="610" t="n"/>
      <c r="E70" s="610" t="n"/>
      <c r="F70" s="610" t="n"/>
      <c r="G70" s="610" t="n"/>
      <c r="H70" s="610" t="n"/>
      <c r="I70" s="610" t="n"/>
      <c r="J70" s="610" t="n"/>
      <c r="K70" s="610" t="n"/>
      <c r="L70" s="610" t="n"/>
      <c r="M70" s="610" t="n"/>
      <c r="N70" s="610" t="n"/>
      <c r="O70" s="610" t="n"/>
      <c r="P70" s="610" t="n"/>
      <c r="Q70" s="610" t="n"/>
      <c r="R70" s="610" t="n"/>
      <c r="S70" s="610" t="n"/>
      <c r="T70" s="610" t="n"/>
      <c r="U70" s="610" t="n"/>
      <c r="V70" s="610" t="n"/>
      <c r="W70" s="610" t="n"/>
      <c r="X70" s="610" t="n"/>
      <c r="Y70" s="610" t="n"/>
      <c r="Z70" s="610" t="n"/>
      <c r="AA70" s="610" t="n"/>
      <c r="AB70" s="610" t="n"/>
      <c r="AC70" s="610" t="n"/>
      <c r="AD70" s="610" t="n"/>
      <c r="AE70" s="610" t="n"/>
      <c r="AF70" s="610" t="n"/>
      <c r="AG70" s="610" t="n"/>
      <c r="AH70" s="610" t="n"/>
      <c r="AI70" s="610" t="n"/>
      <c r="AJ70" s="610" t="n"/>
      <c r="AK70" s="610" t="n"/>
      <c r="AL70" s="610" t="n"/>
      <c r="AM70" s="610" t="n"/>
    </row>
    <row r="71">
      <c r="A71" s="610" t="n"/>
      <c r="B71" s="610" t="n"/>
      <c r="C71" s="610" t="n"/>
      <c r="D71" s="610" t="n"/>
      <c r="E71" s="610" t="n"/>
      <c r="F71" s="610" t="n"/>
      <c r="G71" s="610" t="n"/>
      <c r="H71" s="610" t="n"/>
      <c r="I71" s="610" t="n"/>
      <c r="J71" s="610" t="n"/>
      <c r="K71" s="610" t="n"/>
      <c r="L71" s="610" t="n"/>
      <c r="M71" s="610" t="n"/>
      <c r="N71" s="610" t="n"/>
      <c r="O71" s="610" t="n"/>
      <c r="P71" s="610" t="n"/>
      <c r="Q71" s="610" t="n"/>
      <c r="R71" s="610" t="n"/>
      <c r="S71" s="610" t="n"/>
      <c r="T71" s="610" t="n"/>
      <c r="U71" s="610" t="n"/>
      <c r="V71" s="610" t="n"/>
      <c r="W71" s="610" t="n"/>
      <c r="X71" s="610" t="n"/>
      <c r="Y71" s="610" t="n"/>
      <c r="Z71" s="610" t="n"/>
      <c r="AA71" s="610" t="n"/>
      <c r="AB71" s="610" t="n"/>
      <c r="AC71" s="610" t="n"/>
      <c r="AD71" s="610" t="n"/>
      <c r="AE71" s="610" t="n"/>
      <c r="AF71" s="610" t="n"/>
      <c r="AG71" s="610" t="n"/>
      <c r="AH71" s="610" t="n"/>
      <c r="AI71" s="610" t="n"/>
      <c r="AJ71" s="610" t="n"/>
      <c r="AK71" s="610" t="n"/>
      <c r="AL71" s="610" t="n"/>
      <c r="AM71" s="610" t="n"/>
    </row>
    <row r="72">
      <c r="A72" s="610" t="n"/>
      <c r="B72" s="610" t="n"/>
      <c r="C72" s="610" t="n"/>
      <c r="D72" s="610" t="n"/>
      <c r="E72" s="610" t="n"/>
      <c r="F72" s="610" t="n"/>
      <c r="G72" s="610" t="n"/>
      <c r="H72" s="610" t="n"/>
      <c r="I72" s="610" t="n"/>
      <c r="J72" s="610" t="n"/>
      <c r="K72" s="610" t="n"/>
      <c r="L72" s="610" t="n"/>
      <c r="M72" s="610" t="n"/>
      <c r="N72" s="610" t="n"/>
      <c r="O72" s="610" t="n"/>
      <c r="P72" s="610" t="n"/>
      <c r="Q72" s="610" t="n"/>
      <c r="R72" s="610" t="n"/>
      <c r="S72" s="610" t="n"/>
      <c r="T72" s="610" t="n"/>
      <c r="U72" s="610" t="n"/>
      <c r="V72" s="610" t="n"/>
      <c r="W72" s="610" t="n"/>
      <c r="X72" s="610" t="n"/>
      <c r="Y72" s="610" t="n"/>
      <c r="Z72" s="610" t="n"/>
      <c r="AA72" s="610" t="n"/>
      <c r="AB72" s="610" t="n"/>
      <c r="AC72" s="610" t="n"/>
      <c r="AD72" s="610" t="n"/>
      <c r="AE72" s="610" t="n"/>
      <c r="AF72" s="610" t="n"/>
      <c r="AG72" s="610" t="n"/>
      <c r="AH72" s="610" t="n"/>
      <c r="AI72" s="610" t="n"/>
      <c r="AJ72" s="610" t="n"/>
      <c r="AK72" s="610" t="n"/>
      <c r="AL72" s="610" t="n"/>
      <c r="AM72" s="610" t="n"/>
    </row>
  </sheetData>
  <mergeCells count="55">
    <mergeCell ref="D2:F2"/>
    <mergeCell ref="G1:G3"/>
    <mergeCell ref="I1:N2"/>
    <mergeCell ref="I19:N20"/>
    <mergeCell ref="I8:L8"/>
    <mergeCell ref="E13:G13"/>
    <mergeCell ref="A15:H15"/>
    <mergeCell ref="J3:M3"/>
    <mergeCell ref="K5:L5"/>
    <mergeCell ref="M9:N9"/>
    <mergeCell ref="B13:D13"/>
    <mergeCell ref="M5:N5"/>
    <mergeCell ref="B10:G12"/>
    <mergeCell ref="I12:N12"/>
    <mergeCell ref="A21:B26"/>
    <mergeCell ref="I15:N16"/>
    <mergeCell ref="A4:A6"/>
    <mergeCell ref="C21:D26"/>
    <mergeCell ref="I9:L9"/>
    <mergeCell ref="A10:A12"/>
    <mergeCell ref="I14:N14"/>
    <mergeCell ref="A16:H16"/>
    <mergeCell ref="A19:B20"/>
    <mergeCell ref="C19:D20"/>
    <mergeCell ref="D3:F3"/>
    <mergeCell ref="H1:H2"/>
    <mergeCell ref="M7:N7"/>
    <mergeCell ref="D7:E7"/>
    <mergeCell ref="I10:N10"/>
    <mergeCell ref="M6:N6"/>
    <mergeCell ref="I13:N13"/>
    <mergeCell ref="H5:J5"/>
    <mergeCell ref="K6:L6"/>
    <mergeCell ref="A14:H14"/>
    <mergeCell ref="I7:L7"/>
    <mergeCell ref="A17:B17"/>
    <mergeCell ref="D9:E9"/>
    <mergeCell ref="D1:F1"/>
    <mergeCell ref="M8:N8"/>
    <mergeCell ref="E21:F26"/>
    <mergeCell ref="C17:M17"/>
    <mergeCell ref="D8:E8"/>
    <mergeCell ref="G21:H26"/>
    <mergeCell ref="H3:I3"/>
    <mergeCell ref="A7:A9"/>
    <mergeCell ref="I11:N11"/>
    <mergeCell ref="A1:C3"/>
    <mergeCell ref="H4:J4"/>
    <mergeCell ref="E19:F20"/>
    <mergeCell ref="G19:H20"/>
    <mergeCell ref="C18:M18"/>
    <mergeCell ref="K4:L4"/>
    <mergeCell ref="M4:N4"/>
    <mergeCell ref="I21:N26"/>
    <mergeCell ref="H6:J6"/>
  </mergeCells>
  <dataValidations count="1">
    <dataValidation sqref="B5:B6 B8:B9 G8:G9" showDropDown="0" showInputMessage="1" showErrorMessage="1" allowBlank="1" type="list">
      <formula1>姓名</formula1>
    </dataValidation>
  </dataValidations>
  <pageMargins left="0.7" right="0.7" top="0.75" bottom="0.75" header="0.3" footer="0.3"/>
  <pageSetup orientation="portrait" paperSize="9"/>
</worksheet>
</file>

<file path=xl/worksheets/sheet31.xml><?xml version="1.0" encoding="utf-8"?>
<worksheet xmlns="http://schemas.openxmlformats.org/spreadsheetml/2006/main">
  <sheetPr codeName="工作表20">
    <tabColor theme="9" tint="0.5999938962981048"/>
    <outlinePr summaryBelow="1" summaryRight="1"/>
    <pageSetUpPr/>
  </sheetPr>
  <dimension ref="A1:G18"/>
  <sheetViews>
    <sheetView showGridLines="0" view="pageBreakPreview" zoomScale="130" zoomScaleNormal="100" zoomScaleSheetLayoutView="130" workbookViewId="0">
      <selection activeCell="I7" sqref="I7"/>
    </sheetView>
  </sheetViews>
  <sheetFormatPr baseColWidth="8" defaultRowHeight="16.5"/>
  <cols>
    <col width="12.375" customWidth="1" style="680" min="1" max="7"/>
  </cols>
  <sheetData>
    <row r="1" ht="67.5" customHeight="1" s="680">
      <c r="A1" s="962" t="inlineStr">
        <is>
          <t>捨棄聲明異議書</t>
        </is>
      </c>
    </row>
    <row r="2" ht="12" customHeight="1" s="680">
      <c r="A2" s="160" t="n"/>
    </row>
    <row r="3" ht="40.5" customHeight="1" s="680">
      <c r="A3" s="964">
        <f>CONCATENATE("行為人 ",word用!$H$2," 因涉嫌加暴行於他人案件,經",輸入!$R$13,輸入!$S$13,輸入!$R$14,輸入!$S$14,"以違反「違反社會秩序維護法」第87條第1項第1款之規定,於",LEFT(下拉用!$J$5,10),"查獲並處分在案,本人同意捨棄聲明異議。")</f>
        <v/>
      </c>
    </row>
    <row r="4" ht="40.5" customHeight="1" s="680"/>
    <row r="5" ht="40.5" customHeight="1" s="680"/>
    <row r="6" ht="40.5" customHeight="1" s="680"/>
    <row r="7" ht="40.5" customHeight="1" s="680"/>
    <row r="8" ht="40.5" customHeight="1" s="680"/>
    <row r="9" ht="40.5" customHeight="1" s="680">
      <c r="A9" s="964" t="n"/>
      <c r="B9" s="964" t="n"/>
      <c r="C9" s="964" t="n"/>
      <c r="D9" s="964" t="n"/>
      <c r="E9" s="964" t="n"/>
      <c r="F9" s="964" t="n"/>
      <c r="G9" s="964" t="n"/>
    </row>
    <row r="10" ht="54" customFormat="1" customHeight="1" s="961">
      <c r="A10" s="159" t="inlineStr">
        <is>
          <t>捨棄聲明異議人：</t>
        </is>
      </c>
    </row>
    <row r="11" ht="54" customFormat="1" customHeight="1" s="961">
      <c r="A11" s="960" t="n"/>
    </row>
    <row r="12" ht="40.5" customFormat="1" customHeight="1" s="961">
      <c r="A12" s="965" t="n"/>
    </row>
    <row r="13" ht="45" customFormat="1" customHeight="1" s="961">
      <c r="A13" s="960" t="inlineStr">
        <is>
          <t>戶籍地：</t>
        </is>
      </c>
    </row>
    <row r="14" ht="45" customFormat="1" customHeight="1" s="961">
      <c r="A14" s="960" t="inlineStr">
        <is>
          <t>住  址：</t>
        </is>
      </c>
    </row>
    <row r="15" ht="45" customFormat="1" customHeight="1" s="961">
      <c r="A15" s="960" t="inlineStr">
        <is>
          <t>電  話：</t>
        </is>
      </c>
    </row>
    <row r="16" ht="45" customFormat="1" customHeight="1" s="961"/>
    <row r="17" ht="40.5" customFormat="1" customHeight="1" s="961">
      <c r="A17" s="960" t="n"/>
      <c r="B17" s="960" t="n"/>
      <c r="C17" s="960" t="n"/>
      <c r="D17" s="960" t="n"/>
      <c r="E17" s="960" t="n"/>
      <c r="F17" s="960" t="n"/>
      <c r="G17" s="960" t="n"/>
    </row>
    <row r="18" ht="40.5" customFormat="1" customHeight="1" s="961">
      <c r="A18" s="963">
        <f>CONCATENATE("中　華　民　國",LEFT(下拉用!$J$5,10))</f>
        <v/>
      </c>
    </row>
  </sheetData>
  <mergeCells count="8">
    <mergeCell ref="A13:G13"/>
    <mergeCell ref="A14:G14"/>
    <mergeCell ref="A1:G1"/>
    <mergeCell ref="A18:G18"/>
    <mergeCell ref="A3:G8"/>
    <mergeCell ref="A12:G12"/>
    <mergeCell ref="A15:G15"/>
    <mergeCell ref="A11:G11"/>
  </mergeCells>
  <pageMargins left="0.7" right="0.7" top="0.75" bottom="0.75" header="0.3" footer="0.3"/>
  <pageSetup orientation="portrait" paperSize="9"/>
</worksheet>
</file>

<file path=xl/worksheets/sheet32.xml><?xml version="1.0" encoding="utf-8"?>
<worksheet xmlns="http://schemas.openxmlformats.org/spreadsheetml/2006/main">
  <sheetPr codeName="工作表21">
    <tabColor theme="9" tint="0.5999938962981048"/>
    <outlinePr summaryBelow="1" summaryRight="1"/>
    <pageSetUpPr/>
  </sheetPr>
  <dimension ref="A1:G18"/>
  <sheetViews>
    <sheetView showGridLines="0" view="pageBreakPreview" zoomScale="130" zoomScaleNormal="100" zoomScaleSheetLayoutView="130" workbookViewId="0">
      <selection activeCell="A19" sqref="A19"/>
    </sheetView>
  </sheetViews>
  <sheetFormatPr baseColWidth="8" defaultRowHeight="16.5"/>
  <cols>
    <col width="12.375" customWidth="1" style="680" min="1" max="7"/>
  </cols>
  <sheetData>
    <row r="1" ht="67.5" customHeight="1" s="680">
      <c r="A1" s="962" t="inlineStr">
        <is>
          <t>捨棄抗告聲請狀</t>
        </is>
      </c>
    </row>
    <row r="2" ht="12" customHeight="1" s="680">
      <c r="A2" s="160" t="n"/>
    </row>
    <row r="3" ht="40.5" customHeight="1" s="680">
      <c r="A3" s="964">
        <f>CONCATENATE("聲請人",word用!$H$2,"於",下拉用!$J$5,"在",輸入!$C$7,"涉嫌違反社會秩序維護法之相關規定，經",輸入!$S$18,輸入!$T$18,輸入!$S$19,輸入!$T$19,"訊問後移送臺灣臺北地方法院臺北簡易庭裁定，對於此案件臺灣臺北地方法院臺北簡易庭所為之裁定，聲請人捨棄抗告權。")</f>
        <v/>
      </c>
    </row>
    <row r="4" ht="40.5" customHeight="1" s="680"/>
    <row r="5" ht="40.5" customHeight="1" s="680"/>
    <row r="6" ht="40.5" customHeight="1" s="680"/>
    <row r="7" ht="40.5" customHeight="1" s="680"/>
    <row r="8" ht="40.5" customHeight="1" s="680"/>
    <row r="9" ht="40.5" customHeight="1" s="680">
      <c r="A9" s="964" t="n"/>
      <c r="B9" s="964" t="n"/>
      <c r="C9" s="964" t="n"/>
      <c r="D9" s="964" t="n"/>
      <c r="E9" s="964" t="n"/>
      <c r="F9" s="964" t="n"/>
      <c r="G9" s="964" t="n"/>
    </row>
    <row r="10" ht="54" customFormat="1" customHeight="1" s="961">
      <c r="A10" s="159" t="inlineStr">
        <is>
          <t xml:space="preserve">此致 </t>
        </is>
      </c>
    </row>
    <row r="11" ht="54" customFormat="1" customHeight="1" s="961">
      <c r="A11" s="960" t="inlineStr">
        <is>
          <t>臺灣臺北地方法院臺北簡易庭 公鑒</t>
        </is>
      </c>
    </row>
    <row r="12" ht="40.5" customFormat="1" customHeight="1" s="961">
      <c r="A12" s="965" t="n"/>
    </row>
    <row r="13" ht="45" customFormat="1" customHeight="1" s="961">
      <c r="A13" s="960" t="inlineStr">
        <is>
          <t>具狀人：</t>
        </is>
      </c>
    </row>
    <row r="14" ht="45" customFormat="1" customHeight="1" s="961">
      <c r="A14" s="960" t="inlineStr">
        <is>
          <t>身分證字號：</t>
        </is>
      </c>
    </row>
    <row r="15" ht="45" customFormat="1" customHeight="1" s="961">
      <c r="A15" s="960" t="inlineStr">
        <is>
          <t>住  址：</t>
        </is>
      </c>
    </row>
    <row r="16" ht="45" customFormat="1" customHeight="1" s="961">
      <c r="A16" s="960" t="inlineStr">
        <is>
          <t>電  話：</t>
        </is>
      </c>
    </row>
    <row r="17" ht="40.5" customFormat="1" customHeight="1" s="961">
      <c r="A17" s="960" t="n"/>
      <c r="B17" s="960" t="n"/>
      <c r="C17" s="960" t="n"/>
      <c r="D17" s="960" t="n"/>
      <c r="E17" s="960" t="n"/>
      <c r="F17" s="960" t="n"/>
      <c r="G17" s="960" t="n"/>
    </row>
    <row r="18" ht="40.5" customFormat="1" customHeight="1" s="961">
      <c r="A18" s="963">
        <f>CONCATENATE("中　華　民　國",LEFT(下拉用!$J$5,10))</f>
        <v/>
      </c>
    </row>
  </sheetData>
  <mergeCells count="9">
    <mergeCell ref="A13:G13"/>
    <mergeCell ref="A14:G14"/>
    <mergeCell ref="A1:G1"/>
    <mergeCell ref="A18:G18"/>
    <mergeCell ref="A3:G8"/>
    <mergeCell ref="A12:G12"/>
    <mergeCell ref="A16:G16"/>
    <mergeCell ref="A15:G15"/>
    <mergeCell ref="A11:G11"/>
  </mergeCells>
  <pageMargins left="0.7" right="0.7" top="0.75" bottom="0.75" header="0.3" footer="0.3"/>
  <pageSetup orientation="portrait" paperSize="9"/>
</worksheet>
</file>

<file path=xl/worksheets/sheet33.xml><?xml version="1.0" encoding="utf-8"?>
<worksheet xmlns="http://schemas.openxmlformats.org/spreadsheetml/2006/main">
  <sheetPr codeName="工作表22">
    <tabColor theme="9" tint="0.5999938962981048"/>
    <outlinePr summaryBelow="1" summaryRight="1"/>
    <pageSetUpPr/>
  </sheetPr>
  <dimension ref="A1:G31"/>
  <sheetViews>
    <sheetView view="pageBreakPreview" zoomScale="85" zoomScaleNormal="100" zoomScaleSheetLayoutView="85" workbookViewId="0">
      <selection activeCell="G4" sqref="G4"/>
    </sheetView>
  </sheetViews>
  <sheetFormatPr baseColWidth="8" defaultRowHeight="16.5"/>
  <cols>
    <col width="5" customWidth="1" style="680" min="1" max="1"/>
    <col width="8.875" customWidth="1" style="680" min="2" max="2"/>
    <col width="16.5" customWidth="1" style="680" min="3" max="3"/>
    <col width="15.125" customWidth="1" style="680" min="4" max="5"/>
    <col width="15" customWidth="1" style="680" min="6" max="7"/>
  </cols>
  <sheetData>
    <row r="1" ht="27.75" customHeight="1" s="680">
      <c r="A1" s="982">
        <f>CONCATENATE(輸入!$S$18,輸入!$T$18,輸入!$S$19,輸入!$T$19,"送達證書")</f>
        <v/>
      </c>
    </row>
    <row r="2" ht="20.25" customHeight="1" s="680">
      <c r="A2" s="663" t="n"/>
    </row>
    <row r="3" ht="22.5" customHeight="1" s="680">
      <c r="A3" s="579" t="inlineStr">
        <is>
          <t>應  受
送達人
姓　名
地　址</t>
        </is>
      </c>
      <c r="B3" s="581" t="n"/>
      <c r="C3" s="966" t="inlineStr">
        <is>
          <t xml:space="preserve">受處分人 </t>
        </is>
      </c>
      <c r="D3" s="580" t="n"/>
      <c r="E3" s="580" t="n"/>
      <c r="F3" s="580" t="n"/>
      <c r="G3" s="581" t="n"/>
    </row>
    <row r="4" ht="22.5" customHeight="1" s="680">
      <c r="A4" s="609" t="n"/>
      <c r="B4" s="611" t="n"/>
      <c r="C4" s="972">
        <f>word用!$H$2</f>
        <v/>
      </c>
      <c r="G4" s="1210">
        <f>IF(word用!$R$2="男","先生"," ")</f>
        <v/>
      </c>
    </row>
    <row r="5" ht="22.5" customHeight="1" s="680">
      <c r="A5" s="609" t="n"/>
      <c r="B5" s="611" t="n"/>
      <c r="C5" s="609" t="n"/>
      <c r="G5" s="1210">
        <f>IF(word用!$R$2="女","女士"," ")</f>
        <v/>
      </c>
    </row>
    <row r="6" ht="22.5" customHeight="1" s="680">
      <c r="A6" s="582" t="n"/>
      <c r="B6" s="584" t="n"/>
      <c r="C6" s="970">
        <f>CONCATENATE("住：",word用!$N$2,"")</f>
        <v/>
      </c>
      <c r="D6" s="583" t="n"/>
      <c r="E6" s="583" t="n"/>
      <c r="F6" s="583" t="n"/>
      <c r="G6" s="584" t="n"/>
    </row>
    <row r="7" ht="22.5" customHeight="1" s="680">
      <c r="A7" s="579" t="inlineStr">
        <is>
          <t>案  號
案  由</t>
        </is>
      </c>
      <c r="B7" s="581" t="n"/>
      <c r="C7" s="986">
        <f>CONCATENATE(,LEFT(下拉用!$J$10,10),"違反社會秩序維護法案件處分書（收據）")</f>
        <v/>
      </c>
      <c r="D7" s="580" t="n"/>
      <c r="E7" s="580" t="n"/>
      <c r="F7" s="580" t="n"/>
      <c r="G7" s="581" t="n"/>
    </row>
    <row r="8" ht="22.5" customHeight="1" s="680">
      <c r="A8" s="582" t="n"/>
      <c r="B8" s="584" t="n"/>
      <c r="C8" s="970" t="inlineStr">
        <is>
          <t>違反社會秩序維護法</t>
        </is>
      </c>
      <c r="D8" s="583" t="n"/>
      <c r="E8" s="583" t="n"/>
      <c r="F8" s="583" t="n"/>
      <c r="G8" s="584" t="n"/>
    </row>
    <row r="9" ht="22.5" customHeight="1" s="680">
      <c r="A9" s="579" t="inlineStr">
        <is>
          <t>送  達
文  書</t>
        </is>
      </c>
      <c r="B9" s="581" t="n"/>
      <c r="C9" s="988" t="inlineStr">
        <is>
          <t>處分書（收據）正本1件。</t>
        </is>
      </c>
      <c r="D9" s="580" t="n"/>
      <c r="E9" s="580" t="n"/>
      <c r="F9" s="580" t="n"/>
      <c r="G9" s="581" t="n"/>
    </row>
    <row r="10" ht="22.5" customHeight="1" s="680">
      <c r="A10" s="582" t="n"/>
      <c r="B10" s="584" t="n"/>
      <c r="C10" s="582" t="n"/>
      <c r="D10" s="583" t="n"/>
      <c r="E10" s="583" t="n"/>
      <c r="F10" s="583" t="n"/>
      <c r="G10" s="584" t="n"/>
    </row>
    <row r="11" ht="22.5" customHeight="1" s="680">
      <c r="A11" s="579" t="inlineStr">
        <is>
          <t>送達人
注  意</t>
        </is>
      </c>
      <c r="B11" s="581" t="n"/>
      <c r="C11" s="975" t="inlineStr">
        <is>
          <t>一、依下述送達方法送達者，送達人應即將本送達證書，提出於本分局附卷。
二、無法依下述送達方法送達者，送達人應作記載該事由之報告書，提出於本分局附卷，並繳回應送達之文書。</t>
        </is>
      </c>
      <c r="D11" s="580" t="n"/>
      <c r="E11" s="580" t="n"/>
      <c r="F11" s="580" t="n"/>
      <c r="G11" s="581" t="n"/>
    </row>
    <row r="12" ht="22.5" customHeight="1" s="680">
      <c r="A12" s="582" t="n"/>
      <c r="B12" s="584" t="n"/>
      <c r="C12" s="582" t="n"/>
      <c r="D12" s="583" t="n"/>
      <c r="E12" s="583" t="n"/>
      <c r="F12" s="583" t="n"/>
      <c r="G12" s="584" t="n"/>
    </row>
    <row r="13" ht="15.75" customHeight="1" s="680">
      <c r="A13" s="973" t="inlineStr">
        <is>
          <t>送達方法</t>
        </is>
      </c>
      <c r="B13" s="973" t="inlineStr">
        <is>
          <t>（由送達人□上劃ˇ號選記）</t>
        </is>
      </c>
      <c r="C13" s="977" t="inlineStr">
        <is>
          <t>□已將文書付與應受送達人：</t>
        </is>
      </c>
      <c r="D13" s="581" t="n"/>
      <c r="E13" s="971" t="inlineStr">
        <is>
          <t>□本　人</t>
        </is>
      </c>
      <c r="F13" s="156" t="inlineStr">
        <is>
          <t>（簽名蓋章</t>
        </is>
      </c>
      <c r="G13" s="974" t="n"/>
    </row>
    <row r="14" ht="15.75" customHeight="1" s="680">
      <c r="A14" s="945" t="n"/>
      <c r="B14" s="945" t="n"/>
      <c r="C14" s="582" t="n"/>
      <c r="D14" s="584" t="n"/>
      <c r="E14" s="582" t="n"/>
      <c r="F14" s="157" t="inlineStr">
        <is>
          <t xml:space="preserve">　或按指印：）</t>
        </is>
      </c>
      <c r="G14" s="584" t="n"/>
    </row>
    <row r="15" ht="15.75" customHeight="1" s="680">
      <c r="A15" s="945" t="n"/>
      <c r="B15" s="945" t="n"/>
      <c r="C15" s="967" t="inlineStr">
        <is>
          <t>□未獲會晤本人，已將文書交與有辨別事理能力之同居人或受僱人：</t>
        </is>
      </c>
      <c r="D15" s="581" t="n"/>
      <c r="E15" s="516" t="inlineStr">
        <is>
          <t>□同居人</t>
        </is>
      </c>
      <c r="F15" s="156" t="inlineStr">
        <is>
          <t>（簽名蓋章</t>
        </is>
      </c>
      <c r="G15" s="974" t="n"/>
    </row>
    <row r="16" ht="15.75" customHeight="1" s="680">
      <c r="A16" s="945" t="n"/>
      <c r="B16" s="945" t="n"/>
      <c r="C16" s="609" t="n"/>
      <c r="D16" s="611" t="n"/>
      <c r="E16" s="155" t="inlineStr">
        <is>
          <t>□受僱人</t>
        </is>
      </c>
      <c r="F16" s="154" t="inlineStr">
        <is>
          <t xml:space="preserve">　或按指印：）</t>
        </is>
      </c>
      <c r="G16" s="584" t="n"/>
    </row>
    <row r="17" ht="15.75" customHeight="1" s="680">
      <c r="A17" s="945" t="n"/>
      <c r="B17" s="945" t="n"/>
      <c r="C17" s="609" t="n"/>
      <c r="D17" s="611" t="n"/>
      <c r="E17" s="987" t="inlineStr">
        <is>
          <t>□送達人應記明收領人之姓名</t>
        </is>
      </c>
      <c r="F17" s="580" t="n"/>
      <c r="G17" s="581" t="n"/>
    </row>
    <row r="18" ht="15.75" customHeight="1" s="680">
      <c r="A18" s="945" t="n"/>
      <c r="B18" s="945" t="n"/>
      <c r="C18" s="582" t="n"/>
      <c r="D18" s="584" t="n"/>
      <c r="E18" s="985" t="inlineStr">
        <is>
          <t>（以正楷填記）：</t>
        </is>
      </c>
      <c r="F18" s="583" t="n"/>
      <c r="G18" s="584" t="n"/>
    </row>
    <row r="19" ht="57" customHeight="1" s="680">
      <c r="A19" s="945" t="n"/>
      <c r="B19" s="945" t="n"/>
      <c r="C19" s="967" t="inlineStr">
        <is>
          <t>□應受送達之本人、同居人或受僱人，收領後拒絕或不能簽名、蓋章或按指印，由送達人記明其事由於右欄：</t>
        </is>
      </c>
      <c r="D19" s="574" t="n"/>
      <c r="E19" s="969" t="inlineStr">
        <is>
          <t>※送達人填記：</t>
        </is>
      </c>
      <c r="F19" s="583" t="n"/>
      <c r="G19" s="584" t="n"/>
    </row>
    <row r="20" ht="55.5" customHeight="1" s="680">
      <c r="A20" s="945" t="n"/>
      <c r="B20" s="945" t="n"/>
      <c r="C20" s="967" t="inlineStr">
        <is>
          <t>□應受送達之本人、同居人或受僱人，無法律上之理由拒絕收領，經送達人將文書留置於送達處所，以為送達：</t>
        </is>
      </c>
      <c r="D20" s="574" t="n"/>
      <c r="E20" s="968" t="inlineStr">
        <is>
          <t>□本人
□同居人(姓名)
□受僱人(姓名)</t>
        </is>
      </c>
      <c r="F20" s="577" t="n"/>
      <c r="G20" s="153" t="inlineStr">
        <is>
          <t>拒絕收領</t>
        </is>
      </c>
    </row>
    <row r="21" ht="113.25" customHeight="1" s="680">
      <c r="A21" s="588" t="n"/>
      <c r="B21" s="588" t="n"/>
      <c r="C21" s="983" t="inlineStr">
        <is>
          <t>□未獲會晤本人亦無受領文書之同居人或受僱人，已將該送達文書：
□應受送達之本人、同居人或受僱人，無法律上之理由拒絕收領，並有難達留置情事，已將該送達文書：</t>
        </is>
      </c>
      <c r="D21" s="581" t="n"/>
      <c r="E21" s="975" t="inlineStr">
        <is>
          <t>寄存於下列之一處所，並作送達通知書兩份，一份黏貼於應受送達人住居所、事務所、營業所或其就業處所門首，另一份置於該送達處所信箱或其他適當位置，以為送達。（請擇一打ˇ）
□寄存於       派出所或警察所。
□寄存於       鄉（鎮市）區公所。
□寄存於       鄉（鎮市）區      村（里）長辦公處。</t>
        </is>
      </c>
      <c r="F21" s="577" t="n"/>
      <c r="G21" s="574" t="n"/>
    </row>
    <row r="22">
      <c r="A22" s="579" t="inlineStr">
        <is>
          <t>(由郵局收寄人員填寫)</t>
        </is>
      </c>
      <c r="B22" s="577" t="n"/>
      <c r="C22" s="574" t="n"/>
      <c r="D22" s="575" t="inlineStr">
        <is>
          <t>原寄郵局日戳</t>
        </is>
      </c>
      <c r="E22" s="574" t="n"/>
      <c r="F22" s="575" t="inlineStr">
        <is>
          <t>送達郵局日戳</t>
        </is>
      </c>
      <c r="G22" s="574" t="n"/>
    </row>
    <row r="23">
      <c r="A23" s="655" t="inlineStr">
        <is>
          <t>郵件種類：
掛號號碼：</t>
        </is>
      </c>
      <c r="B23" s="580" t="n"/>
      <c r="C23" s="581" t="n"/>
      <c r="D23" s="984" t="inlineStr">
        <is>
          <t xml:space="preserve">
（由司法警察送達時免蓋）</t>
        </is>
      </c>
      <c r="E23" s="581" t="n"/>
      <c r="F23" s="984" t="inlineStr">
        <is>
          <t xml:space="preserve">
（由司法警察送達時免蓋）</t>
        </is>
      </c>
      <c r="G23" s="581" t="n"/>
    </row>
    <row r="24">
      <c r="A24" s="609" t="n"/>
      <c r="C24" s="611" t="n"/>
      <c r="D24" s="609" t="n"/>
      <c r="E24" s="611" t="n"/>
      <c r="F24" s="609" t="n"/>
      <c r="G24" s="611" t="n"/>
    </row>
    <row r="25">
      <c r="A25" s="582" t="n"/>
      <c r="B25" s="583" t="n"/>
      <c r="C25" s="584" t="n"/>
      <c r="D25" s="582" t="n"/>
      <c r="E25" s="584" t="n"/>
      <c r="F25" s="582" t="n"/>
      <c r="G25" s="584" t="n"/>
    </row>
    <row r="26">
      <c r="A26" s="579" t="inlineStr">
        <is>
          <t>送達處所</t>
        </is>
      </c>
      <c r="B26" s="577" t="n"/>
      <c r="C26" s="574" t="n"/>
      <c r="D26" s="575" t="inlineStr">
        <is>
          <t>送達時間</t>
        </is>
      </c>
      <c r="E26" s="574" t="n"/>
      <c r="F26" s="575" t="inlineStr">
        <is>
          <t>送達人簽章</t>
        </is>
      </c>
      <c r="G26" s="574" t="n"/>
    </row>
    <row r="27" ht="28.5" customHeight="1" s="680">
      <c r="A27" s="798" t="inlineStr">
        <is>
          <t>□同上記載地址
□改送：臺北市政府警察局中山分局圓山派出所</t>
        </is>
      </c>
      <c r="B27" s="580" t="n"/>
      <c r="C27" s="581" t="n"/>
      <c r="D27" s="980" t="inlineStr">
        <is>
          <t xml:space="preserve">中華民國     年   月    日
             午   時  </t>
        </is>
      </c>
      <c r="E27" s="580" t="n"/>
      <c r="F27" s="573" t="n"/>
      <c r="G27" s="581" t="n"/>
    </row>
    <row r="28" ht="28.5" customHeight="1" s="680">
      <c r="A28" s="609" t="n"/>
      <c r="C28" s="611" t="n"/>
      <c r="F28" s="609" t="n"/>
      <c r="G28" s="611" t="n"/>
    </row>
    <row r="29" ht="28.5" customHeight="1" s="680">
      <c r="A29" s="978" t="inlineStr">
        <is>
          <t>（送達人務請填記）</t>
        </is>
      </c>
      <c r="B29" s="583" t="n"/>
      <c r="C29" s="584" t="n"/>
      <c r="D29" s="981" t="inlineStr">
        <is>
          <t>（送達人務請填記）</t>
        </is>
      </c>
      <c r="E29" s="583" t="n"/>
      <c r="F29" s="582" t="n"/>
      <c r="G29" s="584" t="n"/>
    </row>
    <row r="30" ht="27.75" customHeight="1" s="680">
      <c r="A30" s="979">
        <f>LEFT(下拉用!$J$10,10)</f>
        <v/>
      </c>
      <c r="F30" s="976" t="inlineStr">
        <is>
          <t>此證書由送達人繳回</t>
        </is>
      </c>
      <c r="G30" s="584" t="n"/>
    </row>
    <row r="31">
      <c r="A31" s="108" t="n"/>
    </row>
  </sheetData>
  <mergeCells count="44">
    <mergeCell ref="A3:B6"/>
    <mergeCell ref="E19:G19"/>
    <mergeCell ref="C6:G6"/>
    <mergeCell ref="E13:E14"/>
    <mergeCell ref="C4:F5"/>
    <mergeCell ref="B13:B21"/>
    <mergeCell ref="G13:G14"/>
    <mergeCell ref="C11:G12"/>
    <mergeCell ref="D22:E22"/>
    <mergeCell ref="A26:C26"/>
    <mergeCell ref="C20:D20"/>
    <mergeCell ref="E20:F20"/>
    <mergeCell ref="F30:G30"/>
    <mergeCell ref="A22:C22"/>
    <mergeCell ref="G15:G16"/>
    <mergeCell ref="A29:C29"/>
    <mergeCell ref="C13:D14"/>
    <mergeCell ref="F26:G26"/>
    <mergeCell ref="A9:B10"/>
    <mergeCell ref="A23:C25"/>
    <mergeCell ref="A13:A21"/>
    <mergeCell ref="A1:G1"/>
    <mergeCell ref="C21:D21"/>
    <mergeCell ref="C9:G10"/>
    <mergeCell ref="A11:B12"/>
    <mergeCell ref="C15:D18"/>
    <mergeCell ref="F23:G25"/>
    <mergeCell ref="F22:G22"/>
    <mergeCell ref="E18:G18"/>
    <mergeCell ref="A30:C30"/>
    <mergeCell ref="E21:G21"/>
    <mergeCell ref="A27:C28"/>
    <mergeCell ref="C8:G8"/>
    <mergeCell ref="D27:E28"/>
    <mergeCell ref="C7:G7"/>
    <mergeCell ref="A7:B8"/>
    <mergeCell ref="D29:E29"/>
    <mergeCell ref="C19:D19"/>
    <mergeCell ref="F27:G29"/>
    <mergeCell ref="E17:G17"/>
    <mergeCell ref="A2:G2"/>
    <mergeCell ref="D23:E25"/>
    <mergeCell ref="D26:E26"/>
    <mergeCell ref="C3:G3"/>
  </mergeCells>
  <pageMargins left="0.4724409448818898" right="0.4724409448818898" top="0.5118110236220472" bottom="0.5118110236220472" header="0.3149606299212598" footer="0.3149606299212598"/>
  <pageSetup orientation="portrait" paperSize="9"/>
</worksheet>
</file>

<file path=xl/worksheets/sheet34.xml><?xml version="1.0" encoding="utf-8"?>
<worksheet xmlns="http://schemas.openxmlformats.org/spreadsheetml/2006/main">
  <sheetPr codeName="工作表23">
    <tabColor theme="9" tint="0.5999938962981048"/>
    <outlinePr summaryBelow="1" summaryRight="1"/>
    <pageSetUpPr/>
  </sheetPr>
  <dimension ref="A1:G21"/>
  <sheetViews>
    <sheetView view="pageBreakPreview" zoomScale="115" zoomScaleNormal="100" zoomScaleSheetLayoutView="115" workbookViewId="0">
      <selection activeCell="A17" sqref="A17:G17"/>
    </sheetView>
  </sheetViews>
  <sheetFormatPr baseColWidth="8" defaultRowHeight="16.5"/>
  <cols>
    <col width="10.375" customWidth="1" style="680" min="1" max="1"/>
    <col width="7.5" customWidth="1" style="680" min="2" max="2"/>
    <col width="9" customWidth="1" style="680" min="3" max="3"/>
    <col width="13.5" customWidth="1" style="680" min="4" max="5"/>
    <col width="14" customWidth="1" style="680" min="6" max="6"/>
    <col width="18.875" customWidth="1" style="680" min="7" max="7"/>
  </cols>
  <sheetData>
    <row r="1" ht="27.75" customHeight="1" s="680">
      <c r="A1" s="990">
        <f>CONCATENATE(輸入!$S$18,輸入!$T$18,輸入!$S$19,輸入!$T$19,"送達證書")</f>
        <v/>
      </c>
      <c r="B1" s="577" t="n"/>
      <c r="C1" s="577" t="n"/>
      <c r="D1" s="577" t="n"/>
      <c r="E1" s="577" t="n"/>
      <c r="F1" s="577" t="n"/>
      <c r="G1" s="574" t="n"/>
    </row>
    <row r="2" ht="36.75" customHeight="1" s="680">
      <c r="A2" s="989" t="inlineStr">
        <is>
          <t>案由</t>
        </is>
      </c>
      <c r="B2" s="574" t="n"/>
      <c r="C2" s="992" t="inlineStr">
        <is>
          <t>違反社會秩序維護法</t>
        </is>
      </c>
      <c r="D2" s="577" t="n"/>
      <c r="E2" s="577" t="n"/>
      <c r="F2" s="577" t="n"/>
      <c r="G2" s="574" t="n"/>
    </row>
    <row r="3" ht="36.75" customHeight="1" s="680">
      <c r="A3" s="989" t="inlineStr">
        <is>
          <t>應送達之文書</t>
        </is>
      </c>
      <c r="B3" s="574" t="n"/>
      <c r="C3" s="997" t="inlineStr">
        <is>
          <t>違反社會秩序維護法處分書</t>
        </is>
      </c>
      <c r="D3" s="580" t="n"/>
      <c r="E3" s="580" t="n"/>
      <c r="F3" s="580" t="n"/>
      <c r="G3" s="581" t="n"/>
    </row>
    <row r="4" ht="18.75" customHeight="1" s="680">
      <c r="A4" s="989" t="inlineStr">
        <is>
          <t>應受送達人</t>
        </is>
      </c>
      <c r="B4" s="581" t="n"/>
      <c r="C4" s="990">
        <f>word用!$H$2</f>
        <v/>
      </c>
      <c r="D4" s="581" t="n"/>
      <c r="E4" s="996">
        <f>IF(word用!$R$2="男","先生"," ")</f>
        <v/>
      </c>
      <c r="F4" s="580" t="n"/>
      <c r="G4" s="581" t="n"/>
    </row>
    <row r="5" ht="18.75" customHeight="1" s="680">
      <c r="A5" s="582" t="n"/>
      <c r="B5" s="584" t="n"/>
      <c r="C5" s="582" t="n"/>
      <c r="D5" s="584" t="n"/>
      <c r="E5" s="994">
        <f>IF(word用!$R$2="女","女士"," ")</f>
        <v/>
      </c>
      <c r="F5" s="583" t="n"/>
      <c r="G5" s="584" t="n"/>
    </row>
    <row r="6" ht="41.25" customHeight="1" s="680">
      <c r="A6" s="661" t="inlineStr">
        <is>
          <t>一</t>
        </is>
      </c>
      <c r="B6" s="993" t="n"/>
      <c r="C6" s="995" t="inlineStr">
        <is>
          <t>已將文書交與應受送達人本人。</t>
        </is>
      </c>
      <c r="D6" s="583" t="n"/>
      <c r="E6" s="583" t="n"/>
      <c r="F6" s="583" t="n"/>
      <c r="G6" s="584" t="n"/>
    </row>
    <row r="7" ht="22.5" customHeight="1" s="680">
      <c r="A7" s="661" t="inlineStr">
        <is>
          <t>二</t>
        </is>
      </c>
      <c r="B7" s="993" t="n"/>
      <c r="C7" s="991" t="inlineStr">
        <is>
          <t>未會晤本人，已將文書交予下列有辨別事理能力之人。</t>
        </is>
      </c>
      <c r="D7" s="577" t="n"/>
      <c r="E7" s="577" t="n"/>
      <c r="F7" s="577" t="n"/>
      <c r="G7" s="574" t="n"/>
    </row>
    <row r="8" ht="45" customHeight="1" s="680">
      <c r="A8" s="945" t="n"/>
      <c r="B8" s="945" t="n"/>
      <c r="C8" s="991" t="inlineStr">
        <is>
          <t>同居人</t>
        </is>
      </c>
      <c r="D8" s="993" t="n"/>
      <c r="E8" s="574" t="n"/>
      <c r="F8" s="991" t="inlineStr">
        <is>
          <t>與本人關係</t>
        </is>
      </c>
      <c r="G8" s="993" t="n"/>
    </row>
    <row r="9" ht="45" customHeight="1" s="680">
      <c r="A9" s="588" t="n"/>
      <c r="B9" s="588" t="n"/>
      <c r="C9" s="991" t="inlineStr">
        <is>
          <t>受僱人</t>
        </is>
      </c>
      <c r="D9" s="993" t="n"/>
      <c r="E9" s="574" t="n"/>
      <c r="F9" s="991" t="inlineStr">
        <is>
          <t>與本人關係</t>
        </is>
      </c>
      <c r="G9" s="993" t="n"/>
    </row>
    <row r="10" ht="93.75" customHeight="1" s="680">
      <c r="A10" s="661" t="inlineStr">
        <is>
          <t>三</t>
        </is>
      </c>
      <c r="B10" s="993" t="n"/>
      <c r="C10" s="991" t="inlineStr">
        <is>
          <t>未會晤本人亦無收領文書之同居人、受僱人，已將文書寄存於　　　　　　　　　　　　　，並作送達通知書兩份，一份粘貼於應受送達人住居所、事務所、營業所或其就業處所門首，另一份置於該送達處所信箱或其他位置。</t>
        </is>
      </c>
      <c r="D10" s="577" t="n"/>
      <c r="E10" s="577" t="n"/>
      <c r="F10" s="577" t="n"/>
      <c r="G10" s="574" t="n"/>
    </row>
    <row r="11" ht="26.25" customHeight="1" s="680">
      <c r="A11" s="661" t="inlineStr">
        <is>
          <t>四</t>
        </is>
      </c>
      <c r="B11" s="993" t="n"/>
      <c r="C11" s="662" t="inlineStr">
        <is>
          <t>□本人　　　　　□同居人　　　　　□受僱人</t>
        </is>
      </c>
      <c r="D11" s="577" t="n"/>
      <c r="E11" s="577" t="n"/>
      <c r="F11" s="577" t="n"/>
      <c r="G11" s="574" t="n"/>
    </row>
    <row r="12" ht="24" customHeight="1" s="680">
      <c r="A12" s="588" t="n"/>
      <c r="B12" s="588" t="n"/>
      <c r="C12" s="991" t="inlineStr">
        <is>
          <t>無正當理由拒絕收領，已將文書留置於該處。</t>
        </is>
      </c>
      <c r="D12" s="577" t="n"/>
      <c r="E12" s="577" t="n"/>
      <c r="F12" s="577" t="n"/>
      <c r="G12" s="574" t="n"/>
    </row>
    <row r="13" ht="46.5" customHeight="1" s="680">
      <c r="A13" s="661" t="inlineStr">
        <is>
          <t>五</t>
        </is>
      </c>
      <c r="B13" s="993" t="n"/>
      <c r="C13" s="991" t="inlineStr">
        <is>
          <t>收領人拒絕或不能簽名蓋章及捺指印。</t>
        </is>
      </c>
      <c r="D13" s="577" t="n"/>
      <c r="E13" s="577" t="n"/>
      <c r="F13" s="577" t="n"/>
      <c r="G13" s="574" t="n"/>
    </row>
    <row r="14" ht="45.75" customHeight="1" s="680">
      <c r="A14" s="992" t="inlineStr">
        <is>
          <t>收領人簽名蓋章或捺指印：</t>
        </is>
      </c>
      <c r="B14" s="577" t="n"/>
      <c r="C14" s="577" t="n"/>
      <c r="D14" s="577" t="n"/>
      <c r="E14" s="577" t="n"/>
      <c r="F14" s="577" t="n"/>
      <c r="G14" s="574" t="n"/>
    </row>
    <row r="15" ht="41.25" customHeight="1" s="680">
      <c r="A15" s="989" t="inlineStr">
        <is>
          <t>送達之時日</t>
        </is>
      </c>
      <c r="B15" s="574" t="n"/>
      <c r="C15" s="991">
        <f>CONCATENATE("中華民國　　年　　月　　日　　時　　分")</f>
        <v/>
      </c>
      <c r="D15" s="577" t="n"/>
      <c r="E15" s="577" t="n"/>
      <c r="F15" s="577" t="n"/>
      <c r="G15" s="574" t="n"/>
    </row>
    <row r="16" ht="41.25" customHeight="1" s="680">
      <c r="A16" s="989" t="inlineStr">
        <is>
          <t>送達之處所</t>
        </is>
      </c>
      <c r="B16" s="574" t="n"/>
      <c r="C16" s="991" t="n"/>
      <c r="D16" s="577" t="n"/>
      <c r="E16" s="577" t="n"/>
      <c r="F16" s="577" t="n"/>
      <c r="G16" s="574" t="n"/>
    </row>
    <row r="17" ht="35.25" customHeight="1" s="680">
      <c r="A17" s="998">
        <f>CONCATENATE("中華民國　",LEFT(下拉用!$J$10,10),"製作")</f>
        <v/>
      </c>
      <c r="G17" s="611" t="n"/>
    </row>
    <row r="18" ht="35.25" customHeight="1" s="680">
      <c r="A18" s="995" t="inlineStr">
        <is>
          <t xml:space="preserve">司法警察（職稱、姓名）： </t>
        </is>
      </c>
      <c r="B18" s="583" t="n"/>
      <c r="C18" s="583" t="n"/>
      <c r="D18" s="583" t="n"/>
      <c r="E18" s="583" t="n"/>
      <c r="F18" s="583" t="n"/>
      <c r="G18" s="584" t="n"/>
    </row>
    <row r="19">
      <c r="A19" s="592" t="inlineStr">
        <is>
          <t>注意：</t>
        </is>
      </c>
    </row>
    <row r="20" ht="35.25" customHeight="1" s="680">
      <c r="A20" s="709" t="inlineStr">
        <is>
          <t>一、「一」、「二」、「三」、「四」、「五」等欄所載各方法中，係依其何種方法將文書送達，應在該欄數字右方之空格內打勾為記。</t>
        </is>
      </c>
    </row>
    <row r="21">
      <c r="A21" s="776" t="inlineStr">
        <is>
          <t>二、如係同居人、受僱人應載其姓名及與本人之關係。</t>
        </is>
      </c>
    </row>
  </sheetData>
  <mergeCells count="30">
    <mergeCell ref="A14:G14"/>
    <mergeCell ref="A15:B15"/>
    <mergeCell ref="A17:G17"/>
    <mergeCell ref="C6:G6"/>
    <mergeCell ref="C15:G15"/>
    <mergeCell ref="A20:G20"/>
    <mergeCell ref="B11:B12"/>
    <mergeCell ref="A4:B5"/>
    <mergeCell ref="A16:B16"/>
    <mergeCell ref="C10:G10"/>
    <mergeCell ref="C16:G16"/>
    <mergeCell ref="B7:B9"/>
    <mergeCell ref="A3:B3"/>
    <mergeCell ref="A2:B2"/>
    <mergeCell ref="A1:G1"/>
    <mergeCell ref="C12:G12"/>
    <mergeCell ref="C2:G2"/>
    <mergeCell ref="C11:G11"/>
    <mergeCell ref="D9:E9"/>
    <mergeCell ref="D8:E8"/>
    <mergeCell ref="C4:D5"/>
    <mergeCell ref="C7:G7"/>
    <mergeCell ref="A7:A9"/>
    <mergeCell ref="A18:G18"/>
    <mergeCell ref="E5:G5"/>
    <mergeCell ref="A21:G21"/>
    <mergeCell ref="E4:G4"/>
    <mergeCell ref="C13:G13"/>
    <mergeCell ref="A11:A12"/>
    <mergeCell ref="C3:G3"/>
  </mergeCells>
  <pageMargins left="0.7" right="0.7" top="0.75" bottom="0.75" header="0.3" footer="0.3"/>
  <pageSetup orientation="portrait" paperSize="9"/>
</worksheet>
</file>

<file path=xl/worksheets/sheet35.xml><?xml version="1.0" encoding="utf-8"?>
<worksheet xmlns="http://schemas.openxmlformats.org/spreadsheetml/2006/main">
  <sheetPr codeName="工作表34">
    <tabColor theme="9"/>
    <outlinePr summaryBelow="1" summaryRight="1"/>
    <pageSetUpPr/>
  </sheetPr>
  <dimension ref="A1:AD21"/>
  <sheetViews>
    <sheetView showGridLines="0" view="pageBreakPreview" zoomScale="115" zoomScaleNormal="100" zoomScaleSheetLayoutView="115" workbookViewId="0">
      <selection activeCell="E9" sqref="E9:T10"/>
    </sheetView>
  </sheetViews>
  <sheetFormatPr baseColWidth="8" defaultRowHeight="16.5"/>
  <cols>
    <col width="3.75" customWidth="1" style="680" min="1" max="4"/>
    <col width="3" customWidth="1" style="680" min="5" max="19"/>
    <col width="3.25" customWidth="1" style="680" min="20" max="44"/>
  </cols>
  <sheetData>
    <row r="1">
      <c r="A1" s="999">
        <f>CONCATENATE(,輸入!$S$18,輸入!$T$18,輸入!$S$19,輸入!$T$19,輸入!$S$20,輸入!$T$20,CHAR(10),"偵辦",word用!$E$2,"案件手機查扣紀錄表")</f>
        <v/>
      </c>
      <c r="B1" s="580" t="n"/>
      <c r="C1" s="580" t="n"/>
      <c r="D1" s="580" t="n"/>
      <c r="E1" s="580" t="n"/>
      <c r="F1" s="580" t="n"/>
      <c r="G1" s="580" t="n"/>
      <c r="H1" s="580" t="n"/>
      <c r="I1" s="580" t="n"/>
      <c r="J1" s="580" t="n"/>
      <c r="K1" s="580" t="n"/>
      <c r="L1" s="580" t="n"/>
      <c r="M1" s="580" t="n"/>
      <c r="N1" s="580" t="n"/>
      <c r="O1" s="580" t="n"/>
      <c r="P1" s="580" t="n"/>
      <c r="Q1" s="580" t="n"/>
      <c r="R1" s="580" t="n"/>
      <c r="S1" s="580" t="n"/>
      <c r="T1" s="580" t="n"/>
      <c r="U1" s="580" t="n"/>
      <c r="V1" s="580" t="n"/>
      <c r="W1" s="580" t="n"/>
      <c r="X1" s="580" t="n"/>
      <c r="Y1" s="580" t="n"/>
      <c r="Z1" s="581" t="n"/>
      <c r="AA1" s="610" t="n"/>
      <c r="AB1" s="610" t="n"/>
      <c r="AC1" s="610" t="n"/>
      <c r="AD1" s="610" t="n"/>
    </row>
    <row r="2" ht="21" customHeight="1" s="680">
      <c r="A2" s="609" t="n"/>
      <c r="Z2" s="611" t="n"/>
      <c r="AA2" s="610" t="n"/>
      <c r="AB2" s="610" t="n"/>
      <c r="AC2" s="610" t="n"/>
      <c r="AD2" s="610" t="n"/>
    </row>
    <row r="3">
      <c r="A3" s="609" t="n"/>
      <c r="Z3" s="611" t="n"/>
      <c r="AA3" s="610" t="n"/>
      <c r="AB3" s="610" t="n"/>
      <c r="AC3" s="610" t="n"/>
      <c r="AD3" s="610" t="n"/>
    </row>
    <row r="4">
      <c r="A4" s="582" t="n"/>
      <c r="B4" s="583" t="n"/>
      <c r="C4" s="583" t="n"/>
      <c r="D4" s="583" t="n"/>
      <c r="E4" s="583" t="n"/>
      <c r="F4" s="583" t="n"/>
      <c r="G4" s="583" t="n"/>
      <c r="H4" s="583" t="n"/>
      <c r="I4" s="583" t="n"/>
      <c r="J4" s="583" t="n"/>
      <c r="K4" s="583" t="n"/>
      <c r="L4" s="583" t="n"/>
      <c r="M4" s="583" t="n"/>
      <c r="N4" s="583" t="n"/>
      <c r="O4" s="583" t="n"/>
      <c r="P4" s="583" t="n"/>
      <c r="Q4" s="583" t="n"/>
      <c r="R4" s="583" t="n"/>
      <c r="S4" s="583" t="n"/>
      <c r="T4" s="583" t="n"/>
      <c r="U4" s="583" t="n"/>
      <c r="V4" s="583" t="n"/>
      <c r="W4" s="583" t="n"/>
      <c r="X4" s="583" t="n"/>
      <c r="Y4" s="583" t="n"/>
      <c r="Z4" s="584" t="n"/>
      <c r="AA4" s="610" t="n"/>
      <c r="AB4" s="610" t="n"/>
      <c r="AC4" s="610" t="n"/>
      <c r="AD4" s="610" t="n"/>
    </row>
    <row r="5" ht="21" customHeight="1" s="680">
      <c r="A5" s="1000" t="inlineStr">
        <is>
          <t>案由</t>
        </is>
      </c>
      <c r="B5" s="580" t="n"/>
      <c r="C5" s="580" t="n"/>
      <c r="D5" s="581" t="n"/>
      <c r="E5" s="1000">
        <f>CONCATENATE(word用!$E$2,"案")</f>
        <v/>
      </c>
      <c r="F5" s="580" t="n"/>
      <c r="G5" s="580" t="n"/>
      <c r="H5" s="580" t="n"/>
      <c r="I5" s="580" t="n"/>
      <c r="J5" s="580" t="n"/>
      <c r="K5" s="580" t="n"/>
      <c r="L5" s="580" t="n"/>
      <c r="M5" s="580" t="n"/>
      <c r="N5" s="580" t="n"/>
      <c r="O5" s="580" t="n"/>
      <c r="P5" s="580" t="n"/>
      <c r="Q5" s="580" t="n"/>
      <c r="R5" s="580" t="n"/>
      <c r="S5" s="580" t="n"/>
      <c r="T5" s="580" t="n"/>
      <c r="U5" s="580" t="n"/>
      <c r="V5" s="580" t="n"/>
      <c r="W5" s="580" t="n"/>
      <c r="X5" s="580" t="n"/>
      <c r="Y5" s="580" t="n"/>
      <c r="Z5" s="581" t="n"/>
      <c r="AA5" s="439" t="n"/>
      <c r="AB5" s="439" t="n"/>
      <c r="AC5" s="439" t="n"/>
      <c r="AD5" s="439" t="n"/>
    </row>
    <row r="6" ht="21" customHeight="1" s="680">
      <c r="A6" s="582" t="n"/>
      <c r="B6" s="583" t="n"/>
      <c r="C6" s="583" t="n"/>
      <c r="D6" s="584" t="n"/>
      <c r="E6" s="582" t="n"/>
      <c r="F6" s="583" t="n"/>
      <c r="G6" s="583" t="n"/>
      <c r="H6" s="583" t="n"/>
      <c r="I6" s="583" t="n"/>
      <c r="J6" s="583" t="n"/>
      <c r="K6" s="583" t="n"/>
      <c r="L6" s="583" t="n"/>
      <c r="M6" s="583" t="n"/>
      <c r="N6" s="583" t="n"/>
      <c r="O6" s="583" t="n"/>
      <c r="P6" s="583" t="n"/>
      <c r="Q6" s="583" t="n"/>
      <c r="R6" s="583" t="n"/>
      <c r="S6" s="583" t="n"/>
      <c r="T6" s="583" t="n"/>
      <c r="U6" s="583" t="n"/>
      <c r="V6" s="583" t="n"/>
      <c r="W6" s="583" t="n"/>
      <c r="X6" s="583" t="n"/>
      <c r="Y6" s="583" t="n"/>
      <c r="Z6" s="584" t="n"/>
      <c r="AA6" s="439" t="n"/>
      <c r="AB6" s="439" t="n"/>
      <c r="AC6" s="439" t="n"/>
      <c r="AD6" s="439" t="n"/>
    </row>
    <row r="7" ht="21" customHeight="1" s="680">
      <c r="A7" s="1000" t="inlineStr">
        <is>
          <t>查獲時間</t>
        </is>
      </c>
      <c r="B7" s="580" t="n"/>
      <c r="C7" s="580" t="n"/>
      <c r="D7" s="581" t="n"/>
      <c r="E7" s="1009">
        <f>下拉用!$J$5</f>
        <v/>
      </c>
      <c r="F7" s="580" t="n"/>
      <c r="G7" s="580" t="n"/>
      <c r="H7" s="580" t="n"/>
      <c r="I7" s="580" t="n"/>
      <c r="J7" s="580" t="n"/>
      <c r="K7" s="580" t="n"/>
      <c r="L7" s="580" t="n"/>
      <c r="M7" s="580" t="n"/>
      <c r="N7" s="580" t="n"/>
      <c r="O7" s="580" t="n"/>
      <c r="P7" s="580" t="n"/>
      <c r="Q7" s="580" t="n"/>
      <c r="R7" s="580" t="n"/>
      <c r="S7" s="580" t="n"/>
      <c r="T7" s="581" t="n"/>
      <c r="U7" s="439" t="n"/>
      <c r="V7" s="439" t="n"/>
      <c r="W7" s="439" t="n"/>
      <c r="X7" s="439" t="n"/>
      <c r="Y7" s="439" t="n"/>
      <c r="Z7" s="440" t="n"/>
      <c r="AA7" s="439" t="n"/>
      <c r="AB7" s="439" t="n"/>
      <c r="AC7" s="439" t="n"/>
      <c r="AD7" s="439" t="n"/>
    </row>
    <row r="8" ht="21" customHeight="1" s="680">
      <c r="A8" s="582" t="n"/>
      <c r="B8" s="583" t="n"/>
      <c r="C8" s="583" t="n"/>
      <c r="D8" s="584" t="n"/>
      <c r="E8" s="582" t="n"/>
      <c r="F8" s="583" t="n"/>
      <c r="G8" s="583" t="n"/>
      <c r="H8" s="583" t="n"/>
      <c r="I8" s="583" t="n"/>
      <c r="J8" s="583" t="n"/>
      <c r="K8" s="583" t="n"/>
      <c r="L8" s="583" t="n"/>
      <c r="M8" s="583" t="n"/>
      <c r="N8" s="583" t="n"/>
      <c r="O8" s="583" t="n"/>
      <c r="P8" s="583" t="n"/>
      <c r="Q8" s="583" t="n"/>
      <c r="R8" s="583" t="n"/>
      <c r="S8" s="583" t="n"/>
      <c r="T8" s="584" t="n"/>
      <c r="U8" s="439" t="n"/>
      <c r="V8" s="439" t="n"/>
      <c r="W8" s="439" t="n"/>
      <c r="X8" s="439" t="n"/>
      <c r="Y8" s="439" t="n"/>
      <c r="Z8" s="440" t="n"/>
      <c r="AA8" s="439" t="n"/>
      <c r="AB8" s="439" t="n"/>
      <c r="AC8" s="439" t="n"/>
      <c r="AD8" s="439" t="n"/>
    </row>
    <row r="9" ht="21" customHeight="1" s="680">
      <c r="A9" s="1000" t="inlineStr">
        <is>
          <t>查獲地點</t>
        </is>
      </c>
      <c r="B9" s="580" t="n"/>
      <c r="C9" s="580" t="n"/>
      <c r="D9" s="581" t="n"/>
      <c r="E9" s="1004">
        <f>word用!$Y$2</f>
        <v/>
      </c>
      <c r="F9" s="580" t="n"/>
      <c r="G9" s="580" t="n"/>
      <c r="H9" s="580" t="n"/>
      <c r="I9" s="580" t="n"/>
      <c r="J9" s="580" t="n"/>
      <c r="K9" s="580" t="n"/>
      <c r="L9" s="580" t="n"/>
      <c r="M9" s="580" t="n"/>
      <c r="N9" s="580" t="n"/>
      <c r="O9" s="580" t="n"/>
      <c r="P9" s="580" t="n"/>
      <c r="Q9" s="580" t="n"/>
      <c r="R9" s="580" t="n"/>
      <c r="S9" s="580" t="n"/>
      <c r="T9" s="581" t="n"/>
      <c r="U9" s="439" t="n"/>
      <c r="V9" s="439" t="n"/>
      <c r="W9" s="439" t="n"/>
      <c r="X9" s="439" t="n"/>
      <c r="Y9" s="439" t="n"/>
      <c r="Z9" s="440" t="n"/>
      <c r="AA9" s="439" t="n"/>
      <c r="AB9" s="439" t="n"/>
      <c r="AC9" s="439" t="n"/>
      <c r="AD9" s="439" t="n"/>
    </row>
    <row r="10" ht="21" customHeight="1" s="680">
      <c r="A10" s="582" t="n"/>
      <c r="B10" s="583" t="n"/>
      <c r="C10" s="583" t="n"/>
      <c r="D10" s="584" t="n"/>
      <c r="E10" s="582" t="n"/>
      <c r="F10" s="583" t="n"/>
      <c r="G10" s="583" t="n"/>
      <c r="H10" s="583" t="n"/>
      <c r="I10" s="583" t="n"/>
      <c r="J10" s="583" t="n"/>
      <c r="K10" s="583" t="n"/>
      <c r="L10" s="583" t="n"/>
      <c r="M10" s="583" t="n"/>
      <c r="N10" s="583" t="n"/>
      <c r="O10" s="583" t="n"/>
      <c r="P10" s="583" t="n"/>
      <c r="Q10" s="583" t="n"/>
      <c r="R10" s="583" t="n"/>
      <c r="S10" s="583" t="n"/>
      <c r="T10" s="584" t="n"/>
      <c r="U10" s="441" t="n"/>
      <c r="V10" s="441" t="n"/>
      <c r="W10" s="441" t="n"/>
      <c r="X10" s="441" t="n"/>
      <c r="Y10" s="441" t="n"/>
      <c r="Z10" s="442" t="n"/>
      <c r="AA10" s="439" t="n"/>
      <c r="AB10" s="439" t="n"/>
      <c r="AC10" s="439" t="n"/>
      <c r="AD10" s="439" t="n"/>
    </row>
    <row r="11" ht="21" customHeight="1" s="680">
      <c r="A11" s="1011" t="inlineStr">
        <is>
          <t>行動電話
廠牌/型號/顏色</t>
        </is>
      </c>
      <c r="B11" s="580" t="n"/>
      <c r="C11" s="580" t="n"/>
      <c r="D11" s="581" t="n"/>
      <c r="E11" s="1005" t="n"/>
      <c r="F11" s="580" t="n"/>
      <c r="G11" s="580" t="n"/>
      <c r="H11" s="580" t="n"/>
      <c r="I11" s="1001" t="inlineStr">
        <is>
          <t>牌/</t>
        </is>
      </c>
      <c r="J11" s="580" t="n"/>
      <c r="K11" s="1007" t="n"/>
      <c r="L11" s="580" t="n"/>
      <c r="M11" s="580" t="n"/>
      <c r="N11" s="580" t="n"/>
      <c r="O11" s="580" t="n"/>
      <c r="P11" s="580" t="n"/>
      <c r="Q11" s="1001" t="inlineStr">
        <is>
          <t>型/</t>
        </is>
      </c>
      <c r="R11" s="580" t="n"/>
      <c r="S11" s="1003" t="n"/>
      <c r="T11" s="580" t="n"/>
      <c r="U11" s="580" t="n"/>
      <c r="V11" s="1001" t="inlineStr">
        <is>
          <t>色</t>
        </is>
      </c>
      <c r="W11" s="580" t="n"/>
      <c r="X11" s="216" t="n"/>
      <c r="Y11" s="216" t="n"/>
      <c r="Z11" s="215" t="n"/>
      <c r="AA11" s="439" t="n"/>
      <c r="AB11" s="439" t="n"/>
      <c r="AC11" s="439" t="n"/>
      <c r="AD11" s="439" t="n"/>
    </row>
    <row r="12" ht="21" customHeight="1" s="680">
      <c r="A12" s="582" t="n"/>
      <c r="B12" s="583" t="n"/>
      <c r="C12" s="583" t="n"/>
      <c r="D12" s="584" t="n"/>
      <c r="E12" s="582" t="n"/>
      <c r="F12" s="583" t="n"/>
      <c r="G12" s="583" t="n"/>
      <c r="H12" s="583" t="n"/>
      <c r="I12" s="583" t="n"/>
      <c r="J12" s="583" t="n"/>
      <c r="K12" s="583" t="n"/>
      <c r="L12" s="583" t="n"/>
      <c r="M12" s="583" t="n"/>
      <c r="N12" s="583" t="n"/>
      <c r="O12" s="583" t="n"/>
      <c r="P12" s="583" t="n"/>
      <c r="Q12" s="583" t="n"/>
      <c r="R12" s="583" t="n"/>
      <c r="S12" s="583" t="n"/>
      <c r="T12" s="583" t="n"/>
      <c r="U12" s="583" t="n"/>
      <c r="V12" s="583" t="n"/>
      <c r="W12" s="583" t="n"/>
      <c r="X12" s="441" t="n"/>
      <c r="Y12" s="441" t="n"/>
      <c r="Z12" s="442" t="n"/>
      <c r="AA12" s="439" t="n"/>
      <c r="AB12" s="439" t="n"/>
      <c r="AC12" s="439" t="n"/>
      <c r="AD12" s="439" t="n"/>
    </row>
    <row r="13" ht="21" customHeight="1" s="680">
      <c r="A13" s="602" t="inlineStr">
        <is>
          <t>行動電話
門號/電信公司</t>
        </is>
      </c>
      <c r="B13" s="580" t="n"/>
      <c r="C13" s="580" t="n"/>
      <c r="D13" s="581" t="n"/>
      <c r="E13" s="1005" t="inlineStr">
        <is>
          <t>門號：</t>
        </is>
      </c>
      <c r="F13" s="580" t="n"/>
      <c r="G13" s="580" t="n"/>
      <c r="H13" s="1334">
        <f>word用!$K$2</f>
        <v/>
      </c>
      <c r="I13" s="580" t="n"/>
      <c r="J13" s="580" t="n"/>
      <c r="K13" s="580" t="n"/>
      <c r="L13" s="580" t="n"/>
      <c r="M13" s="580" t="n"/>
      <c r="N13" s="580" t="n"/>
      <c r="O13" s="1012" t="inlineStr">
        <is>
          <t>電信</t>
        </is>
      </c>
      <c r="P13" s="574" t="n"/>
      <c r="Q13" s="1000" t="n"/>
      <c r="R13" s="577" t="n"/>
      <c r="S13" s="577" t="n"/>
      <c r="T13" s="577" t="n"/>
      <c r="U13" s="577" t="n"/>
      <c r="V13" s="577" t="n"/>
      <c r="W13" s="577" t="n"/>
      <c r="X13" s="577" t="n"/>
      <c r="Y13" s="577" t="n"/>
      <c r="Z13" s="574" t="n"/>
      <c r="AA13" s="439" t="n"/>
      <c r="AB13" s="439" t="n"/>
      <c r="AC13" s="439" t="n"/>
      <c r="AD13" s="439" t="n"/>
    </row>
    <row r="14" ht="21" customHeight="1" s="680">
      <c r="A14" s="582" t="n"/>
      <c r="B14" s="583" t="n"/>
      <c r="C14" s="583" t="n"/>
      <c r="D14" s="584" t="n"/>
      <c r="E14" s="582" t="n"/>
      <c r="F14" s="583" t="n"/>
      <c r="G14" s="583" t="n"/>
      <c r="H14" s="583" t="n"/>
      <c r="I14" s="583" t="n"/>
      <c r="J14" s="583" t="n"/>
      <c r="K14" s="583" t="n"/>
      <c r="L14" s="583" t="n"/>
      <c r="M14" s="583" t="n"/>
      <c r="N14" s="583" t="n"/>
      <c r="O14" s="1010" t="inlineStr">
        <is>
          <t>IMEI</t>
        </is>
      </c>
      <c r="P14" s="584" t="n"/>
      <c r="Q14" s="1008" t="n"/>
      <c r="R14" s="577" t="n"/>
      <c r="S14" s="577" t="n"/>
      <c r="T14" s="577" t="n"/>
      <c r="U14" s="577" t="n"/>
      <c r="V14" s="577" t="n"/>
      <c r="W14" s="577" t="n"/>
      <c r="X14" s="577" t="n"/>
      <c r="Y14" s="577" t="n"/>
      <c r="Z14" s="574" t="n"/>
      <c r="AA14" s="439" t="n"/>
      <c r="AB14" s="439" t="n"/>
      <c r="AC14" s="439" t="n"/>
      <c r="AD14" s="439" t="n"/>
    </row>
    <row r="15" ht="25.5" customHeight="1" s="680">
      <c r="A15" s="1000" t="inlineStr">
        <is>
          <t>開機密碼</t>
        </is>
      </c>
      <c r="B15" s="577" t="n"/>
      <c r="C15" s="577" t="n"/>
      <c r="D15" s="574" t="n"/>
      <c r="E15" s="214" t="inlineStr">
        <is>
          <t>□</t>
        </is>
      </c>
      <c r="F15" s="1001" t="inlineStr">
        <is>
          <t>無密碼</t>
        </is>
      </c>
      <c r="G15" s="577" t="n"/>
      <c r="H15" s="577" t="n"/>
      <c r="I15" s="214">
        <f>IF(ISBLANK($N$15),"□","V")</f>
        <v/>
      </c>
      <c r="J15" s="1001" t="inlineStr">
        <is>
          <t>有密碼：</t>
        </is>
      </c>
      <c r="K15" s="577" t="n"/>
      <c r="L15" s="577" t="n"/>
      <c r="M15" s="577" t="n"/>
      <c r="N15" s="1002" t="n"/>
      <c r="O15" s="577" t="n"/>
      <c r="P15" s="577" t="n"/>
      <c r="Q15" s="577" t="n"/>
      <c r="R15" s="577" t="n"/>
      <c r="S15" s="577" t="n"/>
      <c r="T15" s="577" t="n"/>
      <c r="U15" s="577" t="n"/>
      <c r="V15" s="577" t="n"/>
      <c r="W15" s="577" t="n"/>
      <c r="X15" s="577" t="n"/>
      <c r="Y15" s="577" t="n"/>
      <c r="Z15" s="574" t="n"/>
      <c r="AA15" s="439" t="n"/>
      <c r="AB15" s="439" t="n"/>
      <c r="AC15" s="439" t="n"/>
      <c r="AD15" s="439" t="n"/>
    </row>
    <row r="16" ht="25.5" customHeight="1" s="680">
      <c r="A16" s="1000" t="inlineStr">
        <is>
          <t>SIM密碼</t>
        </is>
      </c>
      <c r="B16" s="577" t="n"/>
      <c r="C16" s="577" t="n"/>
      <c r="D16" s="574" t="n"/>
      <c r="E16" s="214" t="inlineStr">
        <is>
          <t>□</t>
        </is>
      </c>
      <c r="F16" s="1001" t="inlineStr">
        <is>
          <t>無密碼</t>
        </is>
      </c>
      <c r="G16" s="577" t="n"/>
      <c r="H16" s="577" t="n"/>
      <c r="I16" s="214">
        <f>IF(ISBLANK($N$16),"□","V")</f>
        <v/>
      </c>
      <c r="J16" s="1001" t="inlineStr">
        <is>
          <t>有密碼：</t>
        </is>
      </c>
      <c r="K16" s="577" t="n"/>
      <c r="L16" s="577" t="n"/>
      <c r="M16" s="577" t="n"/>
      <c r="N16" s="1002" t="n"/>
      <c r="O16" s="577" t="n"/>
      <c r="P16" s="577" t="n"/>
      <c r="Q16" s="577" t="n"/>
      <c r="R16" s="577" t="n"/>
      <c r="S16" s="577" t="n"/>
      <c r="T16" s="577" t="n"/>
      <c r="U16" s="577" t="n"/>
      <c r="V16" s="577" t="n"/>
      <c r="W16" s="577" t="n"/>
      <c r="X16" s="577" t="n"/>
      <c r="Y16" s="577" t="n"/>
      <c r="Z16" s="574" t="n"/>
      <c r="AA16" s="439" t="n"/>
      <c r="AB16" s="439" t="n"/>
      <c r="AC16" s="439" t="n"/>
      <c r="AD16" s="439" t="n"/>
    </row>
    <row r="17" ht="21" customHeight="1" s="680">
      <c r="A17" s="439" t="n"/>
      <c r="B17" s="439" t="n"/>
      <c r="C17" s="439" t="n"/>
      <c r="D17" s="439" t="n"/>
      <c r="E17" s="439" t="n"/>
      <c r="F17" s="439" t="n"/>
      <c r="G17" s="439" t="n"/>
      <c r="H17" s="439" t="n"/>
      <c r="I17" s="439" t="n"/>
      <c r="J17" s="439" t="n"/>
      <c r="K17" s="439" t="n"/>
      <c r="L17" s="439" t="n"/>
      <c r="M17" s="439" t="n"/>
      <c r="N17" s="439" t="n"/>
      <c r="O17" s="439" t="n"/>
      <c r="P17" s="439" t="n"/>
      <c r="Q17" s="439" t="n"/>
      <c r="R17" s="439" t="n"/>
      <c r="S17" s="439" t="n"/>
      <c r="T17" s="439" t="n"/>
      <c r="U17" s="439" t="n"/>
      <c r="V17" s="439" t="n"/>
      <c r="W17" s="439" t="n"/>
      <c r="X17" s="439" t="n"/>
      <c r="Y17" s="439" t="n"/>
      <c r="Z17" s="439" t="n"/>
      <c r="AA17" s="439" t="n"/>
      <c r="AB17" s="439" t="n"/>
      <c r="AC17" s="439" t="n"/>
      <c r="AD17" s="439" t="n"/>
    </row>
    <row r="18" ht="21" customHeight="1" s="680">
      <c r="A18" s="439" t="n"/>
      <c r="B18" s="439" t="n"/>
      <c r="C18" s="439" t="n"/>
      <c r="D18" s="439" t="n"/>
      <c r="E18" s="439" t="n"/>
      <c r="F18" s="439" t="n"/>
      <c r="G18" s="439" t="n"/>
      <c r="H18" s="439" t="n"/>
      <c r="I18" s="439" t="n"/>
      <c r="J18" s="439" t="n"/>
      <c r="K18" s="439" t="n"/>
      <c r="L18" s="439" t="n"/>
      <c r="M18" s="439" t="n"/>
      <c r="N18" s="439" t="n"/>
      <c r="O18" s="439" t="n"/>
      <c r="P18" s="439" t="n"/>
      <c r="Q18" s="439" t="n"/>
      <c r="R18" s="439" t="n"/>
      <c r="S18" s="439" t="n"/>
      <c r="T18" s="439" t="n"/>
      <c r="U18" s="439" t="n"/>
      <c r="V18" s="439" t="n"/>
      <c r="W18" s="439" t="n"/>
      <c r="X18" s="439" t="n"/>
      <c r="Y18" s="439" t="n"/>
      <c r="Z18" s="439" t="n"/>
      <c r="AA18" s="439" t="n"/>
      <c r="AB18" s="439" t="n"/>
      <c r="AC18" s="439" t="n"/>
      <c r="AD18" s="439" t="n"/>
    </row>
    <row r="19" ht="21" customHeight="1" s="680">
      <c r="A19" s="439" t="n"/>
      <c r="B19" s="439" t="n"/>
      <c r="C19" s="439" t="n"/>
      <c r="D19" s="439" t="n"/>
      <c r="E19" s="439" t="n"/>
      <c r="F19" s="439" t="n"/>
      <c r="G19" s="439" t="n"/>
      <c r="H19" s="439" t="n"/>
      <c r="I19" s="439" t="n"/>
      <c r="J19" s="439" t="n"/>
      <c r="K19" s="439" t="n"/>
      <c r="L19" s="439" t="n"/>
      <c r="M19" s="439" t="n"/>
      <c r="N19" s="439" t="n"/>
      <c r="O19" s="439" t="n"/>
      <c r="P19" s="439" t="n"/>
      <c r="Q19" s="439" t="n"/>
      <c r="R19" s="439" t="n"/>
      <c r="S19" s="439" t="n"/>
      <c r="T19" s="439" t="n"/>
      <c r="U19" s="439" t="n"/>
      <c r="V19" s="439" t="n"/>
      <c r="W19" s="439" t="n"/>
      <c r="X19" s="439" t="n"/>
      <c r="Y19" s="439" t="n"/>
      <c r="Z19" s="439" t="n"/>
      <c r="AA19" s="439" t="n"/>
      <c r="AB19" s="439" t="n"/>
      <c r="AC19" s="439" t="n"/>
      <c r="AD19" s="439" t="n"/>
    </row>
    <row r="20" ht="21" customHeight="1" s="680">
      <c r="A20" s="439" t="n"/>
      <c r="B20" s="439" t="n"/>
      <c r="C20" s="439" t="n"/>
      <c r="D20" s="439" t="n"/>
      <c r="E20" s="439" t="n"/>
      <c r="F20" s="439" t="n"/>
      <c r="G20" s="439" t="n"/>
      <c r="H20" s="439" t="n"/>
      <c r="I20" s="439" t="n"/>
      <c r="J20" s="439" t="n"/>
      <c r="K20" s="439" t="n"/>
      <c r="L20" s="439" t="n"/>
      <c r="M20" s="439" t="n"/>
      <c r="N20" s="439" t="n"/>
      <c r="O20" s="439" t="n"/>
      <c r="P20" s="439" t="n"/>
      <c r="Q20" s="439" t="n"/>
      <c r="R20" s="439" t="n"/>
      <c r="S20" s="439" t="n"/>
      <c r="T20" s="439" t="n"/>
      <c r="U20" s="439" t="n"/>
      <c r="V20" s="439" t="n"/>
      <c r="W20" s="439" t="n"/>
      <c r="X20" s="439" t="n"/>
      <c r="Y20" s="439" t="n"/>
      <c r="Z20" s="439" t="n"/>
      <c r="AA20" s="439" t="n"/>
      <c r="AB20" s="439" t="n"/>
      <c r="AC20" s="439" t="n"/>
      <c r="AD20" s="439" t="n"/>
    </row>
    <row r="21" ht="21" customHeight="1" s="680">
      <c r="A21" s="439" t="n"/>
      <c r="B21" s="439" t="n"/>
      <c r="C21" s="439" t="n"/>
      <c r="D21" s="439" t="n"/>
      <c r="E21" s="439" t="n"/>
      <c r="F21" s="439" t="n"/>
      <c r="G21" s="439" t="n"/>
      <c r="H21" s="439" t="n"/>
      <c r="I21" s="439" t="n"/>
      <c r="J21" s="439" t="n"/>
      <c r="K21" s="439" t="n"/>
      <c r="L21" s="439" t="n"/>
      <c r="M21" s="439" t="n"/>
      <c r="N21" s="439" t="n"/>
      <c r="O21" s="439" t="n"/>
      <c r="P21" s="439" t="n"/>
      <c r="Q21" s="439" t="n"/>
      <c r="R21" s="439" t="n"/>
      <c r="S21" s="439" t="n"/>
      <c r="T21" s="439" t="n"/>
      <c r="U21" s="439" t="n"/>
      <c r="V21" s="439" t="n"/>
      <c r="W21" s="439" t="n"/>
      <c r="X21" s="439" t="n"/>
      <c r="Y21" s="439" t="n"/>
      <c r="Z21" s="439" t="n"/>
      <c r="AA21" s="439" t="n"/>
      <c r="AB21" s="439" t="n"/>
      <c r="AC21" s="439" t="n"/>
      <c r="AD21" s="439" t="n"/>
    </row>
  </sheetData>
  <mergeCells count="29">
    <mergeCell ref="A1:Z4"/>
    <mergeCell ref="E5:Z6"/>
    <mergeCell ref="V11:W12"/>
    <mergeCell ref="A7:D8"/>
    <mergeCell ref="N15:Z15"/>
    <mergeCell ref="S11:U12"/>
    <mergeCell ref="Q11:R12"/>
    <mergeCell ref="Q13:Z13"/>
    <mergeCell ref="A15:D15"/>
    <mergeCell ref="E9:T10"/>
    <mergeCell ref="E13:G14"/>
    <mergeCell ref="E11:H12"/>
    <mergeCell ref="N16:Z16"/>
    <mergeCell ref="A5:D6"/>
    <mergeCell ref="H13:N14"/>
    <mergeCell ref="A13:D14"/>
    <mergeCell ref="A11:D12"/>
    <mergeCell ref="I11:J12"/>
    <mergeCell ref="K11:P12"/>
    <mergeCell ref="A16:D16"/>
    <mergeCell ref="J15:M15"/>
    <mergeCell ref="Q14:Z14"/>
    <mergeCell ref="E7:T8"/>
    <mergeCell ref="F16:H16"/>
    <mergeCell ref="A9:D10"/>
    <mergeCell ref="O14:P14"/>
    <mergeCell ref="J16:M16"/>
    <mergeCell ref="F15:H15"/>
    <mergeCell ref="O13:P13"/>
  </mergeCells>
  <pageMargins left="0.7" right="0.7" top="0.75" bottom="0.75" header="0.3" footer="0.3"/>
  <pageSetup orientation="portrait" paperSize="9"/>
</worksheet>
</file>

<file path=xl/worksheets/sheet36.xml><?xml version="1.0" encoding="utf-8"?>
<worksheet xmlns="http://schemas.openxmlformats.org/spreadsheetml/2006/main">
  <sheetPr codeName="工作表36">
    <tabColor theme="9"/>
    <outlinePr summaryBelow="1" summaryRight="1"/>
    <pageSetUpPr fitToPage="1"/>
  </sheetPr>
  <dimension ref="A1:G35"/>
  <sheetViews>
    <sheetView view="pageLayout" zoomScaleNormal="100" workbookViewId="0">
      <selection activeCell="D28" sqref="D28:E31"/>
    </sheetView>
  </sheetViews>
  <sheetFormatPr baseColWidth="8" defaultRowHeight="12.75"/>
  <cols>
    <col width="21.125" customWidth="1" style="1018" min="1" max="1"/>
    <col width="33.875" customWidth="1" style="1018" min="2" max="2"/>
    <col width="13" customWidth="1" style="1018" min="3" max="3"/>
    <col width="22.625" customWidth="1" style="1018" min="4" max="4"/>
    <col width="16.5" customWidth="1" style="1018" min="5" max="5"/>
    <col width="14.875" customWidth="1" style="1018" min="6" max="6"/>
    <col width="5.375" customWidth="1" style="1018" min="7" max="7"/>
    <col width="9" customWidth="1" style="1018" min="8" max="8"/>
    <col width="9" customWidth="1" style="1018" min="9" max="16384"/>
  </cols>
  <sheetData>
    <row r="1" ht="19.5" customHeight="1" s="680">
      <c r="A1" s="1039" t="inlineStr">
        <is>
          <t>應受尿液採驗人尿液檢體採集送驗記錄 （第一聯：由採尿處所存查）</t>
        </is>
      </c>
      <c r="B1" s="1040" t="n"/>
      <c r="C1" s="1040" t="n"/>
      <c r="D1" s="1040" t="n"/>
      <c r="E1" s="1040" t="n"/>
      <c r="F1" s="1040" t="n"/>
    </row>
    <row r="2" ht="27" customHeight="1" s="680">
      <c r="A2" s="1015" t="inlineStr">
        <is>
          <t>檢體編號</t>
        </is>
      </c>
      <c r="B2" s="1015" t="n"/>
      <c r="C2" s="1015" t="inlineStr">
        <is>
          <t>採尿日時</t>
        </is>
      </c>
      <c r="D2" s="1015">
        <f>下拉用!$J$6</f>
        <v/>
      </c>
      <c r="E2" s="1038" t="n"/>
      <c r="F2" s="1015" t="inlineStr">
        <is>
          <t>採尿人員</t>
        </is>
      </c>
      <c r="G2" s="1013" t="inlineStr">
        <is>
          <t>第一聯：由採尿處所存查</t>
        </is>
      </c>
    </row>
    <row r="3" ht="27" customHeight="1" s="680">
      <c r="A3" s="1015" t="inlineStr">
        <is>
          <t>所轄分局</t>
        </is>
      </c>
      <c r="B3" s="1026">
        <f>CONCATENATE(輸入!$S$18,輸入!$T$18,輸入!$S$19,輸入!$T$19)</f>
        <v/>
      </c>
      <c r="C3" s="1015" t="inlineStr">
        <is>
          <t>採尿人員記載事項</t>
        </is>
      </c>
      <c r="D3" s="1026" t="inlineStr">
        <is>
          <t>應受尿液採驗人於前三日內曾否服用藥物？
□否
□是
檢體重要特殊跡象：
□無
□有</t>
        </is>
      </c>
      <c r="E3" s="1027" t="n"/>
      <c r="F3" s="1033" t="n"/>
      <c r="G3" s="1014" t="n"/>
    </row>
    <row r="4" ht="27" customHeight="1" s="680">
      <c r="A4" s="1015" t="inlineStr">
        <is>
          <t>送驗機關</t>
        </is>
      </c>
      <c r="B4" s="1026">
        <f>CONCATENATE(輸入!$S$18,輸入!$T$18,輸入!$S$19,輸入!$T$19)</f>
        <v/>
      </c>
      <c r="C4" s="1024" t="n"/>
      <c r="D4" s="1014" t="n"/>
      <c r="E4" s="1028" t="n"/>
      <c r="F4" s="1024" t="n"/>
      <c r="G4" s="1014" t="n"/>
    </row>
    <row r="5" ht="45.95" customHeight="1" s="680">
      <c r="A5" s="1015" t="inlineStr">
        <is>
          <t>地址</t>
        </is>
      </c>
      <c r="B5" s="1026">
        <f>輸入!$S$23</f>
        <v/>
      </c>
      <c r="C5" s="1024" t="n"/>
      <c r="D5" s="1014" t="n"/>
      <c r="E5" s="1028" t="n"/>
      <c r="F5" s="1024" t="n"/>
      <c r="G5" s="1014" t="n"/>
    </row>
    <row r="6" ht="27" customHeight="1" s="680">
      <c r="A6" s="1015" t="inlineStr">
        <is>
          <t>電話</t>
        </is>
      </c>
      <c r="B6" s="1015">
        <f>輸入!$T$21</f>
        <v/>
      </c>
      <c r="C6" s="1024" t="n"/>
      <c r="D6" s="1014" t="n"/>
      <c r="E6" s="1028" t="n"/>
      <c r="F6" s="1024" t="n"/>
      <c r="G6" s="1014" t="n"/>
    </row>
    <row r="7" ht="14.1" customHeight="1" s="680">
      <c r="A7" s="1015" t="inlineStr">
        <is>
          <t>應受尿液採驗
人姓名</t>
        </is>
      </c>
      <c r="B7" s="1033">
        <f>word用!$H$2</f>
        <v/>
      </c>
      <c r="C7" s="1016" t="n"/>
      <c r="D7" s="1029" t="n"/>
      <c r="E7" s="1030" t="n"/>
      <c r="F7" s="1016" t="n"/>
      <c r="G7" s="1014" t="n"/>
    </row>
    <row r="8" ht="33.95" customHeight="1" s="680">
      <c r="A8" s="1016" t="n"/>
      <c r="B8" s="1016" t="n"/>
      <c r="C8" s="1015" t="inlineStr">
        <is>
          <t>應受尿液採驗人</t>
        </is>
      </c>
      <c r="D8" s="1026" t="inlineStr">
        <is>
          <t>應受尿液採驗人
簽名</t>
        </is>
      </c>
      <c r="E8" s="1035" t="inlineStr">
        <is>
          <t>應受尿液採驗
人左拇指紋印</t>
        </is>
      </c>
      <c r="F8" s="1027" t="n"/>
      <c r="G8" s="1014" t="n"/>
    </row>
    <row r="9" ht="13.35" customHeight="1" s="680">
      <c r="A9" s="1015" t="inlineStr">
        <is>
          <t>身分證
統一編號</t>
        </is>
      </c>
      <c r="B9" s="1033">
        <f>UPPER(VLOOKUP($B$7,個資,2,FALSE))</f>
        <v/>
      </c>
      <c r="C9" s="1024" t="n"/>
      <c r="D9" s="1016" t="n"/>
      <c r="E9" s="1029" t="n"/>
      <c r="F9" s="1030" t="n"/>
      <c r="G9" s="1014" t="n"/>
    </row>
    <row r="10" ht="33.95" customHeight="1" s="680">
      <c r="A10" s="1016" t="n"/>
      <c r="B10" s="1016" t="n"/>
      <c r="C10" s="1024" t="n"/>
      <c r="D10" s="1034" t="n"/>
      <c r="E10" s="1034" t="n"/>
      <c r="F10" s="1027" t="n"/>
      <c r="G10" s="1014" t="n"/>
    </row>
    <row r="11" ht="53.25" customHeight="1" s="680">
      <c r="A11" s="1015" t="inlineStr">
        <is>
          <t>地址</t>
        </is>
      </c>
      <c r="B11" s="1015">
        <f>VLOOKUP($B$7,個資,6,FALSE)</f>
        <v/>
      </c>
      <c r="C11" s="1024" t="n"/>
      <c r="D11" s="1024" t="n"/>
      <c r="E11" s="1014" t="n"/>
      <c r="F11" s="1028" t="n"/>
      <c r="G11" s="1014" t="n"/>
    </row>
    <row r="12" ht="27" customHeight="1" s="680">
      <c r="A12" s="1015" t="inlineStr">
        <is>
          <t>電話</t>
        </is>
      </c>
      <c r="B12" s="444">
        <f>CONCATENATE("0",VLOOKUP($B$7,個資,4,FALSE))</f>
        <v/>
      </c>
      <c r="C12" s="1016" t="n"/>
      <c r="D12" s="1016" t="n"/>
      <c r="E12" s="1029" t="n"/>
      <c r="F12" s="1030" t="n"/>
      <c r="G12" s="1014" t="n"/>
    </row>
    <row r="13" ht="27" customHeight="1" s="680">
      <c r="A13" s="1015" t="inlineStr">
        <is>
          <t>送驗日期</t>
        </is>
      </c>
      <c r="B13" s="197" t="inlineStr">
        <is>
          <t>年     月     日</t>
        </is>
      </c>
      <c r="C13" s="1015" t="inlineStr">
        <is>
          <t>送驗人員</t>
        </is>
      </c>
      <c r="D13" s="1036" t="n"/>
      <c r="E13" s="1037" t="n"/>
      <c r="F13" s="1038" t="n"/>
      <c r="G13" s="1014" t="n"/>
    </row>
    <row r="14" ht="28.5" customHeight="1" s="680">
      <c r="A14" s="1021" t="inlineStr">
        <is>
          <t>………………………………………………………………………………………………………………………………………………………………………………………………………………………</t>
        </is>
      </c>
    </row>
    <row r="15" ht="19.5" customHeight="1" s="680">
      <c r="A15" s="1017" t="inlineStr">
        <is>
          <t>應受尿液採驗人尿液檢體採集送驗記錄（第二聯：經檢驗機構簽收，待檢驗完成連同檢驗報告送回送驗機關）</t>
        </is>
      </c>
    </row>
    <row r="16" ht="27" customHeight="1" s="680">
      <c r="A16" s="1023" t="inlineStr">
        <is>
          <t>檢體編號</t>
        </is>
      </c>
      <c r="B16" s="194" t="n"/>
      <c r="C16" s="194" t="inlineStr">
        <is>
          <t>採尿日時</t>
        </is>
      </c>
      <c r="D16" s="1023">
        <f>下拉用!$J$6</f>
        <v/>
      </c>
      <c r="E16" s="574" t="n"/>
      <c r="F16" s="1023" t="inlineStr">
        <is>
          <t>採尿人員</t>
        </is>
      </c>
      <c r="G16" s="1041" t="inlineStr">
        <is>
          <t>第
二
聯
：
連 經
同 檢
檢 驗
驗 機
報 構
告 簽
送 收
回 ，
送 待
驗 檢
機 驗
關 完
成</t>
        </is>
      </c>
    </row>
    <row r="17" ht="27" customHeight="1" s="680">
      <c r="A17" s="1023" t="inlineStr">
        <is>
          <t>所轄分局</t>
        </is>
      </c>
      <c r="B17" s="190">
        <f>CONCATENATE(輸入!$S$18,輸入!$T$18,輸入!$S$19,輸入!$T$19)</f>
        <v/>
      </c>
      <c r="C17" s="1025" t="inlineStr">
        <is>
          <t>採尿人員記載事項</t>
        </is>
      </c>
      <c r="D17" s="1019" t="inlineStr">
        <is>
          <t>應受尿液採驗人於前三日內曾否服用藥物？
□否
□是
檢體重要特殊跡象：
□無
□有</t>
        </is>
      </c>
      <c r="E17" s="581" t="n"/>
      <c r="F17" s="1022" t="n"/>
      <c r="G17" s="1014" t="n"/>
    </row>
    <row r="18" ht="27" customHeight="1" s="680">
      <c r="A18" s="1023" t="inlineStr">
        <is>
          <t>送驗機關</t>
        </is>
      </c>
      <c r="B18" s="190">
        <f>CONCATENATE(輸入!$S$18,輸入!$T$18,輸入!$S$19,輸入!$T$19)</f>
        <v/>
      </c>
      <c r="C18" s="945" t="n"/>
      <c r="D18" s="609" t="n"/>
      <c r="E18" s="611" t="n"/>
      <c r="F18" s="945" t="n"/>
      <c r="G18" s="1014" t="n"/>
    </row>
    <row r="19" ht="60" customHeight="1" s="680">
      <c r="A19" s="1023" t="inlineStr">
        <is>
          <t>地址</t>
        </is>
      </c>
      <c r="B19" s="190">
        <f>輸入!$S$23</f>
        <v/>
      </c>
      <c r="C19" s="945" t="n"/>
      <c r="D19" s="609" t="n"/>
      <c r="E19" s="611" t="n"/>
      <c r="F19" s="945" t="n"/>
      <c r="G19" s="1014" t="n"/>
    </row>
    <row r="20" ht="27" customHeight="1" s="680">
      <c r="A20" s="1023" t="inlineStr">
        <is>
          <t>電話</t>
        </is>
      </c>
      <c r="B20" s="194">
        <f>輸入!$T$21</f>
        <v/>
      </c>
      <c r="C20" s="588" t="n"/>
      <c r="D20" s="582" t="n"/>
      <c r="E20" s="584" t="n"/>
      <c r="F20" s="588" t="n"/>
      <c r="G20" s="1014" t="n"/>
    </row>
    <row r="21" ht="81.75" customHeight="1" s="680">
      <c r="A21" s="1032" t="inlineStr">
        <is>
          <t>送請檢驗項目:
□鴉片類藥物
□安非他命類藥物
□其他</t>
        </is>
      </c>
      <c r="B21" s="193" t="inlineStr">
        <is>
          <t>檢驗機構名稱：</t>
        </is>
      </c>
      <c r="C21" s="1031" t="inlineStr">
        <is>
          <t xml:space="preserve">檢驗結果：□安非他命類藥物
            □安非他命    □陽性□未檢出
            □甲基安非他命□陽性□未檢出
          □鴉片類藥物
            □嗎啡        □陽性□未檢出
            □可待因      □陽性□未檢出
          □其他                   </t>
        </is>
      </c>
      <c r="D21" s="580" t="n"/>
      <c r="E21" s="580" t="n"/>
      <c r="F21" s="193" t="inlineStr">
        <is>
          <t>應受尿液採驗人左拇指紋印</t>
        </is>
      </c>
      <c r="G21" s="1014" t="n"/>
    </row>
    <row r="22" ht="60" customHeight="1" s="680">
      <c r="A22" s="588" t="n"/>
      <c r="B22" s="193" t="inlineStr">
        <is>
          <t>收件人：</t>
        </is>
      </c>
      <c r="F22" s="192" t="n"/>
      <c r="G22" s="1014" t="n"/>
    </row>
    <row r="23" ht="27" customHeight="1" s="680">
      <c r="A23" s="1032" t="inlineStr">
        <is>
          <t>送驗日期</t>
        </is>
      </c>
      <c r="B23" s="1020" t="inlineStr">
        <is>
          <t>年     月     日</t>
        </is>
      </c>
      <c r="C23" s="1023" t="inlineStr">
        <is>
          <t>送驗人員</t>
        </is>
      </c>
      <c r="D23" s="1020" t="n"/>
      <c r="E23" s="577" t="n"/>
      <c r="F23" s="574" t="n"/>
      <c r="G23" s="1014" t="n"/>
    </row>
    <row r="24" ht="27" customHeight="1" s="680">
      <c r="A24" s="195" t="n"/>
      <c r="B24" s="195" t="n"/>
      <c r="C24" s="195" t="n"/>
      <c r="D24" s="190" t="inlineStr">
        <is>
          <t>請貼條碼</t>
        </is>
      </c>
      <c r="E24" s="1020" t="n"/>
      <c r="F24" s="574" t="n"/>
      <c r="G24" s="1014" t="n"/>
    </row>
    <row r="25" ht="28.5" customHeight="1" s="680">
      <c r="A25" s="1021" t="inlineStr">
        <is>
          <t>………………………………………………………………………………………………………………………………………………………………………………………………………………………</t>
        </is>
      </c>
    </row>
    <row r="26" ht="19.5" customHeight="1" s="680">
      <c r="A26" s="1017" t="inlineStr">
        <is>
          <t>應受尿液採驗人尿液檢體採集送驗記錄（第三聯：連同尿液檢體送交檢驗機關）</t>
        </is>
      </c>
    </row>
    <row r="27" ht="27" customHeight="1" s="680">
      <c r="A27" s="1023" t="inlineStr">
        <is>
          <t>檢體編號</t>
        </is>
      </c>
      <c r="B27" s="194" t="n"/>
      <c r="C27" s="194" t="inlineStr">
        <is>
          <t>採尿日時</t>
        </is>
      </c>
      <c r="D27" s="1023">
        <f>下拉用!$J$6</f>
        <v/>
      </c>
      <c r="E27" s="574" t="n"/>
      <c r="F27" s="1023" t="inlineStr">
        <is>
          <t>採尿人員</t>
        </is>
      </c>
      <c r="G27" s="1013" t="inlineStr">
        <is>
          <t>第三聯：連同尿液檢體送交檢驗機關</t>
        </is>
      </c>
    </row>
    <row r="28" ht="27" customHeight="1" s="680">
      <c r="A28" s="1023" t="inlineStr">
        <is>
          <t>所轄分局</t>
        </is>
      </c>
      <c r="B28" s="190">
        <f>CONCATENATE(輸入!$S$18,輸入!$T$18,輸入!$S$19,輸入!$T$19)</f>
        <v/>
      </c>
      <c r="C28" s="1025" t="inlineStr">
        <is>
          <t>採尿人員記載事項</t>
        </is>
      </c>
      <c r="D28" s="1019" t="inlineStr">
        <is>
          <t>應受尿液採驗人於前三日內曾否服用藥物？
□否
□是
檢體重要特殊跡象：
□無
□有</t>
        </is>
      </c>
      <c r="E28" s="581" t="n"/>
      <c r="F28" s="1022" t="n"/>
      <c r="G28" s="1014" t="n"/>
    </row>
    <row r="29" ht="27" customHeight="1" s="680">
      <c r="A29" s="1023" t="inlineStr">
        <is>
          <t>送驗機關</t>
        </is>
      </c>
      <c r="B29" s="190">
        <f>CONCATENATE(輸入!$S$18,輸入!$T$18,輸入!$S$19,輸入!$T$19)</f>
        <v/>
      </c>
      <c r="C29" s="945" t="n"/>
      <c r="D29" s="609" t="n"/>
      <c r="E29" s="611" t="n"/>
      <c r="F29" s="945" t="n"/>
      <c r="G29" s="1014" t="n"/>
    </row>
    <row r="30" ht="60" customHeight="1" s="680">
      <c r="A30" s="1023" t="inlineStr">
        <is>
          <t>地址</t>
        </is>
      </c>
      <c r="B30" s="190">
        <f>輸入!$S$23</f>
        <v/>
      </c>
      <c r="C30" s="945" t="n"/>
      <c r="D30" s="609" t="n"/>
      <c r="E30" s="611" t="n"/>
      <c r="F30" s="945" t="n"/>
      <c r="G30" s="1014" t="n"/>
    </row>
    <row r="31" ht="27" customHeight="1" s="680">
      <c r="A31" s="1023" t="inlineStr">
        <is>
          <t>電話</t>
        </is>
      </c>
      <c r="B31" s="194">
        <f>輸入!$T$21</f>
        <v/>
      </c>
      <c r="C31" s="588" t="n"/>
      <c r="D31" s="582" t="n"/>
      <c r="E31" s="584" t="n"/>
      <c r="F31" s="588" t="n"/>
      <c r="G31" s="1014" t="n"/>
    </row>
    <row r="32" ht="81.75" customHeight="1" s="680">
      <c r="A32" s="1032" t="inlineStr">
        <is>
          <t>送請檢驗項目:
□鴉片類藥物
□安非他命類藥物
□其他</t>
        </is>
      </c>
      <c r="B32" s="193" t="inlineStr">
        <is>
          <t>檢驗機構名稱：</t>
        </is>
      </c>
      <c r="C32" s="1031" t="inlineStr">
        <is>
          <t xml:space="preserve">檢驗結果：□安非他命類藥物
            □安非他命    □陽性□未檢出
            □甲基安非他命□陽性□未檢出
          □鴉片類藥物
            □嗎啡        □陽性□未檢出
            □可待因      □陽性□未檢出
          □其他                   </t>
        </is>
      </c>
      <c r="D32" s="580" t="n"/>
      <c r="E32" s="580" t="n"/>
      <c r="F32" s="193" t="inlineStr">
        <is>
          <t>應受尿液採驗人左拇指紋印</t>
        </is>
      </c>
      <c r="G32" s="1014" t="n"/>
    </row>
    <row r="33" ht="60" customHeight="1" s="680">
      <c r="A33" s="588" t="n"/>
      <c r="B33" s="193" t="inlineStr">
        <is>
          <t>收件人：</t>
        </is>
      </c>
      <c r="F33" s="192" t="n"/>
      <c r="G33" s="1014" t="n"/>
    </row>
    <row r="34" ht="27" customHeight="1" s="680">
      <c r="A34" s="524" t="inlineStr">
        <is>
          <t>送驗日期</t>
        </is>
      </c>
      <c r="B34" s="525" t="inlineStr">
        <is>
          <t>年     月     日</t>
        </is>
      </c>
      <c r="C34" s="523" t="inlineStr">
        <is>
          <t>送驗人員</t>
        </is>
      </c>
      <c r="D34" s="1020" t="n"/>
      <c r="E34" s="577" t="n"/>
      <c r="F34" s="574" t="n"/>
      <c r="G34" s="1014" t="n"/>
    </row>
    <row r="35" ht="27" customHeight="1" s="680">
      <c r="A35" s="191" t="n"/>
      <c r="B35" s="191" t="n"/>
      <c r="C35" s="191" t="n"/>
      <c r="D35" s="190" t="inlineStr">
        <is>
          <t>請貼條碼</t>
        </is>
      </c>
      <c r="E35" s="1020" t="n"/>
      <c r="F35" s="574" t="n"/>
      <c r="G35" s="1014" t="n"/>
    </row>
  </sheetData>
  <mergeCells count="38">
    <mergeCell ref="C32:E33"/>
    <mergeCell ref="D17:E20"/>
    <mergeCell ref="D13:F13"/>
    <mergeCell ref="E24:F24"/>
    <mergeCell ref="C8:C12"/>
    <mergeCell ref="A7:A8"/>
    <mergeCell ref="A26:F26"/>
    <mergeCell ref="D28:E31"/>
    <mergeCell ref="E35:F35"/>
    <mergeCell ref="D2:E2"/>
    <mergeCell ref="A14:F14"/>
    <mergeCell ref="F17:F20"/>
    <mergeCell ref="D27:E27"/>
    <mergeCell ref="C3:C7"/>
    <mergeCell ref="G16:G24"/>
    <mergeCell ref="G2:G13"/>
    <mergeCell ref="D10:D12"/>
    <mergeCell ref="A21:A22"/>
    <mergeCell ref="A32:A33"/>
    <mergeCell ref="D16:E16"/>
    <mergeCell ref="B9:B10"/>
    <mergeCell ref="E10:F12"/>
    <mergeCell ref="D23:F23"/>
    <mergeCell ref="C17:C20"/>
    <mergeCell ref="D8:D9"/>
    <mergeCell ref="E8:F9"/>
    <mergeCell ref="F3:F7"/>
    <mergeCell ref="C21:E22"/>
    <mergeCell ref="A15:F15"/>
    <mergeCell ref="G27:G35"/>
    <mergeCell ref="D34:F34"/>
    <mergeCell ref="C28:C31"/>
    <mergeCell ref="D3:E7"/>
    <mergeCell ref="F28:F31"/>
    <mergeCell ref="A9:A10"/>
    <mergeCell ref="A1:F1"/>
    <mergeCell ref="B7:B8"/>
    <mergeCell ref="A25:F25"/>
  </mergeCells>
  <printOptions horizontalCentered="1"/>
  <pageMargins left="0.1181102362204725" right="0.2362204724409449" top="0.7480314960629921" bottom="0.7480314960629921" header="0.3149606299212598" footer="0.3149606299212598"/>
  <pageSetup orientation="portrait" paperSize="9" scale="64"/>
</worksheet>
</file>

<file path=xl/worksheets/sheet37.xml><?xml version="1.0" encoding="utf-8"?>
<worksheet xmlns="http://schemas.openxmlformats.org/spreadsheetml/2006/main">
  <sheetPr codeName="工作表31">
    <tabColor theme="9"/>
    <outlinePr summaryBelow="1" summaryRight="1"/>
    <pageSetUpPr/>
  </sheetPr>
  <dimension ref="A1:D27"/>
  <sheetViews>
    <sheetView view="pageBreakPreview" zoomScale="115" zoomScaleNormal="100" zoomScaleSheetLayoutView="115" workbookViewId="0">
      <selection activeCell="B5" sqref="B5:D5"/>
    </sheetView>
  </sheetViews>
  <sheetFormatPr baseColWidth="8" defaultRowHeight="16.5"/>
  <cols>
    <col width="16.25" customWidth="1" style="680" min="1" max="1"/>
    <col width="7.75" customWidth="1" style="680" min="2" max="2"/>
    <col width="3.875" customWidth="1" style="680" min="3" max="3"/>
    <col width="59.375" customWidth="1" style="680" min="4" max="4"/>
    <col width="2.75" customWidth="1" style="680" min="5" max="54"/>
  </cols>
  <sheetData>
    <row r="1" ht="24" customHeight="1" s="680">
      <c r="A1" s="1055">
        <f>CONCATENATE(輸入!$S$18,輸入!$T$18)</f>
        <v/>
      </c>
      <c r="B1" s="721" t="n"/>
      <c r="C1" s="1064" t="inlineStr">
        <is>
          <t>查獲初犯涉毒少年即時實施關懷工作紀錄表</t>
        </is>
      </c>
      <c r="D1" s="721" t="n"/>
    </row>
    <row r="2" ht="24" customHeight="1" s="680" thickBot="1">
      <c r="A2" s="1059">
        <f>CONCATENATE(輸入!$S$19,輸入!$T$19)</f>
        <v/>
      </c>
      <c r="B2" s="670" t="n"/>
      <c r="C2" s="670" t="n"/>
      <c r="D2" s="670" t="n"/>
    </row>
    <row r="3" ht="52.5" customHeight="1" s="680" thickBot="1">
      <c r="A3" s="236" t="inlineStr">
        <is>
          <t>少年姓名</t>
        </is>
      </c>
      <c r="B3" s="1047">
        <f>word用!$H$2</f>
        <v/>
      </c>
      <c r="C3" s="803" t="n"/>
      <c r="D3" s="235" t="inlineStr">
        <is>
          <t>□ 毒品初犯□再犯</t>
        </is>
      </c>
    </row>
    <row r="4" ht="52.5" customHeight="1" s="680" thickBot="1">
      <c r="A4" s="234" t="inlineStr">
        <is>
          <t>查獲時間</t>
        </is>
      </c>
      <c r="B4" s="1045">
        <f>下拉用!$J$5</f>
        <v/>
      </c>
      <c r="C4" s="803" t="n"/>
      <c r="D4" s="1046" t="n"/>
    </row>
    <row r="5" ht="52.5" customHeight="1" s="680" thickBot="1">
      <c r="A5" s="233" t="inlineStr">
        <is>
          <t>查獲地點</t>
        </is>
      </c>
      <c r="B5" s="1045">
        <f>輸入!$C$7</f>
        <v/>
      </c>
      <c r="C5" s="803" t="n"/>
      <c r="D5" s="1046" t="n"/>
    </row>
    <row r="6" ht="52.5" customHeight="1" s="680" thickBot="1">
      <c r="A6" s="233" t="inlineStr">
        <is>
          <t>毒品種類</t>
        </is>
      </c>
      <c r="B6" s="1045">
        <f>輸入!$H$7</f>
        <v/>
      </c>
      <c r="C6" s="803" t="n"/>
      <c r="D6" s="1046" t="n"/>
    </row>
    <row r="7" ht="52.5" customHeight="1" s="680" thickBot="1">
      <c r="A7" s="232" t="inlineStr">
        <is>
          <t>毒品等級</t>
        </is>
      </c>
      <c r="B7" s="1061">
        <f t="array" ref="B7">_xlfn.IFS(輸入!H7=下拉用!F2,"一級",輸入!H7=下拉用!F3,"二級",輸入!H7=下拉用!F4,"三級",輸入!H7=下拉用!F5,"四級")</f>
        <v/>
      </c>
      <c r="C7" s="1062" t="n"/>
      <c r="D7" s="1063" t="n"/>
    </row>
    <row r="8" ht="52.5" customHeight="1" s="680" thickBot="1">
      <c r="A8" s="529" t="inlineStr">
        <is>
          <t>實施關懷時間</t>
        </is>
      </c>
      <c r="B8" s="1048" t="inlineStr">
        <is>
          <t xml:space="preserve">   年   月   日   時   分</t>
        </is>
      </c>
      <c r="C8" s="1049" t="n"/>
      <c r="D8" s="1050" t="n"/>
    </row>
    <row r="9" ht="25.5" customHeight="1" s="680">
      <c r="A9" s="1056" t="inlineStr">
        <is>
          <t>被關懷人/
與少年關係</t>
        </is>
      </c>
      <c r="B9" s="1060" t="n"/>
      <c r="C9" s="721" t="n"/>
      <c r="D9" s="842" t="n"/>
    </row>
    <row r="10" ht="25.5" customHeight="1" s="680" thickBot="1">
      <c r="A10" s="1057" t="n"/>
      <c r="B10" s="843" t="n"/>
      <c r="C10" s="670" t="n"/>
      <c r="D10" s="671" t="n"/>
    </row>
    <row r="11" ht="25.5" customHeight="1" s="680">
      <c r="A11" s="1056" t="inlineStr">
        <is>
          <t>連絡電話/
電子郵件</t>
        </is>
      </c>
      <c r="B11" s="1060" t="n"/>
      <c r="C11" s="721" t="n"/>
      <c r="D11" s="842" t="n"/>
    </row>
    <row r="12" ht="25.5" customHeight="1" s="680" thickBot="1">
      <c r="A12" s="1057" t="n"/>
      <c r="B12" s="843" t="n"/>
      <c r="C12" s="670" t="n"/>
      <c r="D12" s="671" t="n"/>
    </row>
    <row r="13" ht="52.5" customHeight="1" s="680" thickBot="1">
      <c r="A13" s="529" t="inlineStr">
        <is>
          <t>查獲單位</t>
        </is>
      </c>
      <c r="B13" s="1045">
        <f>CONCATENATE(輸入!$S$18,輸入!$T$18,輸入!$S$19,輸入!$T$19,輸入!$S$20,輸入!$T$20)</f>
        <v/>
      </c>
      <c r="C13" s="803" t="n"/>
      <c r="D13" s="1046" t="n"/>
    </row>
    <row r="14" ht="52.5" customHeight="1" s="680" thickBot="1">
      <c r="A14" s="529" t="inlineStr">
        <is>
          <t>承辦人員</t>
        </is>
      </c>
      <c r="B14" s="1045">
        <f>CONCATENATE(輸入!$T$24," ",輸入!$O$8)</f>
        <v/>
      </c>
      <c r="C14" s="803" t="n"/>
      <c r="D14" s="1046" t="n"/>
    </row>
    <row r="15" ht="23.25" customHeight="1" s="680">
      <c r="A15" s="1056" t="inlineStr">
        <is>
          <t>關懷服務內容</t>
        </is>
      </c>
      <c r="B15" s="1058" t="inlineStr">
        <is>
          <t>□ 說明司法流程</t>
        </is>
      </c>
      <c r="C15" s="721" t="n"/>
      <c r="D15" s="836" t="n"/>
    </row>
    <row r="16" ht="23.25" customHeight="1" s="680">
      <c r="A16" s="1043" t="n"/>
      <c r="B16" s="1054" t="inlineStr">
        <is>
          <t>□ 提供教育部編列之家長親職手冊</t>
        </is>
      </c>
      <c r="D16" s="669" t="n"/>
    </row>
    <row r="17" ht="23.25" customHeight="1" s="680" thickBot="1">
      <c r="A17" s="1057" t="n"/>
      <c r="B17" s="1051" t="inlineStr">
        <is>
          <t>□ 少年輔導委員會或毒品危害防制中心等相關資源</t>
        </is>
      </c>
      <c r="C17" s="769" t="n"/>
      <c r="D17" s="821" t="n"/>
    </row>
    <row r="18" ht="23.25" customHeight="1" s="680">
      <c r="A18" s="1042" t="inlineStr">
        <is>
          <t>關懷服務方式</t>
        </is>
      </c>
      <c r="B18" s="1058" t="inlineStr">
        <is>
          <t>□ 簡訊關懷</t>
        </is>
      </c>
      <c r="C18" s="721" t="n"/>
      <c r="D18" s="836" t="n"/>
    </row>
    <row r="19" ht="23.25" customHeight="1" s="680">
      <c r="A19" s="1043" t="n"/>
      <c r="B19" s="1054" t="inlineStr">
        <is>
          <t>□ 電子郵件關懷</t>
        </is>
      </c>
      <c r="D19" s="669" t="n"/>
    </row>
    <row r="20" ht="23.25" customHeight="1" s="680">
      <c r="A20" s="1043" t="n"/>
      <c r="B20" s="1052" t="inlineStr">
        <is>
          <t>□ 親自關懷</t>
        </is>
      </c>
      <c r="D20" s="669" t="n"/>
    </row>
    <row r="21" ht="23.25" customHeight="1" s="680">
      <c r="A21" s="1043" t="n"/>
      <c r="B21" s="1054" t="inlineStr">
        <is>
          <t>□ 電話關懷</t>
        </is>
      </c>
      <c r="D21" s="669" t="n"/>
    </row>
    <row r="22" ht="23.25" customHeight="1" s="680" thickBot="1">
      <c r="A22" s="1044" t="n"/>
      <c r="B22" s="1053" t="inlineStr">
        <is>
          <t>□ 其他方式關懷</t>
        </is>
      </c>
      <c r="C22" s="850" t="n"/>
      <c r="D22" s="851" t="n"/>
    </row>
    <row r="23" ht="17.25" customHeight="1" s="680" thickTop="1">
      <c r="A23" s="115" t="n"/>
      <c r="B23" s="115" t="n"/>
      <c r="C23" s="115" t="n"/>
      <c r="D23" s="115" t="n"/>
    </row>
    <row r="24">
      <c r="A24" s="231" t="n"/>
      <c r="B24" s="231" t="n"/>
      <c r="C24" s="231" t="n"/>
    </row>
    <row r="25">
      <c r="A25" s="230" t="inlineStr">
        <is>
          <t>藥物濫用青少年親職手冊網址：http://enc.moe.edu.tw/UploadFile/eBook/20160819134838052559/index.html#p=1</t>
        </is>
      </c>
      <c r="B25" s="230" t="n"/>
      <c r="C25" s="230" t="n"/>
    </row>
    <row r="26">
      <c r="A26" s="230" t="n"/>
      <c r="B26" s="230" t="n"/>
      <c r="C26" s="230" t="n"/>
    </row>
    <row r="27">
      <c r="A27" s="229" t="n"/>
      <c r="B27" s="229" t="n"/>
      <c r="C27" s="229" t="n"/>
    </row>
  </sheetData>
  <mergeCells count="25">
    <mergeCell ref="A18:A22"/>
    <mergeCell ref="B14:D14"/>
    <mergeCell ref="B3:C3"/>
    <mergeCell ref="B8:D8"/>
    <mergeCell ref="B17:D17"/>
    <mergeCell ref="B13:D13"/>
    <mergeCell ref="A1:B1"/>
    <mergeCell ref="B19:D19"/>
    <mergeCell ref="A15:A17"/>
    <mergeCell ref="B15:D15"/>
    <mergeCell ref="B6:D6"/>
    <mergeCell ref="B20:D20"/>
    <mergeCell ref="A2:B2"/>
    <mergeCell ref="B5:D5"/>
    <mergeCell ref="B11:D12"/>
    <mergeCell ref="B4:D4"/>
    <mergeCell ref="B7:D7"/>
    <mergeCell ref="B16:D16"/>
    <mergeCell ref="A9:A10"/>
    <mergeCell ref="B22:D22"/>
    <mergeCell ref="C1:D2"/>
    <mergeCell ref="B18:D18"/>
    <mergeCell ref="B9:D10"/>
    <mergeCell ref="B21:D21"/>
    <mergeCell ref="A11:A12"/>
  </mergeCells>
  <hyperlinks>
    <hyperlink xmlns:r="http://schemas.openxmlformats.org/officeDocument/2006/relationships" ref="A25" location="p=1" display="p=1" r:id="rId1"/>
  </hyperlinks>
  <pageMargins left="0.7" right="0.7" top="0.75" bottom="0.75" header="0.3" footer="0.3"/>
  <pageSetup orientation="portrait" paperSize="9" scale="94"/>
</worksheet>
</file>

<file path=xl/worksheets/sheet38.xml><?xml version="1.0" encoding="utf-8"?>
<worksheet xmlns="http://schemas.openxmlformats.org/spreadsheetml/2006/main">
  <sheetPr codeName="工作表44">
    <tabColor theme="9"/>
    <outlinePr summaryBelow="1" summaryRight="1"/>
    <pageSetUpPr/>
  </sheetPr>
  <dimension ref="A1:I24"/>
  <sheetViews>
    <sheetView showGridLines="0" view="pageLayout" topLeftCell="A10" zoomScaleNormal="100" workbookViewId="0">
      <selection activeCell="C8" sqref="C8:I8"/>
    </sheetView>
  </sheetViews>
  <sheetFormatPr baseColWidth="8" defaultRowHeight="16.5"/>
  <cols>
    <col width="6.5" customWidth="1" style="680" min="1" max="1"/>
    <col width="5.125" customWidth="1" style="680" min="2" max="2"/>
    <col width="29.25" customWidth="1" style="680" min="3" max="3"/>
    <col width="4.875" customWidth="1" style="680" min="4" max="4"/>
    <col width="11.625" customWidth="1" style="680" min="5" max="5"/>
    <col width="8.125" customWidth="1" style="680" min="6" max="6"/>
    <col width="4.25" customWidth="1" style="680" min="7" max="7"/>
    <col width="12" customWidth="1" style="680" min="8" max="8"/>
    <col width="14.5" customWidth="1" style="680" min="9" max="9"/>
  </cols>
  <sheetData>
    <row r="1" ht="36" customHeight="1" s="680" thickTop="1">
      <c r="A1" s="1072">
        <f>CONCATENATE(輸入!$S$18,輸入!$T$18)</f>
        <v/>
      </c>
      <c r="B1" s="830" t="n"/>
      <c r="C1" s="830" t="n"/>
      <c r="D1" s="1068">
        <f>CONCATENATE(輸入!$S$20,輸入!$T$20,"查訪紀錄表(電話訪查)")</f>
        <v/>
      </c>
      <c r="E1" s="830" t="n"/>
      <c r="F1" s="830" t="n"/>
      <c r="G1" s="830" t="n"/>
      <c r="H1" s="830" t="n"/>
      <c r="I1" s="1069" t="n"/>
    </row>
    <row r="2" ht="36" customHeight="1" s="680" thickBot="1">
      <c r="A2" s="1073">
        <f>CONCATENATE(輸入!$S$19,輸入!$T$19)</f>
        <v/>
      </c>
      <c r="B2" s="670" t="n"/>
      <c r="C2" s="670" t="n"/>
      <c r="D2" s="670" t="n"/>
      <c r="E2" s="670" t="n"/>
      <c r="F2" s="670" t="n"/>
      <c r="G2" s="670" t="n"/>
      <c r="H2" s="670" t="n"/>
      <c r="I2" s="671" t="n"/>
    </row>
    <row r="3" ht="39" customHeight="1" s="680" thickBot="1">
      <c r="A3" s="1074" t="inlineStr">
        <is>
          <t>案由</t>
        </is>
      </c>
      <c r="B3" s="770" t="n"/>
      <c r="C3" s="1070">
        <f>CONCATENATE(,word用!$H$2,"因涉",輸入!$C$2,"，家中兒童是否需要協助案")</f>
        <v/>
      </c>
      <c r="D3" s="769" t="n"/>
      <c r="E3" s="769" t="n"/>
      <c r="F3" s="769" t="n"/>
      <c r="G3" s="769" t="n"/>
      <c r="H3" s="769" t="n"/>
      <c r="I3" s="1071" t="n"/>
    </row>
    <row r="4" ht="27" customHeight="1" s="680" thickBot="1">
      <c r="A4" s="1065" t="inlineStr">
        <is>
          <t>查訪時間</t>
        </is>
      </c>
      <c r="B4" s="804" t="n"/>
      <c r="C4" s="1066" t="inlineStr">
        <is>
          <t xml:space="preserve">   年   月   日   時   分</t>
        </is>
      </c>
      <c r="D4" s="803" t="n"/>
      <c r="E4" s="803" t="n"/>
      <c r="F4" s="803" t="n"/>
      <c r="G4" s="803" t="n"/>
      <c r="H4" s="803" t="n"/>
      <c r="I4" s="1067" t="n"/>
    </row>
    <row r="5" ht="27" customHeight="1" s="680" thickBot="1">
      <c r="A5" s="1065" t="inlineStr">
        <is>
          <t>查訪地點</t>
        </is>
      </c>
      <c r="B5" s="804" t="n"/>
      <c r="C5" s="1066">
        <f>CONCATENATE(輸入!S23,"(電話訪查)")</f>
        <v/>
      </c>
      <c r="D5" s="803" t="n"/>
      <c r="E5" s="803" t="n"/>
      <c r="F5" s="803" t="n"/>
      <c r="G5" s="803" t="n"/>
      <c r="H5" s="803" t="n"/>
      <c r="I5" s="1067" t="n"/>
    </row>
    <row r="6" ht="27" customHeight="1" s="680" thickBot="1">
      <c r="A6" s="1065" t="inlineStr">
        <is>
          <t>受訪人</t>
        </is>
      </c>
      <c r="B6" s="804" t="n"/>
      <c r="C6" s="1075" t="n"/>
      <c r="D6" s="804" t="n"/>
      <c r="E6" s="481" t="inlineStr">
        <is>
          <t>性別</t>
        </is>
      </c>
      <c r="F6" s="1075" t="n"/>
      <c r="G6" s="804" t="n"/>
      <c r="H6" s="481" t="inlineStr">
        <is>
          <t>職業</t>
        </is>
      </c>
      <c r="I6" s="228" t="n"/>
    </row>
    <row r="7" ht="27" customHeight="1" s="680" thickBot="1">
      <c r="A7" s="1065" t="inlineStr">
        <is>
          <t>身分證號</t>
        </is>
      </c>
      <c r="B7" s="804" t="n"/>
      <c r="C7" s="1075" t="n"/>
      <c r="D7" s="804" t="n"/>
      <c r="E7" s="481" t="inlineStr">
        <is>
          <t>出生日期</t>
        </is>
      </c>
      <c r="F7" s="1075" t="n"/>
      <c r="G7" s="804" t="n"/>
      <c r="H7" s="481" t="inlineStr">
        <is>
          <t>連絡電話</t>
        </is>
      </c>
      <c r="I7" s="227" t="n"/>
    </row>
    <row r="8" ht="27" customHeight="1" s="680" thickBot="1">
      <c r="A8" s="1085" t="inlineStr">
        <is>
          <t>住居地</t>
        </is>
      </c>
      <c r="B8" s="1086" t="n"/>
      <c r="C8" s="1076" t="n"/>
      <c r="D8" s="1077" t="n"/>
      <c r="E8" s="1077" t="n"/>
      <c r="F8" s="1077" t="n"/>
      <c r="G8" s="1077" t="n"/>
      <c r="H8" s="1077" t="n"/>
      <c r="I8" s="1078" t="n"/>
    </row>
    <row r="9" ht="49.5" customHeight="1" s="680" thickBot="1" thickTop="1">
      <c r="A9" s="226" t="inlineStr">
        <is>
          <t>問：</t>
        </is>
      </c>
      <c r="B9" s="1082">
        <f>CONCATENATE("請問是",word用!$H$2,"的家人嗎？你好！我這裡是",輸入!$S$19,輸入!$T$19,輸入!$S$20,輸入!$T$20,"，有幾個問題，請你配合訪查。")</f>
        <v/>
      </c>
      <c r="C9" s="1083" t="n"/>
      <c r="D9" s="1083" t="n"/>
      <c r="E9" s="1083" t="n"/>
      <c r="F9" s="1083" t="n"/>
      <c r="G9" s="1083" t="n"/>
      <c r="H9" s="1083" t="n"/>
      <c r="I9" s="1084" t="n"/>
    </row>
    <row r="10" ht="24.75" customHeight="1" s="680" thickBot="1">
      <c r="A10" s="226" t="inlineStr">
        <is>
          <t>答：</t>
        </is>
      </c>
      <c r="B10" s="1066" t="inlineStr">
        <is>
          <t>是的，好。</t>
        </is>
      </c>
      <c r="C10" s="803" t="n"/>
      <c r="D10" s="803" t="n"/>
      <c r="E10" s="803" t="n"/>
      <c r="F10" s="803" t="n"/>
      <c r="G10" s="803" t="n"/>
      <c r="H10" s="803" t="n"/>
      <c r="I10" s="1067" t="n"/>
    </row>
    <row r="11" ht="50.25" customHeight="1" s="680" thickBot="1">
      <c r="A11" s="226" t="inlineStr">
        <is>
          <t>問：</t>
        </is>
      </c>
      <c r="B11" s="1066">
        <f>CONCATENATE("請問犯嫌",word用!$H$2,"本人有無未滿12歲子女？戶籍地或實際居住地有沒有未滿12歲兒童（不管是誰的孩子）？有無受犯嫌照顧或監護之兒童？ ")</f>
        <v/>
      </c>
      <c r="C11" s="803" t="n"/>
      <c r="D11" s="803" t="n"/>
      <c r="E11" s="803" t="n"/>
      <c r="F11" s="803" t="n"/>
      <c r="G11" s="803" t="n"/>
      <c r="H11" s="803" t="n"/>
      <c r="I11" s="1067" t="n"/>
    </row>
    <row r="12" ht="24.75" customHeight="1" s="680" thickBot="1">
      <c r="A12" s="226" t="inlineStr">
        <is>
          <t>答：</t>
        </is>
      </c>
      <c r="B12" s="1066" t="inlineStr">
        <is>
          <t>有，沒有。有</t>
        </is>
      </c>
      <c r="C12" s="803" t="n"/>
      <c r="D12" s="803" t="n"/>
      <c r="E12" s="803" t="n"/>
      <c r="F12" s="803" t="n"/>
      <c r="G12" s="803" t="n"/>
      <c r="H12" s="803" t="n"/>
      <c r="I12" s="1067" t="n"/>
    </row>
    <row r="13" ht="24.75" customHeight="1" s="680" thickBot="1">
      <c r="A13" s="226" t="inlineStr">
        <is>
          <t>問：</t>
        </is>
      </c>
      <c r="B13" s="1066" t="inlineStr">
        <is>
          <t>目前該兒童          是由何人照顧、監護？</t>
        </is>
      </c>
      <c r="C13" s="803" t="n"/>
      <c r="D13" s="803" t="n"/>
      <c r="E13" s="803" t="n"/>
      <c r="F13" s="803" t="n"/>
      <c r="G13" s="803" t="n"/>
      <c r="H13" s="803" t="n"/>
      <c r="I13" s="1067" t="n"/>
    </row>
    <row r="14" ht="24.75" customHeight="1" s="680" thickBot="1">
      <c r="A14" s="226" t="inlineStr">
        <is>
          <t>答：</t>
        </is>
      </c>
      <c r="B14" s="1066" t="inlineStr">
        <is>
          <t>都是我自己照顧。</t>
        </is>
      </c>
      <c r="C14" s="803" t="n"/>
      <c r="D14" s="803" t="n"/>
      <c r="E14" s="803" t="n"/>
      <c r="F14" s="803" t="n"/>
      <c r="G14" s="803" t="n"/>
      <c r="H14" s="803" t="n"/>
      <c r="I14" s="1067" t="n"/>
    </row>
    <row r="15" ht="24.75" customHeight="1" s="680" thickBot="1">
      <c r="A15" s="226" t="inlineStr">
        <is>
          <t>問：</t>
        </is>
      </c>
      <c r="B15" s="1066" t="inlineStr">
        <is>
          <t>是否需要轉介單位提供服務？</t>
        </is>
      </c>
      <c r="C15" s="803" t="n"/>
      <c r="D15" s="803" t="n"/>
      <c r="E15" s="803" t="n"/>
      <c r="F15" s="803" t="n"/>
      <c r="G15" s="803" t="n"/>
      <c r="H15" s="803" t="n"/>
      <c r="I15" s="1067" t="n"/>
    </row>
    <row r="16" ht="24.75" customHeight="1" s="680" thickBot="1">
      <c r="A16" s="226" t="inlineStr">
        <is>
          <t>答：</t>
        </is>
      </c>
      <c r="B16" s="1066" t="inlineStr">
        <is>
          <t>不需要。</t>
        </is>
      </c>
      <c r="C16" s="803" t="n"/>
      <c r="D16" s="803" t="n"/>
      <c r="E16" s="803" t="n"/>
      <c r="F16" s="803" t="n"/>
      <c r="G16" s="803" t="n"/>
      <c r="H16" s="803" t="n"/>
      <c r="I16" s="1067" t="n"/>
    </row>
    <row r="17" ht="24.75" customHeight="1" s="680" thickBot="1">
      <c r="A17" s="226" t="inlineStr">
        <is>
          <t>問：</t>
        </is>
      </c>
      <c r="B17" s="1066" t="inlineStr">
        <is>
          <t>以上訪談將作成紀錄，請問是否還有需要我們警方提供協助之處？</t>
        </is>
      </c>
      <c r="C17" s="803" t="n"/>
      <c r="D17" s="803" t="n"/>
      <c r="E17" s="803" t="n"/>
      <c r="F17" s="803" t="n"/>
      <c r="G17" s="803" t="n"/>
      <c r="H17" s="803" t="n"/>
      <c r="I17" s="1067" t="n"/>
    </row>
    <row r="18" ht="24.75" customHeight="1" s="680" thickBot="1">
      <c r="A18" s="226" t="inlineStr">
        <is>
          <t>答：</t>
        </is>
      </c>
      <c r="B18" s="1066" t="inlineStr">
        <is>
          <t xml:space="preserve">沒有。 </t>
        </is>
      </c>
      <c r="C18" s="803" t="n"/>
      <c r="D18" s="803" t="n"/>
      <c r="E18" s="803" t="n"/>
      <c r="F18" s="803" t="n"/>
      <c r="G18" s="803" t="n"/>
      <c r="H18" s="803" t="n"/>
      <c r="I18" s="1067" t="n"/>
    </row>
    <row r="19" ht="24.75" customHeight="1" s="680" thickBot="1">
      <c r="A19" s="226" t="n"/>
      <c r="B19" s="1066" t="inlineStr">
        <is>
          <t>以下空白</t>
        </is>
      </c>
      <c r="C19" s="803" t="n"/>
      <c r="D19" s="803" t="n"/>
      <c r="E19" s="803" t="n"/>
      <c r="F19" s="803" t="n"/>
      <c r="G19" s="803" t="n"/>
      <c r="H19" s="803" t="n"/>
      <c r="I19" s="1067" t="n"/>
    </row>
    <row r="20" ht="24.75" customHeight="1" s="680" thickBot="1">
      <c r="A20" s="226" t="n"/>
      <c r="B20" s="1066" t="n"/>
      <c r="C20" s="803" t="n"/>
      <c r="D20" s="803" t="n"/>
      <c r="E20" s="803" t="n"/>
      <c r="F20" s="803" t="n"/>
      <c r="G20" s="803" t="n"/>
      <c r="H20" s="803" t="n"/>
      <c r="I20" s="1067" t="n"/>
    </row>
    <row r="21" ht="24.75" customHeight="1" s="680" thickBot="1">
      <c r="A21" s="226" t="n"/>
      <c r="B21" s="1066" t="inlineStr">
        <is>
          <t xml:space="preserve"> </t>
        </is>
      </c>
      <c r="C21" s="803" t="n"/>
      <c r="D21" s="803" t="n"/>
      <c r="E21" s="803" t="n"/>
      <c r="F21" s="803" t="n"/>
      <c r="G21" s="803" t="n"/>
      <c r="H21" s="803" t="n"/>
      <c r="I21" s="1067" t="n"/>
    </row>
    <row r="22" ht="24.75" customHeight="1" s="680" thickBot="1">
      <c r="A22" s="226" t="n"/>
      <c r="B22" s="1066" t="n"/>
      <c r="C22" s="803" t="n"/>
      <c r="D22" s="803" t="n"/>
      <c r="E22" s="803" t="n"/>
      <c r="F22" s="803" t="n"/>
      <c r="G22" s="803" t="n"/>
      <c r="H22" s="803" t="n"/>
      <c r="I22" s="1067" t="n"/>
    </row>
    <row r="23" ht="24.75" customHeight="1" s="680" thickBot="1">
      <c r="A23" s="226" t="n"/>
      <c r="B23" s="1066" t="n"/>
      <c r="C23" s="803" t="n"/>
      <c r="D23" s="803" t="n"/>
      <c r="E23" s="803" t="n"/>
      <c r="F23" s="803" t="n"/>
      <c r="G23" s="803" t="n"/>
      <c r="H23" s="803" t="n"/>
      <c r="I23" s="1067" t="n"/>
    </row>
    <row r="24" ht="24.75" customHeight="1" s="680" thickBot="1">
      <c r="A24" s="1079">
        <f>CONCATENATE("受訪人：",輸入!#REF!)</f>
        <v/>
      </c>
      <c r="B24" s="1080" t="n"/>
      <c r="C24" s="1080" t="n"/>
      <c r="D24" s="1080" t="n"/>
      <c r="E24" s="1080" t="n"/>
      <c r="F24" s="1081" t="n"/>
      <c r="G24" s="1087" t="inlineStr">
        <is>
          <t>查訪人：</t>
        </is>
      </c>
      <c r="H24" s="1080" t="n"/>
      <c r="I24" s="1088" t="n"/>
    </row>
    <row r="25" ht="17.25" customHeight="1" s="680" thickTop="1"/>
  </sheetData>
  <mergeCells count="34">
    <mergeCell ref="C6:D6"/>
    <mergeCell ref="B16:I16"/>
    <mergeCell ref="C8:I8"/>
    <mergeCell ref="B22:I22"/>
    <mergeCell ref="F6:G6"/>
    <mergeCell ref="A6:B6"/>
    <mergeCell ref="A2:C2"/>
    <mergeCell ref="F7:G7"/>
    <mergeCell ref="B18:I18"/>
    <mergeCell ref="G24:I24"/>
    <mergeCell ref="B12:I12"/>
    <mergeCell ref="D1:I2"/>
    <mergeCell ref="B21:I21"/>
    <mergeCell ref="A7:B7"/>
    <mergeCell ref="B11:I11"/>
    <mergeCell ref="C3:I3"/>
    <mergeCell ref="B14:I14"/>
    <mergeCell ref="B23:I23"/>
    <mergeCell ref="A3:B3"/>
    <mergeCell ref="C5:I5"/>
    <mergeCell ref="B17:I17"/>
    <mergeCell ref="B13:I13"/>
    <mergeCell ref="C4:I4"/>
    <mergeCell ref="A5:B5"/>
    <mergeCell ref="B10:I10"/>
    <mergeCell ref="B19:I19"/>
    <mergeCell ref="A8:B8"/>
    <mergeCell ref="A24:F24"/>
    <mergeCell ref="B9:I9"/>
    <mergeCell ref="A4:B4"/>
    <mergeCell ref="C7:D7"/>
    <mergeCell ref="B15:I15"/>
    <mergeCell ref="A1:C1"/>
    <mergeCell ref="B20:I20"/>
  </mergeCells>
  <pageMargins left="0.21875" right="0.21875" top="0.75" bottom="0.75" header="0.3" footer="0.3"/>
  <pageSetup orientation="portrait" paperSize="9"/>
</worksheet>
</file>

<file path=xl/worksheets/sheet39.xml><?xml version="1.0" encoding="utf-8"?>
<worksheet xmlns="http://schemas.openxmlformats.org/spreadsheetml/2006/main">
  <sheetPr codeName="工作表33">
    <tabColor theme="9"/>
    <outlinePr summaryBelow="1" summaryRight="1"/>
    <pageSetUpPr/>
  </sheetPr>
  <dimension ref="A1:O57"/>
  <sheetViews>
    <sheetView showGridLines="0" view="pageBreakPreview" zoomScaleNormal="100" zoomScaleSheetLayoutView="100" workbookViewId="0">
      <selection activeCell="C4" sqref="C4:O4"/>
    </sheetView>
  </sheetViews>
  <sheetFormatPr baseColWidth="8" defaultRowHeight="16.5"/>
  <cols>
    <col width="5.375" customWidth="1" style="680" min="1" max="1"/>
    <col width="13.625" customWidth="1" style="680" min="2" max="3"/>
    <col width="2.5" customWidth="1" style="680" min="4" max="6"/>
    <col width="8.375" customWidth="1" style="680" min="7" max="7"/>
    <col width="4.125" customWidth="1" style="680" min="8" max="10"/>
    <col width="4.75" customWidth="1" style="680" min="11" max="11"/>
    <col width="4" customWidth="1" style="680" min="12" max="12"/>
    <col width="3.375" customWidth="1" style="680" min="13" max="13"/>
    <col width="1.875" customWidth="1" style="680" min="14" max="14"/>
    <col width="18.25" customWidth="1" style="680" min="15" max="15"/>
  </cols>
  <sheetData>
    <row r="1" ht="20.25" customHeight="1" s="680" thickBot="1">
      <c r="A1" s="1133" t="inlineStr">
        <is>
          <t>查獲毒品危害防制條例案件現行犯監護照顧未滿12歲子女或兒童紀錄表</t>
        </is>
      </c>
      <c r="B1" s="1134" t="n"/>
      <c r="C1" s="1134" t="n"/>
      <c r="D1" s="1134" t="n"/>
      <c r="E1" s="1134" t="n"/>
      <c r="F1" s="1134" t="n"/>
      <c r="G1" s="1134" t="n"/>
      <c r="H1" s="1134" t="n"/>
      <c r="I1" s="1134" t="n"/>
      <c r="J1" s="1134" t="n"/>
      <c r="K1" s="1134" t="n"/>
      <c r="L1" s="1134" t="n"/>
      <c r="M1" s="1134" t="n"/>
      <c r="N1" s="1134" t="n"/>
      <c r="O1" s="1134" t="n"/>
    </row>
    <row r="2" ht="25.5" customHeight="1" s="680" thickBot="1" thickTop="1">
      <c r="A2" s="1132" t="inlineStr">
        <is>
          <t>嫌犯基本資料</t>
        </is>
      </c>
      <c r="B2" s="225" t="inlineStr">
        <is>
          <t>移送書文號</t>
        </is>
      </c>
      <c r="C2" s="1123" t="n"/>
      <c r="D2" s="1119" t="n"/>
      <c r="E2" s="1119" t="n"/>
      <c r="F2" s="1119" t="n"/>
      <c r="G2" s="1124" t="n"/>
      <c r="H2" s="1125" t="inlineStr">
        <is>
          <t>移送司法機關</t>
        </is>
      </c>
      <c r="I2" s="1119" t="n"/>
      <c r="J2" s="1119" t="n"/>
      <c r="K2" s="1124" t="n"/>
      <c r="L2" s="1118" t="n"/>
      <c r="M2" s="1119" t="n"/>
      <c r="N2" s="1119" t="n"/>
      <c r="O2" s="1120" t="n"/>
    </row>
    <row r="3" ht="25.5" customHeight="1" s="680" thickBot="1">
      <c r="A3" s="1130" t="n"/>
      <c r="B3" s="225" t="inlineStr">
        <is>
          <t>嫌犯姓名</t>
        </is>
      </c>
      <c r="C3" s="1105">
        <f>word用!$H$2</f>
        <v/>
      </c>
      <c r="D3" s="1101" t="n"/>
      <c r="E3" s="1100" t="inlineStr">
        <is>
          <t>身分證字號</t>
        </is>
      </c>
      <c r="F3" s="1104" t="n"/>
      <c r="G3" s="1101" t="n"/>
      <c r="H3" s="1105">
        <f>UPPER(VLOOKUP($C$3,個資,2,FALSE))</f>
        <v/>
      </c>
      <c r="I3" s="1104" t="n"/>
      <c r="J3" s="1104" t="n"/>
      <c r="K3" s="1101" t="n"/>
      <c r="L3" s="1100" t="inlineStr">
        <is>
          <t>查獲日期</t>
        </is>
      </c>
      <c r="M3" s="1104" t="n"/>
      <c r="N3" s="1101" t="n"/>
      <c r="O3" s="418">
        <f>LEFT(下拉用!$J$5,10)</f>
        <v/>
      </c>
    </row>
    <row r="4" ht="25.5" customHeight="1" s="680" thickBot="1">
      <c r="A4" s="1130" t="n"/>
      <c r="B4" s="225" t="inlineStr">
        <is>
          <t>嫌犯戶籍地</t>
        </is>
      </c>
      <c r="C4" s="1110">
        <f>VLOOKUP($C$3,個資,6,FALSE)</f>
        <v/>
      </c>
      <c r="D4" s="1104" t="n"/>
      <c r="E4" s="1104" t="n"/>
      <c r="F4" s="1104" t="n"/>
      <c r="G4" s="1104" t="n"/>
      <c r="H4" s="1104" t="n"/>
      <c r="I4" s="1104" t="n"/>
      <c r="J4" s="1104" t="n"/>
      <c r="K4" s="1104" t="n"/>
      <c r="L4" s="1104" t="n"/>
      <c r="M4" s="1104" t="n"/>
      <c r="N4" s="1104" t="n"/>
      <c r="O4" s="1111" t="n"/>
    </row>
    <row r="5" ht="25.5" customHeight="1" s="680" thickBot="1">
      <c r="A5" s="1131" t="n"/>
      <c r="B5" s="225" t="inlineStr">
        <is>
          <t>實際居所地</t>
        </is>
      </c>
      <c r="C5" s="1110">
        <f>VLOOKUP($C$3,個資,7,FALSE)</f>
        <v/>
      </c>
      <c r="D5" s="1104" t="n"/>
      <c r="E5" s="1104" t="n"/>
      <c r="F5" s="1104" t="n"/>
      <c r="G5" s="1104" t="n"/>
      <c r="H5" s="1104" t="n"/>
      <c r="I5" s="1104" t="n"/>
      <c r="J5" s="1104" t="n"/>
      <c r="K5" s="1104" t="n"/>
      <c r="L5" s="1104" t="n"/>
      <c r="M5" s="1104" t="n"/>
      <c r="N5" s="1104" t="n"/>
      <c r="O5" s="1111" t="n"/>
    </row>
    <row r="6" ht="22.5" customHeight="1" s="680" thickBot="1">
      <c r="A6" s="1129" t="inlineStr">
        <is>
          <t>未滿12歲子女或兒童資料</t>
        </is>
      </c>
      <c r="B6" s="224" t="inlineStr">
        <is>
          <t>未滿12歲孩童</t>
        </is>
      </c>
      <c r="C6" s="225" t="inlineStr">
        <is>
          <t>姓名</t>
        </is>
      </c>
      <c r="D6" s="1100" t="inlineStr">
        <is>
          <t>性別</t>
        </is>
      </c>
      <c r="E6" s="1104" t="n"/>
      <c r="F6" s="1101" t="n"/>
      <c r="G6" s="1100" t="inlineStr">
        <is>
          <t>出生日期</t>
        </is>
      </c>
      <c r="H6" s="1104" t="n"/>
      <c r="I6" s="1104" t="n"/>
      <c r="J6" s="1101" t="n"/>
      <c r="K6" s="1100" t="inlineStr">
        <is>
          <t>就讀學校</t>
        </is>
      </c>
      <c r="L6" s="1104" t="n"/>
      <c r="M6" s="1101" t="n"/>
      <c r="N6" s="1117" t="inlineStr">
        <is>
          <t>身心障礙情形</t>
        </is>
      </c>
      <c r="O6" s="1111" t="n"/>
    </row>
    <row r="7" ht="22.5" customHeight="1" s="680" thickBot="1">
      <c r="A7" s="1130" t="n"/>
      <c r="B7" s="224" t="inlineStr">
        <is>
          <t>基本資料</t>
        </is>
      </c>
      <c r="C7" s="223" t="n"/>
      <c r="D7" s="1105" t="n"/>
      <c r="E7" s="1104" t="n"/>
      <c r="F7" s="1101" t="n"/>
      <c r="G7" s="1103" t="n"/>
      <c r="H7" s="1104" t="n"/>
      <c r="I7" s="1104" t="n"/>
      <c r="J7" s="1101" t="n"/>
      <c r="K7" s="1105" t="n"/>
      <c r="L7" s="1104" t="n"/>
      <c r="M7" s="1101" t="n"/>
      <c r="N7" s="1116" t="inlineStr">
        <is>
          <t>□    是   □ 無</t>
        </is>
      </c>
      <c r="O7" s="1111" t="n"/>
    </row>
    <row r="8" ht="22.5" customHeight="1" s="680" thickBot="1">
      <c r="A8" s="1130" t="n"/>
      <c r="B8" s="222" t="n"/>
      <c r="C8" s="223">
        <f>IF(被害人筆錄!A2=FALSE,"",IF(輸入!G15="","",輸入!G15))</f>
        <v/>
      </c>
      <c r="D8" s="1105">
        <f>IF(被害人筆錄!A2=FALSE,"",IF(輸入!I15="","",輸入!I15))</f>
        <v/>
      </c>
      <c r="E8" s="1104" t="n"/>
      <c r="F8" s="1101" t="n"/>
      <c r="G8" s="1103">
        <f>IF(被害人筆錄!A2=FALSE,"",IF(輸入!AF13="","",CONCATENATE(LEFT(輸入!AF13,3),"年",MID(輸入!AF13,5,2),"月",RIGHT(輸入!AF13,2),"日")))</f>
        <v/>
      </c>
      <c r="H8" s="1104" t="n"/>
      <c r="I8" s="1104" t="n"/>
      <c r="J8" s="1101" t="n"/>
      <c r="K8" s="1105" t="n"/>
      <c r="L8" s="1104" t="n"/>
      <c r="M8" s="1101" t="n"/>
      <c r="N8" s="1116" t="inlineStr">
        <is>
          <t>□    是   □ 無</t>
        </is>
      </c>
      <c r="O8" s="1111" t="n"/>
    </row>
    <row r="9" ht="22.5" customHeight="1" s="680" thickBot="1">
      <c r="A9" s="1130" t="n"/>
      <c r="B9" s="222" t="n"/>
      <c r="C9" s="223">
        <f>IF(被害人筆錄!A2=FALSE,"",IF(輸入!W13="","",輸入!W13))</f>
        <v/>
      </c>
      <c r="D9" s="1105">
        <f>IF(被害人筆錄!A2=FALSE,"",IF(輸入!AC13="","",輸入!AC13))</f>
        <v/>
      </c>
      <c r="E9" s="1104" t="n"/>
      <c r="F9" s="1101" t="n"/>
      <c r="G9" s="1103">
        <f>IF(被害人筆錄!A2=FALSE,"",IF(輸入!AF13="","",CONCATENATE(LEFT(輸入!AF13,3),"年",MID(輸入!AF13,5,2),"月",RIGHT(輸入!AF13,2),"日")))</f>
        <v/>
      </c>
      <c r="H9" s="1104" t="n"/>
      <c r="I9" s="1104" t="n"/>
      <c r="J9" s="1101" t="n"/>
      <c r="K9" s="1105">
        <f>IF(被害人筆錄!A2=FALSE,"",IF(輸入!AL13="","",輸入!AL13))</f>
        <v/>
      </c>
      <c r="L9" s="1104" t="n"/>
      <c r="M9" s="1101" t="n"/>
      <c r="N9" s="1116" t="inlineStr">
        <is>
          <t>□    是   □ 無</t>
        </is>
      </c>
      <c r="O9" s="1111" t="n"/>
    </row>
    <row r="10" ht="22.5" customHeight="1" s="680" thickBot="1">
      <c r="A10" s="1130" t="n"/>
      <c r="B10" s="221" t="n"/>
      <c r="C10" s="223">
        <f>IF(被害人筆錄!A2=FALSE,"",IF(輸入!W15="","",輸入!W15))</f>
        <v/>
      </c>
      <c r="D10" s="1105">
        <f>IF(被害人筆錄!A2=FALSE,"",IF(輸入!AC15="","",輸入!AC15))</f>
        <v/>
      </c>
      <c r="E10" s="1104" t="n"/>
      <c r="F10" s="1101" t="n"/>
      <c r="G10" s="1103">
        <f>IF(被害人筆錄!A2=FALSE,"",IF(輸入!AF15="","",CONCATENATE(LEFT(輸入!AF15,3),"年",MID(輸入!AF15,5,2),"月",RIGHT(輸入!AF15,2),"日")))</f>
        <v/>
      </c>
      <c r="H10" s="1104" t="n"/>
      <c r="I10" s="1104" t="n"/>
      <c r="J10" s="1101" t="n"/>
      <c r="K10" s="1105">
        <f>IF(被害人筆錄!A2=FALSE,"",IF(輸入!AL15="","",輸入!AL15))</f>
        <v/>
      </c>
      <c r="L10" s="1104" t="n"/>
      <c r="M10" s="1101" t="n"/>
      <c r="N10" s="1116" t="inlineStr">
        <is>
          <t>□    是   □ 無</t>
        </is>
      </c>
      <c r="O10" s="1111" t="n"/>
    </row>
    <row r="11" ht="32.25" customHeight="1" s="680">
      <c r="A11" s="1130" t="n"/>
      <c r="B11" s="1100" t="inlineStr">
        <is>
          <t>孩童照顧狀態</t>
        </is>
      </c>
      <c r="C11" s="1136" t="inlineStr">
        <is>
          <t>□嫌犯拒不說明孩童下落，或經初步查證為行方不明、情狀不明等，已通知本轄婦幼警察隊派員面訪調查。</t>
        </is>
      </c>
      <c r="D11" s="745" t="n"/>
      <c r="E11" s="745" t="n"/>
      <c r="F11" s="745" t="n"/>
      <c r="G11" s="745" t="n"/>
      <c r="H11" s="745" t="n"/>
      <c r="I11" s="745" t="n"/>
      <c r="J11" s="745" t="n"/>
      <c r="K11" s="745" t="n"/>
      <c r="L11" s="745" t="n"/>
      <c r="M11" s="745" t="n"/>
      <c r="N11" s="745" t="n"/>
      <c r="O11" s="1114" t="n"/>
    </row>
    <row r="12" ht="33" customHeight="1" s="680">
      <c r="A12" s="1130" t="n"/>
      <c r="B12" s="1122" t="n"/>
      <c r="C12" s="1091" t="inlineStr">
        <is>
          <t>□確認孩童現無人照顧後，已通知社政單位及轄區派出所員警前往處理，並至警政知識聯網「婦幼安全線上通報系統」通報兒少保護案件。</t>
        </is>
      </c>
      <c r="D12" s="642" t="n"/>
      <c r="E12" s="642" t="n"/>
      <c r="F12" s="642" t="n"/>
      <c r="G12" s="642" t="n"/>
      <c r="H12" s="642" t="n"/>
      <c r="I12" s="642" t="n"/>
      <c r="J12" s="642" t="n"/>
      <c r="K12" s="642" t="n"/>
      <c r="L12" s="642" t="n"/>
      <c r="M12" s="642" t="n"/>
      <c r="N12" s="642" t="n"/>
      <c r="O12" s="867" t="n"/>
    </row>
    <row r="13" ht="35.25" customHeight="1" s="680">
      <c r="A13" s="1130" t="n"/>
      <c r="B13" s="1122" t="n"/>
      <c r="C13" s="1091" t="inlineStr">
        <is>
          <t>□孩童委託友人照顧，電訪確認及記錄後，已通知本轄婦幼警察隊派員實施面訪。</t>
        </is>
      </c>
      <c r="D13" s="642" t="n"/>
      <c r="E13" s="642" t="n"/>
      <c r="F13" s="642" t="n"/>
      <c r="G13" s="642" t="n"/>
      <c r="H13" s="642" t="n"/>
      <c r="I13" s="642" t="n"/>
      <c r="J13" s="642" t="n"/>
      <c r="K13" s="642" t="n"/>
      <c r="L13" s="642" t="n"/>
      <c r="M13" s="642" t="n"/>
      <c r="N13" s="642" t="n"/>
      <c r="O13" s="867" t="n"/>
    </row>
    <row r="14" ht="33" customHeight="1" s="680">
      <c r="A14" s="1130" t="n"/>
      <c r="B14" s="1122" t="n"/>
      <c r="C14" s="1091">
        <f>CONCATENATE(IF(被害人筆錄!A2=FALSE,"□孩童由親屬(身分：","V孩童由親屬(身分："),IF(被害人筆錄!A2=FALSE,"　　",輸入!AW6),")照顧，經",輸入!AU21,"年",輸入!AV21,"月",輸入!AW21,"日",輸入!AX21,"時",輸入!AY21,"分實施電話查訪，詢問得知孩童受照顧狀況、家庭互動及經濟情形如下：")</f>
        <v/>
      </c>
      <c r="D14" s="642" t="n"/>
      <c r="E14" s="642" t="n"/>
      <c r="F14" s="642" t="n"/>
      <c r="G14" s="642" t="n"/>
      <c r="H14" s="642" t="n"/>
      <c r="I14" s="642" t="n"/>
      <c r="J14" s="642" t="n"/>
      <c r="K14" s="642" t="n"/>
      <c r="L14" s="642" t="n"/>
      <c r="M14" s="642" t="n"/>
      <c r="N14" s="642" t="n"/>
      <c r="O14" s="867" t="n"/>
    </row>
    <row r="15" ht="34.5" customHeight="1" s="680">
      <c r="A15" s="1130" t="n"/>
      <c r="B15" s="1122" t="n"/>
      <c r="C15" s="1091">
        <f>IF(被害人筆錄!A2=FALSE,"   □孩童正常就學，受妥適照顧，照顧者表示無照顧困難或需關懷協助事項，現無危險情事或保護之必要。","  V孩童正常就學，受妥適照顧，照顧者表示無照顧困難或需關懷協助事項，現無危險情事或保護之必要。")</f>
        <v/>
      </c>
      <c r="D15" s="642" t="n"/>
      <c r="E15" s="642" t="n"/>
      <c r="F15" s="642" t="n"/>
      <c r="G15" s="642" t="n"/>
      <c r="H15" s="642" t="n"/>
      <c r="I15" s="642" t="n"/>
      <c r="J15" s="642" t="n"/>
      <c r="K15" s="642" t="n"/>
      <c r="L15" s="642" t="n"/>
      <c r="M15" s="642" t="n"/>
      <c r="N15" s="642" t="n"/>
      <c r="O15" s="867" t="n"/>
    </row>
    <row r="16" ht="65.25" customHeight="1" s="680">
      <c r="A16" s="1130" t="n"/>
      <c r="B16" s="1122" t="n"/>
      <c r="C16" s="1091" t="inlineStr">
        <is>
          <t xml:space="preserve">   □有兒少福權法第53條兒少保護或第54條高風險家庭情事（檢核指標如後頁），□或照顧者表示有照顧困難或需關懷協助事項，已至警政知識聯網「婦幼安全線上通報系統」通報          市(縣)社政單位處理，並於通報表「案情簡述」欄位內詳細填寫電訪時間、兒童受照顧狀況等紀錄。</t>
        </is>
      </c>
      <c r="D16" s="642" t="n"/>
      <c r="E16" s="642" t="n"/>
      <c r="F16" s="642" t="n"/>
      <c r="G16" s="642" t="n"/>
      <c r="H16" s="642" t="n"/>
      <c r="I16" s="642" t="n"/>
      <c r="J16" s="642" t="n"/>
      <c r="K16" s="642" t="n"/>
      <c r="L16" s="642" t="n"/>
      <c r="M16" s="642" t="n"/>
      <c r="N16" s="642" t="n"/>
      <c r="O16" s="867" t="n"/>
    </row>
    <row r="17" ht="33.75" customHeight="1" s="680">
      <c r="A17" s="1130" t="n"/>
      <c r="B17" s="1122" t="n"/>
      <c r="C17" s="1091" t="inlineStr">
        <is>
          <t xml:space="preserve">   □電訪遭拒或查詢得知兒童行方不明，已通知本轄婦幼警察隊派員面訪調查。</t>
        </is>
      </c>
      <c r="D17" s="642" t="n"/>
      <c r="E17" s="642" t="n"/>
      <c r="F17" s="642" t="n"/>
      <c r="G17" s="642" t="n"/>
      <c r="H17" s="642" t="n"/>
      <c r="I17" s="642" t="n"/>
      <c r="J17" s="642" t="n"/>
      <c r="K17" s="642" t="n"/>
      <c r="L17" s="642" t="n"/>
      <c r="M17" s="642" t="n"/>
      <c r="N17" s="642" t="n"/>
      <c r="O17" s="867" t="n"/>
    </row>
    <row r="18" ht="30" customHeight="1" s="680">
      <c r="A18" s="1130" t="n"/>
      <c r="B18" s="1122" t="n"/>
      <c r="C18" s="1091" t="inlineStr">
        <is>
          <t>□孩童已由社政單位安置，電話聯繫社政單位確認其現於社福機構或寄養家庭照顧中。</t>
        </is>
      </c>
      <c r="D18" s="642" t="n"/>
      <c r="E18" s="642" t="n"/>
      <c r="F18" s="642" t="n"/>
      <c r="G18" s="642" t="n"/>
      <c r="H18" s="642" t="n"/>
      <c r="I18" s="642" t="n"/>
      <c r="J18" s="642" t="n"/>
      <c r="K18" s="642" t="n"/>
      <c r="L18" s="642" t="n"/>
      <c r="M18" s="642" t="n"/>
      <c r="N18" s="642" t="n"/>
      <c r="O18" s="867" t="n"/>
    </row>
    <row r="19" ht="17.25" customHeight="1" s="680" thickBot="1">
      <c r="A19" s="1130" t="n"/>
      <c r="B19" s="1115" t="n"/>
      <c r="C19" s="1126" t="inlineStr">
        <is>
          <t>□其他：</t>
        </is>
      </c>
      <c r="D19" s="1127" t="n"/>
      <c r="E19" s="1127" t="n"/>
      <c r="F19" s="1127" t="n"/>
      <c r="G19" s="1127" t="n"/>
      <c r="H19" s="1127" t="n"/>
      <c r="I19" s="1127" t="n"/>
      <c r="J19" s="1127" t="n"/>
      <c r="K19" s="1127" t="n"/>
      <c r="L19" s="1127" t="n"/>
      <c r="M19" s="1127" t="n"/>
      <c r="N19" s="1127" t="n"/>
      <c r="O19" s="1128" t="n"/>
    </row>
    <row r="20" ht="23.25" customHeight="1" s="680" thickBot="1">
      <c r="A20" s="1130" t="n"/>
      <c r="B20" s="225" t="inlineStr">
        <is>
          <t>孩童現所在地</t>
        </is>
      </c>
      <c r="C20" s="1116" t="n"/>
      <c r="D20" s="1104" t="n"/>
      <c r="E20" s="1104" t="n"/>
      <c r="F20" s="1104" t="n"/>
      <c r="G20" s="1104" t="n"/>
      <c r="H20" s="1104" t="n"/>
      <c r="I20" s="1104" t="n"/>
      <c r="J20" s="1104" t="n"/>
      <c r="K20" s="1104" t="n"/>
      <c r="L20" s="1104" t="n"/>
      <c r="M20" s="1104" t="n"/>
      <c r="N20" s="1104" t="n"/>
      <c r="O20" s="1111" t="n"/>
    </row>
    <row r="21" ht="20.25" customHeight="1" s="680" thickBot="1">
      <c r="A21" s="1130" t="n"/>
      <c r="B21" s="224" t="inlineStr">
        <is>
          <t>實際照顧者</t>
        </is>
      </c>
      <c r="C21" s="225" t="inlineStr">
        <is>
          <t>姓名</t>
        </is>
      </c>
      <c r="D21" s="1100" t="inlineStr">
        <is>
          <t>性別</t>
        </is>
      </c>
      <c r="E21" s="1104" t="n"/>
      <c r="F21" s="1101" t="n"/>
      <c r="G21" s="1100" t="inlineStr">
        <is>
          <t>出生日期</t>
        </is>
      </c>
      <c r="H21" s="1101" t="n"/>
      <c r="I21" s="1100" t="inlineStr">
        <is>
          <t>身分證字號</t>
        </is>
      </c>
      <c r="J21" s="1104" t="n"/>
      <c r="K21" s="1104" t="n"/>
      <c r="L21" s="1101" t="n"/>
      <c r="M21" s="1117" t="inlineStr">
        <is>
          <t>聯絡電話</t>
        </is>
      </c>
      <c r="N21" s="1104" t="n"/>
      <c r="O21" s="1111" t="n"/>
    </row>
    <row r="22" ht="30.75" customHeight="1" s="680" thickBot="1">
      <c r="A22" s="1130" t="n"/>
      <c r="B22" s="224" t="inlineStr">
        <is>
          <t>基本資料</t>
        </is>
      </c>
      <c r="C22" s="223" t="n"/>
      <c r="D22" s="1105" t="n"/>
      <c r="E22" s="1104" t="n"/>
      <c r="F22" s="1101" t="n"/>
      <c r="G22" s="1105" t="n"/>
      <c r="H22" s="1101" t="n"/>
      <c r="I22" s="1105" t="n"/>
      <c r="J22" s="1104" t="n"/>
      <c r="K22" s="1104" t="n"/>
      <c r="L22" s="1101" t="n"/>
      <c r="M22" s="1110" t="n"/>
      <c r="N22" s="1104" t="n"/>
      <c r="O22" s="1111" t="n"/>
    </row>
    <row r="23" ht="25.5" customHeight="1" s="680">
      <c r="A23" s="1130" t="n"/>
      <c r="B23" s="222" t="n"/>
      <c r="C23" s="1100" t="inlineStr">
        <is>
          <t>聯絡地址</t>
        </is>
      </c>
      <c r="D23" s="1113" t="inlineStr">
        <is>
          <t>□ 同孩童現所在地   □ 不同請註明</t>
        </is>
      </c>
      <c r="E23" s="745" t="n"/>
      <c r="F23" s="745" t="n"/>
      <c r="G23" s="745" t="n"/>
      <c r="H23" s="745" t="n"/>
      <c r="I23" s="745" t="n"/>
      <c r="J23" s="745" t="n"/>
      <c r="K23" s="745" t="n"/>
      <c r="L23" s="745" t="n"/>
      <c r="M23" s="745" t="n"/>
      <c r="N23" s="745" t="n"/>
      <c r="O23" s="1114" t="n"/>
    </row>
    <row r="24" ht="54" customHeight="1" s="680" thickBot="1">
      <c r="A24" s="1131" t="n"/>
      <c r="B24" s="221" t="n"/>
      <c r="C24" s="1115" t="n"/>
      <c r="D24" s="1135">
        <f>IF(被害人筆錄!A2=FALSE,"",IF(被害人筆錄!A4=FALSE,輸入!AP15,""))</f>
        <v/>
      </c>
      <c r="E24" s="1127" t="n"/>
      <c r="F24" s="1127" t="n"/>
      <c r="G24" s="1127" t="n"/>
      <c r="H24" s="1127" t="n"/>
      <c r="I24" s="1127" t="n"/>
      <c r="J24" s="1127" t="n"/>
      <c r="K24" s="1127" t="n"/>
      <c r="L24" s="1127" t="n"/>
      <c r="M24" s="1127" t="n"/>
      <c r="N24" s="1127" t="n"/>
      <c r="O24" s="1128" t="n"/>
    </row>
    <row r="25" ht="28.5" customHeight="1" s="680" thickBot="1">
      <c r="A25" s="1106" t="inlineStr">
        <is>
          <t>填表人員</t>
        </is>
      </c>
      <c r="B25" s="1107" t="n"/>
      <c r="C25" s="1109" t="inlineStr">
        <is>
          <t>警察局別</t>
        </is>
      </c>
      <c r="D25" s="1104" t="n"/>
      <c r="E25" s="1101" t="n"/>
      <c r="F25" s="1109" t="inlineStr">
        <is>
          <t>單位別</t>
        </is>
      </c>
      <c r="G25" s="1104" t="n"/>
      <c r="H25" s="1104" t="n"/>
      <c r="I25" s="1101" t="n"/>
      <c r="J25" s="1109" t="inlineStr">
        <is>
          <t>執行員警核章處</t>
        </is>
      </c>
      <c r="K25" s="1104" t="n"/>
      <c r="L25" s="1104" t="n"/>
      <c r="M25" s="1104" t="n"/>
      <c r="N25" s="1101" t="n"/>
      <c r="O25" s="220" t="inlineStr">
        <is>
          <t>單位主管核章處</t>
        </is>
      </c>
    </row>
    <row r="26" ht="33" customHeight="1" s="680" thickBot="1">
      <c r="A26" s="1108" t="n"/>
      <c r="B26" s="755" t="n"/>
      <c r="C26" s="1121">
        <f>CONCATENATE(輸入!$S$18,輸入!$T$18,CHAR(10),輸入!$S$19,輸入!$T$19)</f>
        <v/>
      </c>
      <c r="D26" s="1104" t="n"/>
      <c r="E26" s="1101" t="n"/>
      <c r="F26" s="1121">
        <f>CONCATENATE(輸入!$S$20&amp;輸入!$T$20)</f>
        <v/>
      </c>
      <c r="G26" s="1104" t="n"/>
      <c r="H26" s="1104" t="n"/>
      <c r="I26" s="1101" t="n"/>
      <c r="J26" s="1121" t="n"/>
      <c r="K26" s="1104" t="n"/>
      <c r="L26" s="1104" t="n"/>
      <c r="M26" s="1104" t="n"/>
      <c r="N26" s="1101" t="n"/>
      <c r="O26" s="219" t="n"/>
    </row>
    <row r="27" ht="17.25" customHeight="1" s="680" thickBot="1">
      <c r="A27" s="1112" t="inlineStr">
        <is>
          <t>兒童及少年福利與權益保障法法定通報事由檢核指標</t>
        </is>
      </c>
      <c r="B27" s="1104" t="n"/>
      <c r="C27" s="1104" t="n"/>
      <c r="D27" s="1104" t="n"/>
      <c r="E27" s="1104" t="n"/>
      <c r="F27" s="1104" t="n"/>
      <c r="G27" s="1104" t="n"/>
      <c r="H27" s="1104" t="n"/>
      <c r="I27" s="1104" t="n"/>
      <c r="J27" s="1104" t="n"/>
      <c r="K27" s="1104" t="n"/>
      <c r="L27" s="1104" t="n"/>
      <c r="M27" s="1104" t="n"/>
      <c r="N27" s="1104" t="n"/>
      <c r="O27" s="1111" t="n"/>
    </row>
    <row r="28" ht="16.5" customHeight="1" s="680">
      <c r="A28" s="1097" t="inlineStr">
        <is>
          <t>第53條  兒少保護案件</t>
        </is>
      </c>
      <c r="B28" s="1098" t="n"/>
      <c r="C28" s="1098" t="n"/>
      <c r="D28" s="1098" t="n"/>
      <c r="E28" s="1098" t="n"/>
      <c r="F28" s="1098" t="n"/>
      <c r="G28" s="1098" t="n"/>
      <c r="H28" s="1098" t="n"/>
      <c r="I28" s="1098" t="n"/>
      <c r="J28" s="1098" t="n"/>
      <c r="K28" s="1098" t="n"/>
      <c r="L28" s="1098" t="n"/>
      <c r="M28" s="1098" t="n"/>
      <c r="N28" s="1098" t="n"/>
      <c r="O28" s="1099" t="n"/>
    </row>
    <row r="29">
      <c r="A29" s="1092" t="inlineStr">
        <is>
          <t>g兒少有下列行為者：</t>
        </is>
      </c>
      <c r="B29" s="642" t="n"/>
      <c r="C29" s="642" t="n"/>
      <c r="D29" s="642" t="n"/>
      <c r="E29" s="642" t="n"/>
      <c r="F29" s="642" t="n"/>
      <c r="G29" s="642" t="n"/>
      <c r="H29" s="642" t="n"/>
      <c r="I29" s="642" t="n"/>
      <c r="J29" s="642" t="n"/>
      <c r="K29" s="642" t="n"/>
      <c r="L29" s="642" t="n"/>
      <c r="M29" s="642" t="n"/>
      <c r="N29" s="642" t="n"/>
      <c r="O29" s="867" t="n"/>
    </row>
    <row r="30">
      <c r="A30" s="1096" t="inlineStr">
        <is>
          <t xml:space="preserve"> c兒少施用毒品、非法施用管制藥品或其他有害身心健康之物質。</t>
        </is>
      </c>
      <c r="B30" s="642" t="n"/>
      <c r="C30" s="642" t="n"/>
      <c r="D30" s="642" t="n"/>
      <c r="E30" s="642" t="n"/>
      <c r="F30" s="642" t="n"/>
      <c r="G30" s="642" t="n"/>
      <c r="H30" s="642" t="n"/>
      <c r="I30" s="642" t="n"/>
      <c r="J30" s="642" t="n"/>
      <c r="K30" s="642" t="n"/>
      <c r="L30" s="642" t="n"/>
      <c r="M30" s="642" t="n"/>
      <c r="N30" s="642" t="n"/>
      <c r="O30" s="867" t="n"/>
    </row>
    <row r="31">
      <c r="A31" s="1096" t="inlineStr">
        <is>
          <t xml:space="preserve"> c兒少充當酒家、特種咖啡茶室、限制級電子遊戲場及其他涉及賭博、色情、暴力等足以危害其身心健康場所之侍應。</t>
        </is>
      </c>
      <c r="B31" s="642" t="n"/>
      <c r="C31" s="642" t="n"/>
      <c r="D31" s="642" t="n"/>
      <c r="E31" s="642" t="n"/>
      <c r="F31" s="642" t="n"/>
      <c r="G31" s="642" t="n"/>
      <c r="H31" s="642" t="n"/>
      <c r="I31" s="642" t="n"/>
      <c r="J31" s="642" t="n"/>
      <c r="K31" s="642" t="n"/>
      <c r="L31" s="642" t="n"/>
      <c r="M31" s="642" t="n"/>
      <c r="N31" s="642" t="n"/>
      <c r="O31" s="867" t="n"/>
    </row>
    <row r="32">
      <c r="A32" s="1092" t="inlineStr">
        <is>
          <t>g任何人對兒少有下列行為者：</t>
        </is>
      </c>
      <c r="B32" s="642" t="n"/>
      <c r="C32" s="642" t="n"/>
      <c r="D32" s="642" t="n"/>
      <c r="E32" s="642" t="n"/>
      <c r="F32" s="642" t="n"/>
      <c r="G32" s="642" t="n"/>
      <c r="H32" s="642" t="n"/>
      <c r="I32" s="642" t="n"/>
      <c r="J32" s="642" t="n"/>
      <c r="K32" s="642" t="n"/>
      <c r="L32" s="642" t="n"/>
      <c r="M32" s="642" t="n"/>
      <c r="N32" s="642" t="n"/>
      <c r="O32" s="867" t="n"/>
    </row>
    <row r="33">
      <c r="A33" s="1096" t="inlineStr">
        <is>
          <t xml:space="preserve"> c遺棄c身心虐待c利用其從事有害健康等危險性活動或欺騙之行為c利用身心障礙或畸形兒童供人參觀。</t>
        </is>
      </c>
      <c r="B33" s="642" t="n"/>
      <c r="C33" s="642" t="n"/>
      <c r="D33" s="642" t="n"/>
      <c r="E33" s="642" t="n"/>
      <c r="F33" s="642" t="n"/>
      <c r="G33" s="642" t="n"/>
      <c r="H33" s="642" t="n"/>
      <c r="I33" s="642" t="n"/>
      <c r="J33" s="642" t="n"/>
      <c r="K33" s="642" t="n"/>
      <c r="L33" s="642" t="n"/>
      <c r="M33" s="642" t="n"/>
      <c r="N33" s="642" t="n"/>
      <c r="O33" s="867" t="n"/>
    </row>
    <row r="34">
      <c r="A34" s="1095" t="inlineStr">
        <is>
          <t xml:space="preserve"> c利用其行乞。c剝奪或妨礙其接受國民教育之機會。c強迫其婚嫁。c拐騙、綁架、買賣、質押，或以其為擔保之行為。</t>
        </is>
      </c>
      <c r="B34" s="642" t="n"/>
      <c r="C34" s="642" t="n"/>
      <c r="D34" s="642" t="n"/>
      <c r="E34" s="642" t="n"/>
      <c r="F34" s="642" t="n"/>
      <c r="G34" s="642" t="n"/>
      <c r="H34" s="642" t="n"/>
      <c r="I34" s="642" t="n"/>
      <c r="J34" s="642" t="n"/>
      <c r="K34" s="642" t="n"/>
      <c r="L34" s="642" t="n"/>
      <c r="M34" s="642" t="n"/>
      <c r="N34" s="642" t="n"/>
      <c r="O34" s="867" t="n"/>
    </row>
    <row r="35">
      <c r="A35" s="1095" t="inlineStr">
        <is>
          <t xml:space="preserve"> c強迫、引誘、容留或媒介其為猥褻行為或性交。c供應刀械或其他危險物品。</t>
        </is>
      </c>
      <c r="B35" s="642" t="n"/>
      <c r="C35" s="642" t="n"/>
      <c r="D35" s="642" t="n"/>
      <c r="E35" s="642" t="n"/>
      <c r="F35" s="642" t="n"/>
      <c r="G35" s="642" t="n"/>
      <c r="H35" s="642" t="n"/>
      <c r="I35" s="642" t="n"/>
      <c r="J35" s="642" t="n"/>
      <c r="K35" s="642" t="n"/>
      <c r="L35" s="642" t="n"/>
      <c r="M35" s="642" t="n"/>
      <c r="N35" s="642" t="n"/>
      <c r="O35" s="867" t="n"/>
    </row>
    <row r="36">
      <c r="A36" s="1095" t="inlineStr">
        <is>
          <t xml:space="preserve"> c利用其拍攝或錄製暴力、猥褻、色情或其他有害其身心發展之出版品、影片、光碟、網際網路或其他物品。</t>
        </is>
      </c>
      <c r="B36" s="642" t="n"/>
      <c r="C36" s="642" t="n"/>
      <c r="D36" s="642" t="n"/>
      <c r="E36" s="642" t="n"/>
      <c r="F36" s="642" t="n"/>
      <c r="G36" s="642" t="n"/>
      <c r="H36" s="642" t="n"/>
      <c r="I36" s="642" t="n"/>
      <c r="J36" s="642" t="n"/>
      <c r="K36" s="642" t="n"/>
      <c r="L36" s="642" t="n"/>
      <c r="M36" s="642" t="n"/>
      <c r="N36" s="642" t="n"/>
      <c r="O36" s="867" t="n"/>
    </row>
    <row r="37">
      <c r="A37" s="1095" t="inlineStr">
        <is>
          <t xml:space="preserve"> c違反媒體分級辦法，對其提供或播送有害其身心發展之出版品、影片、光碟、網際網路或其他物品。</t>
        </is>
      </c>
      <c r="B37" s="642" t="n"/>
      <c r="C37" s="642" t="n"/>
      <c r="D37" s="642" t="n"/>
      <c r="E37" s="642" t="n"/>
      <c r="F37" s="642" t="n"/>
      <c r="G37" s="642" t="n"/>
      <c r="H37" s="642" t="n"/>
      <c r="I37" s="642" t="n"/>
      <c r="J37" s="642" t="n"/>
      <c r="K37" s="642" t="n"/>
      <c r="L37" s="642" t="n"/>
      <c r="M37" s="642" t="n"/>
      <c r="N37" s="642" t="n"/>
      <c r="O37" s="867" t="n"/>
    </row>
    <row r="38">
      <c r="A38" s="1095" t="inlineStr">
        <is>
          <t xml:space="preserve"> c帶領或誘使其進入有礙其身心健康之場所。</t>
        </is>
      </c>
      <c r="B38" s="642" t="n"/>
      <c r="C38" s="642" t="n"/>
      <c r="D38" s="642" t="n"/>
      <c r="E38" s="642" t="n"/>
      <c r="F38" s="642" t="n"/>
      <c r="G38" s="642" t="n"/>
      <c r="H38" s="642" t="n"/>
      <c r="I38" s="642" t="n"/>
      <c r="J38" s="642" t="n"/>
      <c r="K38" s="642" t="n"/>
      <c r="L38" s="642" t="n"/>
      <c r="M38" s="642" t="n"/>
      <c r="N38" s="642" t="n"/>
      <c r="O38" s="867" t="n"/>
    </row>
    <row r="39">
      <c r="A39" s="1095" t="inlineStr">
        <is>
          <t xml:space="preserve"> c強迫、引誘、容留或媒介兒童及少年為自殺行為。</t>
        </is>
      </c>
      <c r="B39" s="642" t="n"/>
      <c r="C39" s="642" t="n"/>
      <c r="D39" s="642" t="n"/>
      <c r="E39" s="642" t="n"/>
      <c r="F39" s="642" t="n"/>
      <c r="G39" s="642" t="n"/>
      <c r="H39" s="642" t="n"/>
      <c r="I39" s="642" t="n"/>
      <c r="J39" s="642" t="n"/>
      <c r="K39" s="642" t="n"/>
      <c r="L39" s="642" t="n"/>
      <c r="M39" s="642" t="n"/>
      <c r="N39" s="642" t="n"/>
      <c r="O39" s="867" t="n"/>
    </row>
    <row r="40">
      <c r="A40" s="1095" t="inlineStr">
        <is>
          <t xml:space="preserve"> c其他對兒童及少年或利用兒童及少年犯罪或為不正當之行為。</t>
        </is>
      </c>
      <c r="B40" s="642" t="n"/>
      <c r="C40" s="642" t="n"/>
      <c r="D40" s="642" t="n"/>
      <c r="E40" s="642" t="n"/>
      <c r="F40" s="642" t="n"/>
      <c r="G40" s="642" t="n"/>
      <c r="H40" s="642" t="n"/>
      <c r="I40" s="642" t="n"/>
      <c r="J40" s="642" t="n"/>
      <c r="K40" s="642" t="n"/>
      <c r="L40" s="642" t="n"/>
      <c r="M40" s="642" t="n"/>
      <c r="N40" s="642" t="n"/>
      <c r="O40" s="867" t="n"/>
    </row>
    <row r="41">
      <c r="A41" s="1092" t="inlineStr">
        <is>
          <t>g父母、監護人或其他實際照顧兒童及少年之人對兒少有下列行為者：</t>
        </is>
      </c>
      <c r="B41" s="642" t="n"/>
      <c r="C41" s="642" t="n"/>
      <c r="D41" s="642" t="n"/>
      <c r="E41" s="642" t="n"/>
      <c r="F41" s="642" t="n"/>
      <c r="G41" s="642" t="n"/>
      <c r="H41" s="642" t="n"/>
      <c r="I41" s="642" t="n"/>
      <c r="J41" s="642" t="n"/>
      <c r="K41" s="642" t="n"/>
      <c r="L41" s="642" t="n"/>
      <c r="M41" s="642" t="n"/>
      <c r="N41" s="642" t="n"/>
      <c r="O41" s="867" t="n"/>
    </row>
    <row r="42">
      <c r="A42" s="1095" t="inlineStr">
        <is>
          <t xml:space="preserve"> c使兒童獨處於易發生危險或傷害之環境。</t>
        </is>
      </c>
      <c r="B42" s="642" t="n"/>
      <c r="C42" s="642" t="n"/>
      <c r="D42" s="642" t="n"/>
      <c r="E42" s="642" t="n"/>
      <c r="F42" s="642" t="n"/>
      <c r="G42" s="642" t="n"/>
      <c r="H42" s="642" t="n"/>
      <c r="I42" s="642" t="n"/>
      <c r="J42" s="642" t="n"/>
      <c r="K42" s="642" t="n"/>
      <c r="L42" s="642" t="n"/>
      <c r="M42" s="642" t="n"/>
      <c r="N42" s="642" t="n"/>
      <c r="O42" s="867" t="n"/>
    </row>
    <row r="43">
      <c r="A43" s="1095" t="inlineStr">
        <is>
          <t xml:space="preserve"> c對於6歲以下兒童或需要特別看護之兒童及少年，使其獨處或由不適當之人代為照顧。</t>
        </is>
      </c>
      <c r="B43" s="642" t="n"/>
      <c r="C43" s="642" t="n"/>
      <c r="D43" s="642" t="n"/>
      <c r="E43" s="642" t="n"/>
      <c r="F43" s="642" t="n"/>
      <c r="G43" s="642" t="n"/>
      <c r="H43" s="642" t="n"/>
      <c r="I43" s="642" t="n"/>
      <c r="J43" s="642" t="n"/>
      <c r="K43" s="642" t="n"/>
      <c r="L43" s="642" t="n"/>
      <c r="M43" s="642" t="n"/>
      <c r="N43" s="642" t="n"/>
      <c r="O43" s="867" t="n"/>
    </row>
    <row r="44">
      <c r="A44" s="1102" t="inlineStr">
        <is>
          <t>g發生緊急情況：</t>
        </is>
      </c>
      <c r="B44" s="642" t="n"/>
      <c r="C44" s="642" t="n"/>
      <c r="D44" s="642" t="n"/>
      <c r="E44" s="642" t="n"/>
      <c r="F44" s="642" t="n"/>
      <c r="G44" s="642" t="n"/>
      <c r="H44" s="642" t="n"/>
      <c r="I44" s="642" t="n"/>
      <c r="J44" s="642" t="n"/>
      <c r="K44" s="642" t="n"/>
      <c r="L44" s="642" t="n"/>
      <c r="M44" s="642" t="n"/>
      <c r="N44" s="642" t="n"/>
      <c r="O44" s="867" t="n"/>
    </row>
    <row r="45">
      <c r="A45" s="1096" t="inlineStr">
        <is>
          <t xml:space="preserve"> c兒少有以上列舉之保護情事，致其生命身體或自由有立即之危險或有危險之虞者。</t>
        </is>
      </c>
      <c r="B45" s="642" t="n"/>
      <c r="C45" s="642" t="n"/>
      <c r="D45" s="642" t="n"/>
      <c r="E45" s="642" t="n"/>
      <c r="F45" s="642" t="n"/>
      <c r="G45" s="642" t="n"/>
      <c r="H45" s="642" t="n"/>
      <c r="I45" s="642" t="n"/>
      <c r="J45" s="642" t="n"/>
      <c r="K45" s="642" t="n"/>
      <c r="L45" s="642" t="n"/>
      <c r="M45" s="642" t="n"/>
      <c r="N45" s="642" t="n"/>
      <c r="O45" s="867" t="n"/>
    </row>
    <row r="46">
      <c r="A46" s="1096" t="inlineStr">
        <is>
          <t xml:space="preserve"> c兒少未受適當之養育或照顧，致其生命身體或自由有立即之危險或有危險之虞者。</t>
        </is>
      </c>
      <c r="B46" s="642" t="n"/>
      <c r="C46" s="642" t="n"/>
      <c r="D46" s="642" t="n"/>
      <c r="E46" s="642" t="n"/>
      <c r="F46" s="642" t="n"/>
      <c r="G46" s="642" t="n"/>
      <c r="H46" s="642" t="n"/>
      <c r="I46" s="642" t="n"/>
      <c r="J46" s="642" t="n"/>
      <c r="K46" s="642" t="n"/>
      <c r="L46" s="642" t="n"/>
      <c r="M46" s="642" t="n"/>
      <c r="N46" s="642" t="n"/>
      <c r="O46" s="867" t="n"/>
    </row>
    <row r="47">
      <c r="A47" s="1096" t="inlineStr">
        <is>
          <t xml:space="preserve"> c兒少有立即接受診治之必要，但未就醫者，致其生命身體或自由有立即之危險或有危險之虞者。</t>
        </is>
      </c>
      <c r="B47" s="642" t="n"/>
      <c r="C47" s="642" t="n"/>
      <c r="D47" s="642" t="n"/>
      <c r="E47" s="642" t="n"/>
      <c r="F47" s="642" t="n"/>
      <c r="G47" s="642" t="n"/>
      <c r="H47" s="642" t="n"/>
      <c r="I47" s="642" t="n"/>
      <c r="J47" s="642" t="n"/>
      <c r="K47" s="642" t="n"/>
      <c r="L47" s="642" t="n"/>
      <c r="M47" s="642" t="n"/>
      <c r="N47" s="642" t="n"/>
      <c r="O47" s="867" t="n"/>
    </row>
    <row r="48" ht="17.25" customHeight="1" s="680" thickBot="1">
      <c r="A48" s="1094" t="inlineStr">
        <is>
          <t xml:space="preserve"> c兒少遭受其他迫害，致其其生命身體或自由有立即之危險或有危險之虞者。</t>
        </is>
      </c>
      <c r="B48" s="754" t="n"/>
      <c r="C48" s="754" t="n"/>
      <c r="D48" s="754" t="n"/>
      <c r="E48" s="754" t="n"/>
      <c r="F48" s="754" t="n"/>
      <c r="G48" s="754" t="n"/>
      <c r="H48" s="754" t="n"/>
      <c r="I48" s="754" t="n"/>
      <c r="J48" s="754" t="n"/>
      <c r="K48" s="754" t="n"/>
      <c r="L48" s="754" t="n"/>
      <c r="M48" s="754" t="n"/>
      <c r="N48" s="754" t="n"/>
      <c r="O48" s="1090" t="n"/>
    </row>
    <row r="49" ht="16.5" customHeight="1" s="680">
      <c r="A49" s="1097" t="inlineStr">
        <is>
          <t>第54條  高風險家庭</t>
        </is>
      </c>
      <c r="B49" s="1098" t="n"/>
      <c r="C49" s="1098" t="n"/>
      <c r="D49" s="1098" t="n"/>
      <c r="E49" s="1098" t="n"/>
      <c r="F49" s="1098" t="n"/>
      <c r="G49" s="1098" t="n"/>
      <c r="H49" s="1098" t="n"/>
      <c r="I49" s="1098" t="n"/>
      <c r="J49" s="1098" t="n"/>
      <c r="K49" s="1098" t="n"/>
      <c r="L49" s="1098" t="n"/>
      <c r="M49" s="1098" t="n"/>
      <c r="N49" s="1098" t="n"/>
      <c r="O49" s="1099" t="n"/>
    </row>
    <row r="50" ht="27" customFormat="1" customHeight="1" s="33">
      <c r="A50" s="1093" t="inlineStr">
        <is>
          <t>□家庭成員關係紊亂或家庭衝突：如家中成人時常劇烈爭吵、無婚姻關係帶年幼子女與人同居、或有離家出走之念頭者等，以致影響兒少日常生活食衣住行育醫等照顧者功能者。</t>
        </is>
      </c>
      <c r="B50" s="642" t="n"/>
      <c r="C50" s="642" t="n"/>
      <c r="D50" s="642" t="n"/>
      <c r="E50" s="642" t="n"/>
      <c r="F50" s="642" t="n"/>
      <c r="G50" s="642" t="n"/>
      <c r="H50" s="642" t="n"/>
      <c r="I50" s="642" t="n"/>
      <c r="J50" s="642" t="n"/>
      <c r="K50" s="642" t="n"/>
      <c r="L50" s="642" t="n"/>
      <c r="M50" s="642" t="n"/>
      <c r="N50" s="642" t="n"/>
      <c r="O50" s="867" t="n"/>
    </row>
    <row r="51" ht="27" customFormat="1" customHeight="1" s="33">
      <c r="A51" s="1093" t="inlineStr">
        <is>
          <t>□家中兒童少年父母或主要照顧者罹患精神疾病、酒癮、藥癮並未就醫或未持續就醫，以致影響兒少日常生活食衣住行育醫等照顧者功能者。</t>
        </is>
      </c>
      <c r="B51" s="642" t="n"/>
      <c r="C51" s="642" t="n"/>
      <c r="D51" s="642" t="n"/>
      <c r="E51" s="642" t="n"/>
      <c r="F51" s="642" t="n"/>
      <c r="G51" s="642" t="n"/>
      <c r="H51" s="642" t="n"/>
      <c r="I51" s="642" t="n"/>
      <c r="J51" s="642" t="n"/>
      <c r="K51" s="642" t="n"/>
      <c r="L51" s="642" t="n"/>
      <c r="M51" s="642" t="n"/>
      <c r="N51" s="642" t="n"/>
      <c r="O51" s="867" t="n"/>
    </row>
    <row r="52" ht="27" customFormat="1" customHeight="1" s="33">
      <c r="A52" s="1093" t="inlineStr">
        <is>
          <t>□家中兒童少年父母或主要照顧者有自殺風險個案，尚未強迫、引誘、容留或媒介兒童及少年為自殺行為，惟影響兒少日常生活食衣住行育醫等照顧者功能者。</t>
        </is>
      </c>
      <c r="B52" s="642" t="n"/>
      <c r="C52" s="642" t="n"/>
      <c r="D52" s="642" t="n"/>
      <c r="E52" s="642" t="n"/>
      <c r="F52" s="642" t="n"/>
      <c r="G52" s="642" t="n"/>
      <c r="H52" s="642" t="n"/>
      <c r="I52" s="642" t="n"/>
      <c r="J52" s="642" t="n"/>
      <c r="K52" s="642" t="n"/>
      <c r="L52" s="642" t="n"/>
      <c r="M52" s="642" t="n"/>
      <c r="N52" s="642" t="n"/>
      <c r="O52" s="867" t="n"/>
    </row>
    <row r="53" ht="18" customFormat="1" customHeight="1" s="33">
      <c r="A53" s="1093" t="inlineStr">
        <is>
          <t>□因貧困、單親、隔代教養或其他不利因素，以致影響兒少日常生活食衣住行育醫等照顧者功能者。</t>
        </is>
      </c>
      <c r="B53" s="642" t="n"/>
      <c r="C53" s="642" t="n"/>
      <c r="D53" s="642" t="n"/>
      <c r="E53" s="642" t="n"/>
      <c r="F53" s="642" t="n"/>
      <c r="G53" s="642" t="n"/>
      <c r="H53" s="642" t="n"/>
      <c r="I53" s="642" t="n"/>
      <c r="J53" s="642" t="n"/>
      <c r="K53" s="642" t="n"/>
      <c r="L53" s="642" t="n"/>
      <c r="M53" s="642" t="n"/>
      <c r="N53" s="642" t="n"/>
      <c r="O53" s="867" t="n"/>
    </row>
    <row r="54" ht="27" customFormat="1" customHeight="1" s="33">
      <c r="A54" s="1093" t="inlineStr">
        <is>
          <t>□非自願性失業或重複失業者：負擔家計者遭裁員、資遣、強迫退休等，以致影響兒少日常生活食衣住行育醫等照顧者功能者。</t>
        </is>
      </c>
      <c r="B54" s="642" t="n"/>
      <c r="C54" s="642" t="n"/>
      <c r="D54" s="642" t="n"/>
      <c r="E54" s="642" t="n"/>
      <c r="F54" s="642" t="n"/>
      <c r="G54" s="642" t="n"/>
      <c r="H54" s="642" t="n"/>
      <c r="I54" s="642" t="n"/>
      <c r="J54" s="642" t="n"/>
      <c r="K54" s="642" t="n"/>
      <c r="L54" s="642" t="n"/>
      <c r="M54" s="642" t="n"/>
      <c r="N54" s="642" t="n"/>
      <c r="O54" s="867" t="n"/>
    </row>
    <row r="55" ht="17.25" customFormat="1" customHeight="1" s="33" thickBot="1">
      <c r="A55" s="1089" t="inlineStr">
        <is>
          <t>□負擔家計者死亡、出走、重病、入獄服刑等，以致影響兒少日常生活食衣住行育醫等照顧者功能者。</t>
        </is>
      </c>
      <c r="B55" s="754" t="n"/>
      <c r="C55" s="754" t="n"/>
      <c r="D55" s="754" t="n"/>
      <c r="E55" s="754" t="n"/>
      <c r="F55" s="754" t="n"/>
      <c r="G55" s="754" t="n"/>
      <c r="H55" s="754" t="n"/>
      <c r="I55" s="754" t="n"/>
      <c r="J55" s="754" t="n"/>
      <c r="K55" s="754" t="n"/>
      <c r="L55" s="754" t="n"/>
      <c r="M55" s="754" t="n"/>
      <c r="N55" s="754" t="n"/>
      <c r="O55" s="1090" t="n"/>
    </row>
    <row r="56">
      <c r="A56" s="1195" t="n"/>
      <c r="B56" s="1195" t="n"/>
      <c r="C56" s="1195" t="n"/>
      <c r="D56" s="1195" t="n"/>
      <c r="E56" s="1195" t="n"/>
      <c r="F56" s="1195" t="n"/>
      <c r="G56" s="1195" t="n"/>
      <c r="H56" s="1195" t="n"/>
      <c r="I56" s="1195" t="n"/>
      <c r="J56" s="1195" t="n"/>
      <c r="K56" s="1195" t="n"/>
      <c r="L56" s="1195" t="n"/>
      <c r="M56" s="1195" t="n"/>
      <c r="N56" s="1195" t="n"/>
      <c r="O56" s="1195" t="n"/>
    </row>
    <row r="57">
      <c r="A57" s="218" t="n"/>
    </row>
  </sheetData>
  <mergeCells count="90">
    <mergeCell ref="G21:H21"/>
    <mergeCell ref="A50:O50"/>
    <mergeCell ref="M21:O21"/>
    <mergeCell ref="A55:O55"/>
    <mergeCell ref="C13:O13"/>
    <mergeCell ref="D9:F9"/>
    <mergeCell ref="A32:O32"/>
    <mergeCell ref="F25:I25"/>
    <mergeCell ref="C15:O15"/>
    <mergeCell ref="A29:O29"/>
    <mergeCell ref="A38:O38"/>
    <mergeCell ref="K10:M10"/>
    <mergeCell ref="G8:J8"/>
    <mergeCell ref="A2:A5"/>
    <mergeCell ref="D23:O23"/>
    <mergeCell ref="J25:N25"/>
    <mergeCell ref="A44:O44"/>
    <mergeCell ref="A31:O31"/>
    <mergeCell ref="A40:O40"/>
    <mergeCell ref="G10:J10"/>
    <mergeCell ref="C16:O16"/>
    <mergeCell ref="A51:O51"/>
    <mergeCell ref="K9:M9"/>
    <mergeCell ref="G22:H22"/>
    <mergeCell ref="C3:D3"/>
    <mergeCell ref="A25:B26"/>
    <mergeCell ref="C25:E25"/>
    <mergeCell ref="N7:O7"/>
    <mergeCell ref="M22:O22"/>
    <mergeCell ref="A27:O27"/>
    <mergeCell ref="K8:M8"/>
    <mergeCell ref="A42:O42"/>
    <mergeCell ref="A47:O47"/>
    <mergeCell ref="L2:O2"/>
    <mergeCell ref="K7:M7"/>
    <mergeCell ref="J26:N26"/>
    <mergeCell ref="C14:O14"/>
    <mergeCell ref="A28:O28"/>
    <mergeCell ref="C4:O4"/>
    <mergeCell ref="G7:J7"/>
    <mergeCell ref="A48:O48"/>
    <mergeCell ref="A30:O30"/>
    <mergeCell ref="N6:O6"/>
    <mergeCell ref="C26:E26"/>
    <mergeCell ref="B11:B19"/>
    <mergeCell ref="D21:F21"/>
    <mergeCell ref="A54:O54"/>
    <mergeCell ref="H3:K3"/>
    <mergeCell ref="A41:O41"/>
    <mergeCell ref="C17:O17"/>
    <mergeCell ref="D7:F7"/>
    <mergeCell ref="G9:J9"/>
    <mergeCell ref="C19:O19"/>
    <mergeCell ref="A33:O33"/>
    <mergeCell ref="A6:A24"/>
    <mergeCell ref="D8:F8"/>
    <mergeCell ref="N8:O8"/>
    <mergeCell ref="A53:O53"/>
    <mergeCell ref="A35:O35"/>
    <mergeCell ref="C23:C24"/>
    <mergeCell ref="C5:O5"/>
    <mergeCell ref="C2:G2"/>
    <mergeCell ref="N10:O10"/>
    <mergeCell ref="C20:O20"/>
    <mergeCell ref="A34:O34"/>
    <mergeCell ref="A39:O39"/>
    <mergeCell ref="N9:O9"/>
    <mergeCell ref="I21:L21"/>
    <mergeCell ref="A36:O36"/>
    <mergeCell ref="D22:F22"/>
    <mergeCell ref="H2:K2"/>
    <mergeCell ref="A1:O1"/>
    <mergeCell ref="C12:O12"/>
    <mergeCell ref="A45:O45"/>
    <mergeCell ref="L3:N3"/>
    <mergeCell ref="D6:F6"/>
    <mergeCell ref="A46:O46"/>
    <mergeCell ref="A37:O37"/>
    <mergeCell ref="C18:O18"/>
    <mergeCell ref="A43:O43"/>
    <mergeCell ref="D24:O24"/>
    <mergeCell ref="A52:O52"/>
    <mergeCell ref="K6:M6"/>
    <mergeCell ref="E3:G3"/>
    <mergeCell ref="D10:F10"/>
    <mergeCell ref="I22:L22"/>
    <mergeCell ref="G6:J6"/>
    <mergeCell ref="F26:I26"/>
    <mergeCell ref="A49:O49"/>
    <mergeCell ref="C11:O11"/>
  </mergeCells>
  <pageMargins left="0.2083333333333333" right="0.3958333333333333" top="0.75" bottom="0.75" header="0.3" footer="0.3"/>
  <pageSetup orientation="portrait" paperSize="9"/>
</worksheet>
</file>

<file path=xl/worksheets/sheet40.xml><?xml version="1.0" encoding="utf-8"?>
<worksheet xmlns="http://schemas.openxmlformats.org/spreadsheetml/2006/main">
  <sheetPr codeName="工作表35">
    <tabColor theme="9"/>
    <outlinePr summaryBelow="1" summaryRight="1"/>
    <pageSetUpPr/>
  </sheetPr>
  <dimension ref="A1:L37"/>
  <sheetViews>
    <sheetView view="pageLayout" topLeftCell="A4" zoomScaleNormal="100" workbookViewId="0">
      <selection activeCell="E5" sqref="E5:I6"/>
    </sheetView>
  </sheetViews>
  <sheetFormatPr baseColWidth="8" defaultColWidth="9" defaultRowHeight="16.5"/>
  <cols>
    <col width="3.25" customWidth="1" style="592" min="1" max="1"/>
    <col width="9.5" customWidth="1" style="592" min="2" max="2"/>
    <col width="6.125" customWidth="1" style="592" min="3" max="3"/>
    <col width="13" customWidth="1" style="592" min="4" max="4"/>
    <col width="11" customWidth="1" style="592" min="5" max="5"/>
    <col width="6.875" customWidth="1" style="592" min="6" max="6"/>
    <col width="12.5" customWidth="1" style="592" min="7" max="7"/>
    <col width="2.375" customWidth="1" style="592" min="8" max="8"/>
    <col width="3.25" customWidth="1" style="592" min="9" max="9"/>
    <col width="9.25" customWidth="1" style="592" min="10" max="10"/>
    <col width="11" customWidth="1" style="592" min="11" max="11"/>
    <col width="6.875" customWidth="1" style="592" min="12" max="12"/>
    <col width="9" customWidth="1" style="592" min="13" max="13"/>
    <col width="9" customWidth="1" style="592" min="14" max="16384"/>
  </cols>
  <sheetData>
    <row r="1" ht="28.35" customHeight="1" s="680">
      <c r="A1" s="213" t="inlineStr">
        <is>
          <t>毒品案件被告通聯紀錄表</t>
        </is>
      </c>
      <c r="F1" s="1147" t="inlineStr">
        <is>
          <t>(甲式102.5版)</t>
        </is>
      </c>
    </row>
    <row r="2" ht="14.1" customHeight="1" s="680" thickBot="1">
      <c r="A2" s="213" t="n"/>
      <c r="F2" s="1147" t="n"/>
      <c r="G2" s="1147" t="n"/>
    </row>
    <row r="3" ht="59.45" customHeight="1" s="680" thickBot="1" thickTop="1">
      <c r="A3" s="1153" t="n"/>
      <c r="D3" s="483" t="n"/>
      <c r="E3" s="483" t="n"/>
      <c r="J3" s="212" t="inlineStr">
        <is>
          <t>移送
單位</t>
        </is>
      </c>
      <c r="K3" s="211" t="n"/>
      <c r="L3" s="210" t="n"/>
    </row>
    <row r="4" ht="36.75" customHeight="1" s="680" thickBot="1" thickTop="1">
      <c r="A4" s="1137" t="inlineStr">
        <is>
          <t>被告姓名</t>
        </is>
      </c>
      <c r="B4" s="1138" t="n"/>
      <c r="C4" s="1156">
        <f>word用!$H$2</f>
        <v/>
      </c>
      <c r="D4" s="1138" t="n"/>
      <c r="E4" s="1157" t="inlineStr">
        <is>
          <t>被告攜帶手機共 1 支
(每支填寫一張本表)</t>
        </is>
      </c>
      <c r="F4" s="918" t="n"/>
      <c r="G4" s="918" t="n"/>
      <c r="H4" s="918" t="n"/>
      <c r="I4" s="918" t="n"/>
      <c r="J4" s="915" t="inlineStr">
        <is>
          <t>填製
單位：</t>
        </is>
      </c>
      <c r="K4" s="1145">
        <f>CONCATENATE(輸入!$S$19,輸入!$T$19)</f>
        <v/>
      </c>
      <c r="L4" s="1146" t="n"/>
    </row>
    <row r="5" ht="28.35" customHeight="1" s="680" thickBot="1" thickTop="1">
      <c r="A5" s="1141" t="inlineStr">
        <is>
          <t>身分證號</t>
        </is>
      </c>
      <c r="B5" s="574" t="n"/>
      <c r="C5" s="661">
        <f>UPPER(VLOOKUP($C$4,個資,2,FALSE))</f>
        <v/>
      </c>
      <c r="D5" s="574" t="n"/>
      <c r="E5" s="1143">
        <f>CONCATENATE("手機門號：",word用!$K$2)</f>
        <v/>
      </c>
      <c r="F5" s="830" t="n"/>
      <c r="G5" s="830" t="n"/>
      <c r="H5" s="830" t="n"/>
      <c r="I5" s="831" t="n"/>
      <c r="J5" s="1158" t="n"/>
      <c r="K5" s="1151">
        <f>CONCATENATE(輸入!$S$20,輸入!$T$20)</f>
        <v/>
      </c>
      <c r="L5" s="1152" t="n"/>
    </row>
    <row r="6" ht="28.35" customHeight="1" s="680" thickBot="1" thickTop="1">
      <c r="A6" s="1154" t="inlineStr">
        <is>
          <t>綽 號</t>
        </is>
      </c>
      <c r="B6" s="1155" t="n"/>
      <c r="C6" s="209" t="n"/>
      <c r="D6" s="208" t="n"/>
      <c r="E6" s="916" t="n"/>
      <c r="F6" s="850" t="n"/>
      <c r="G6" s="850" t="n"/>
      <c r="H6" s="850" t="n"/>
      <c r="I6" s="851" t="n"/>
      <c r="J6" s="1149" t="inlineStr">
        <is>
          <t>製表人：</t>
        </is>
      </c>
      <c r="K6" s="918" t="n"/>
      <c r="L6" s="919" t="n"/>
    </row>
    <row r="7" ht="33.95" customHeight="1" s="680" thickTop="1">
      <c r="B7" s="478" t="n"/>
      <c r="C7" s="207" t="n"/>
      <c r="D7" s="483" t="n"/>
      <c r="E7" s="483" t="n"/>
    </row>
    <row r="8" ht="39.6" customHeight="1" s="680">
      <c r="A8" s="206" t="n"/>
      <c r="B8" s="1139" t="inlineStr">
        <is>
          <t>被告遭查獲前之最近「撥出」之對方門號</t>
        </is>
      </c>
      <c r="C8" s="577" t="n"/>
      <c r="D8" s="577" t="n"/>
      <c r="E8" s="577" t="n"/>
      <c r="F8" s="574" t="n"/>
      <c r="G8" s="1139" t="inlineStr">
        <is>
          <t>被告遭查獲前之最近「接收」之對方門號</t>
        </is>
      </c>
      <c r="H8" s="577" t="n"/>
      <c r="I8" s="577" t="n"/>
      <c r="J8" s="577" t="n"/>
      <c r="K8" s="577" t="n"/>
      <c r="L8" s="574" t="n"/>
    </row>
    <row r="9" ht="28.35" customHeight="1" s="680">
      <c r="A9" s="521" t="n"/>
      <c r="B9" s="1142" t="inlineStr">
        <is>
          <t>對方門號</t>
        </is>
      </c>
      <c r="C9" s="581" t="n"/>
      <c r="D9" s="1148" t="inlineStr">
        <is>
          <t>姓名(綽號)</t>
        </is>
      </c>
      <c r="E9" s="1142" t="inlineStr">
        <is>
          <t>關係</t>
        </is>
      </c>
      <c r="F9" s="1142" t="inlineStr">
        <is>
          <t>毒犯</t>
        </is>
      </c>
      <c r="G9" s="1142" t="inlineStr">
        <is>
          <t>對方門號</t>
        </is>
      </c>
      <c r="H9" s="581" t="n"/>
      <c r="I9" s="1148" t="inlineStr">
        <is>
          <t>姓名(綽號)</t>
        </is>
      </c>
      <c r="J9" s="581" t="n"/>
      <c r="K9" s="205" t="inlineStr">
        <is>
          <t>關係</t>
        </is>
      </c>
      <c r="L9" s="1142" t="inlineStr">
        <is>
          <t>毒犯</t>
        </is>
      </c>
    </row>
    <row r="10" ht="33.95" customHeight="1" s="680">
      <c r="A10" s="579" t="n">
        <v>1</v>
      </c>
      <c r="B10" s="181" t="n"/>
      <c r="C10" s="578" t="n"/>
      <c r="D10" s="661" t="n"/>
      <c r="E10" s="661" t="n"/>
      <c r="F10" s="204" t="inlineStr">
        <is>
          <t>□ 販
□ 吸</t>
        </is>
      </c>
      <c r="G10" s="181" t="n"/>
      <c r="H10" s="578" t="n"/>
      <c r="I10" s="181" t="n"/>
      <c r="J10" s="182" t="n"/>
      <c r="K10" s="42" t="n"/>
      <c r="L10" s="183" t="inlineStr">
        <is>
          <t>□ 販
□ 吸</t>
        </is>
      </c>
    </row>
    <row r="11" ht="33.95" customHeight="1" s="680">
      <c r="A11" s="579" t="n">
        <v>2</v>
      </c>
      <c r="B11" s="201" t="n"/>
      <c r="C11" s="202" t="n"/>
      <c r="D11" s="144" t="n"/>
      <c r="E11" s="183" t="n"/>
      <c r="F11" s="204" t="inlineStr">
        <is>
          <t>□ 販
□ 吸</t>
        </is>
      </c>
      <c r="G11" s="201" t="n"/>
      <c r="H11" s="202" t="n"/>
      <c r="I11" s="201" t="n"/>
      <c r="J11" s="974" t="n"/>
      <c r="K11" s="42" t="n"/>
      <c r="L11" s="183" t="inlineStr">
        <is>
          <t>□ 販
□ 吸</t>
        </is>
      </c>
    </row>
    <row r="12" ht="33.95" customHeight="1" s="680">
      <c r="A12" s="579" t="n">
        <v>3</v>
      </c>
      <c r="B12" s="201" t="n"/>
      <c r="C12" s="202" t="n"/>
      <c r="D12" s="144" t="n"/>
      <c r="E12" s="183" t="n"/>
      <c r="F12" s="204" t="inlineStr">
        <is>
          <t>□ 販
□ 吸</t>
        </is>
      </c>
      <c r="G12" s="201" t="n"/>
      <c r="H12" s="202" t="n"/>
      <c r="I12" s="201" t="n"/>
      <c r="J12" s="974" t="n"/>
      <c r="K12" s="42" t="n"/>
      <c r="L12" s="183" t="inlineStr">
        <is>
          <t>□ 販
□ 吸</t>
        </is>
      </c>
    </row>
    <row r="13" ht="33.95" customHeight="1" s="680">
      <c r="A13" s="579" t="n">
        <v>4</v>
      </c>
      <c r="B13" s="201" t="n"/>
      <c r="C13" s="202" t="n"/>
      <c r="D13" s="144" t="n"/>
      <c r="E13" s="183" t="n"/>
      <c r="F13" s="204" t="inlineStr">
        <is>
          <t>□ 販
□ 吸</t>
        </is>
      </c>
      <c r="G13" s="201" t="n"/>
      <c r="H13" s="202" t="n"/>
      <c r="I13" s="201" t="n"/>
      <c r="J13" s="974" t="n"/>
      <c r="K13" s="42" t="n"/>
      <c r="L13" s="183" t="inlineStr">
        <is>
          <t>□ 販
□ 吸</t>
        </is>
      </c>
    </row>
    <row r="14" ht="33.95" customHeight="1" s="680">
      <c r="A14" s="579" t="n">
        <v>5</v>
      </c>
      <c r="B14" s="201" t="n"/>
      <c r="C14" s="202" t="n"/>
      <c r="D14" s="144" t="n"/>
      <c r="E14" s="183" t="n"/>
      <c r="F14" s="204" t="inlineStr">
        <is>
          <t>□ 販
□ 吸</t>
        </is>
      </c>
      <c r="G14" s="201" t="n"/>
      <c r="H14" s="202" t="n"/>
      <c r="I14" s="201" t="n"/>
      <c r="J14" s="974" t="n"/>
      <c r="K14" s="42" t="n"/>
      <c r="L14" s="183" t="inlineStr">
        <is>
          <t>□ 販
□ 吸</t>
        </is>
      </c>
    </row>
    <row r="15" ht="33.95" customHeight="1" s="680">
      <c r="A15" s="579" t="n">
        <v>6</v>
      </c>
      <c r="B15" s="201" t="n"/>
      <c r="C15" s="202" t="n"/>
      <c r="D15" s="144" t="n"/>
      <c r="E15" s="183" t="n"/>
      <c r="F15" s="204" t="inlineStr">
        <is>
          <t>□ 販
□ 吸</t>
        </is>
      </c>
      <c r="G15" s="201" t="n"/>
      <c r="H15" s="202" t="n"/>
      <c r="I15" s="201" t="n"/>
      <c r="J15" s="974" t="n"/>
      <c r="K15" s="42" t="n"/>
      <c r="L15" s="183" t="inlineStr">
        <is>
          <t>□ 販
□ 吸</t>
        </is>
      </c>
    </row>
    <row r="16" ht="33.95" customHeight="1" s="680">
      <c r="A16" s="579" t="n">
        <v>7</v>
      </c>
      <c r="B16" s="201" t="n"/>
      <c r="C16" s="202" t="n"/>
      <c r="D16" s="144" t="n"/>
      <c r="E16" s="183" t="n"/>
      <c r="F16" s="204" t="inlineStr">
        <is>
          <t>□ 販
□ 吸</t>
        </is>
      </c>
      <c r="G16" s="201" t="n"/>
      <c r="H16" s="202" t="n"/>
      <c r="I16" s="201" t="n"/>
      <c r="J16" s="974" t="n"/>
      <c r="K16" s="42" t="n"/>
      <c r="L16" s="183" t="inlineStr">
        <is>
          <t>□ 販
□ 吸</t>
        </is>
      </c>
    </row>
    <row r="17" ht="33.95" customHeight="1" s="680">
      <c r="A17" s="579" t="n">
        <v>8</v>
      </c>
      <c r="B17" s="201" t="n"/>
      <c r="C17" s="202" t="n"/>
      <c r="D17" s="144" t="n"/>
      <c r="E17" s="183" t="n"/>
      <c r="F17" s="204" t="inlineStr">
        <is>
          <t>□ 販
□ 吸</t>
        </is>
      </c>
      <c r="G17" s="201" t="n"/>
      <c r="H17" s="202" t="n"/>
      <c r="I17" s="201" t="n"/>
      <c r="J17" s="974" t="n"/>
      <c r="K17" s="42" t="n"/>
      <c r="L17" s="183" t="inlineStr">
        <is>
          <t>□ 販
□ 吸</t>
        </is>
      </c>
    </row>
    <row r="18" ht="33.95" customHeight="1" s="680">
      <c r="A18" s="579" t="n">
        <v>9</v>
      </c>
      <c r="B18" s="201" t="n"/>
      <c r="C18" s="202" t="n"/>
      <c r="D18" s="144" t="n"/>
      <c r="E18" s="183" t="n"/>
      <c r="F18" s="204" t="inlineStr">
        <is>
          <t>□ 販
□ 吸</t>
        </is>
      </c>
      <c r="G18" s="201" t="n"/>
      <c r="H18" s="202" t="n"/>
      <c r="I18" s="201" t="n"/>
      <c r="J18" s="974" t="n"/>
      <c r="K18" s="42" t="n"/>
      <c r="L18" s="183" t="inlineStr">
        <is>
          <t>□ 販
□ 吸</t>
        </is>
      </c>
    </row>
    <row r="19" ht="33.95" customHeight="1" s="680">
      <c r="A19" s="579" t="n">
        <v>10</v>
      </c>
      <c r="B19" s="201" t="n"/>
      <c r="C19" s="202" t="n"/>
      <c r="D19" s="144" t="n"/>
      <c r="E19" s="183" t="n"/>
      <c r="F19" s="204" t="inlineStr">
        <is>
          <t>□ 販
□ 吸</t>
        </is>
      </c>
      <c r="G19" s="203" t="n"/>
      <c r="H19" s="202" t="n"/>
      <c r="I19" s="201" t="n"/>
      <c r="J19" s="974" t="n"/>
      <c r="K19" s="42" t="n"/>
      <c r="L19" s="183" t="inlineStr">
        <is>
          <t>□ 販
□ 吸</t>
        </is>
      </c>
    </row>
    <row r="20" ht="113.25" customHeight="1" s="680">
      <c r="A20" s="1140" t="inlineStr">
        <is>
          <t>被告有無供出毒
品上游或其他販
毒者：</t>
        </is>
      </c>
      <c r="B20" s="583" t="n"/>
      <c r="C20" s="584" t="n"/>
      <c r="D20" s="1150" t="inlineStr">
        <is>
          <t>被告供出本件毒品上游：
□ 有(□販賣/□轉讓) □ 無
上游姓名(綽號)：
電話：</t>
        </is>
      </c>
      <c r="E20" s="583" t="n"/>
      <c r="F20" s="583" t="n"/>
      <c r="G20" s="584" t="n"/>
      <c r="H20" s="1150" t="inlineStr">
        <is>
          <t>被告供出其他販毒者：
□ 有 □ 無
上游姓名(綽號)：
電話：</t>
        </is>
      </c>
      <c r="I20" s="583" t="n"/>
      <c r="J20" s="583" t="n"/>
      <c r="K20" s="583" t="n"/>
      <c r="L20" s="584" t="n"/>
    </row>
    <row r="21" ht="28.35" customHeight="1" s="680">
      <c r="A21" s="491" t="n"/>
      <c r="B21" s="491" t="n"/>
      <c r="C21" s="491" t="n"/>
      <c r="D21" s="491" t="n"/>
      <c r="E21" s="979" t="n"/>
      <c r="F21" s="491" t="n"/>
      <c r="G21" s="491" t="n"/>
      <c r="H21" s="491" t="n"/>
      <c r="I21" s="491" t="n"/>
      <c r="J21" s="979" t="n"/>
    </row>
    <row r="22" ht="28.35" customHeight="1" s="680">
      <c r="A22" s="491" t="n"/>
      <c r="B22" s="491" t="n"/>
      <c r="C22" s="1144" t="inlineStr">
        <is>
          <t>(上述資訊請將手機畫面拍照並列印，連同「移送書」影本、「筆錄」正本附於本表後)</t>
        </is>
      </c>
    </row>
    <row r="23">
      <c r="A23" s="491" t="n"/>
      <c r="B23" s="491" t="n"/>
      <c r="C23" s="491" t="n"/>
      <c r="D23" s="491" t="n"/>
      <c r="E23" s="979" t="n"/>
      <c r="F23" s="491" t="n"/>
      <c r="G23" s="491" t="n"/>
      <c r="H23" s="491" t="n"/>
      <c r="I23" s="491" t="n"/>
      <c r="J23" s="979" t="n"/>
    </row>
    <row r="24">
      <c r="A24" s="491" t="n"/>
      <c r="B24" s="491" t="n"/>
      <c r="C24" s="491" t="n"/>
      <c r="D24" s="491" t="n"/>
      <c r="E24" s="979" t="n"/>
      <c r="F24" s="491" t="n"/>
      <c r="G24" s="491" t="n"/>
      <c r="H24" s="491" t="n"/>
      <c r="I24" s="491" t="n"/>
      <c r="J24" s="979" t="n"/>
    </row>
    <row r="25">
      <c r="A25" s="491" t="n"/>
      <c r="B25" s="491" t="n"/>
      <c r="C25" s="491" t="n"/>
      <c r="D25" s="491" t="n"/>
      <c r="E25" s="979" t="n"/>
      <c r="F25" s="491" t="n"/>
      <c r="G25" s="491" t="n"/>
      <c r="H25" s="491" t="n"/>
      <c r="I25" s="491" t="n"/>
      <c r="J25" s="979" t="n"/>
    </row>
    <row r="26">
      <c r="A26" s="491" t="n"/>
      <c r="B26" s="491" t="n"/>
      <c r="C26" s="491" t="n"/>
      <c r="D26" s="491" t="n"/>
      <c r="E26" s="979" t="n"/>
      <c r="F26" s="491" t="n"/>
      <c r="G26" s="491" t="n"/>
      <c r="H26" s="491" t="n"/>
      <c r="I26" s="491" t="n"/>
      <c r="J26" s="979" t="n"/>
    </row>
    <row r="27">
      <c r="A27" s="491" t="n"/>
      <c r="B27" s="491" t="n"/>
      <c r="C27" s="491" t="n"/>
      <c r="D27" s="491" t="n"/>
      <c r="E27" s="979" t="n"/>
      <c r="F27" s="491" t="n"/>
      <c r="G27" s="491" t="n"/>
      <c r="H27" s="491" t="n"/>
      <c r="I27" s="491" t="n"/>
      <c r="J27" s="979" t="n"/>
    </row>
    <row r="28">
      <c r="A28" s="491" t="n"/>
      <c r="B28" s="491" t="n"/>
      <c r="C28" s="491" t="n"/>
      <c r="D28" s="491" t="n"/>
      <c r="E28" s="979" t="n"/>
      <c r="F28" s="491" t="n"/>
      <c r="G28" s="491" t="n"/>
      <c r="H28" s="491" t="n"/>
      <c r="I28" s="491" t="n"/>
      <c r="J28" s="979" t="n"/>
    </row>
    <row r="29">
      <c r="A29" s="491" t="n"/>
      <c r="B29" s="491" t="n"/>
      <c r="C29" s="491" t="n"/>
      <c r="D29" s="491" t="n"/>
      <c r="E29" s="979" t="n"/>
      <c r="F29" s="491" t="n"/>
      <c r="G29" s="491" t="n"/>
      <c r="H29" s="491" t="n"/>
      <c r="I29" s="491" t="n"/>
      <c r="J29" s="979" t="n"/>
    </row>
    <row r="30">
      <c r="A30" s="491" t="n"/>
      <c r="B30" s="491" t="n"/>
      <c r="C30" s="491" t="n"/>
      <c r="D30" s="491" t="n"/>
      <c r="E30" s="979" t="n"/>
      <c r="F30" s="491" t="n"/>
      <c r="G30" s="491" t="n"/>
      <c r="H30" s="491" t="n"/>
      <c r="I30" s="491" t="n"/>
      <c r="J30" s="979" t="n"/>
    </row>
    <row r="31" ht="16.5" customHeight="1" s="680">
      <c r="A31" s="199" t="n"/>
      <c r="B31" s="199" t="n"/>
      <c r="C31" s="599" t="n"/>
      <c r="D31" s="599" t="n"/>
      <c r="E31" s="599" t="n"/>
      <c r="F31" s="599" t="n"/>
      <c r="G31" s="599" t="n"/>
      <c r="H31" s="599" t="n"/>
      <c r="I31" s="599" t="n"/>
      <c r="J31" s="599" t="n"/>
    </row>
    <row r="32" ht="16.5" customHeight="1" s="680">
      <c r="A32" s="199" t="n"/>
      <c r="B32" s="199" t="n"/>
      <c r="C32" s="599" t="n"/>
      <c r="D32" s="599" t="n"/>
      <c r="E32" s="599" t="n"/>
      <c r="F32" s="599" t="n"/>
      <c r="G32" s="599" t="n"/>
      <c r="H32" s="599" t="n"/>
      <c r="I32" s="599" t="n"/>
      <c r="J32" s="599" t="n"/>
    </row>
    <row r="33" ht="16.5" customHeight="1" s="680">
      <c r="A33" s="199" t="n"/>
      <c r="B33" s="199" t="n"/>
      <c r="C33" s="599" t="n"/>
      <c r="D33" s="599" t="n"/>
      <c r="E33" s="599" t="n"/>
      <c r="F33" s="599" t="n"/>
      <c r="G33" s="599" t="n"/>
      <c r="H33" s="599" t="n"/>
      <c r="I33" s="599" t="n"/>
      <c r="J33" s="599" t="n"/>
    </row>
    <row r="34" ht="16.5" customHeight="1" s="680">
      <c r="A34" s="199" t="n"/>
      <c r="B34" s="199" t="n"/>
      <c r="C34" s="599" t="n"/>
      <c r="D34" s="599" t="n"/>
      <c r="E34" s="599" t="n"/>
      <c r="F34" s="599" t="n"/>
      <c r="G34" s="599" t="n"/>
      <c r="H34" s="599" t="n"/>
      <c r="I34" s="599" t="n"/>
      <c r="J34" s="599" t="n"/>
    </row>
    <row r="35">
      <c r="A35" s="154" t="n"/>
      <c r="B35" s="154" t="n"/>
      <c r="C35" s="154" t="n"/>
      <c r="D35" s="154" t="n"/>
      <c r="E35" s="154" t="n"/>
      <c r="F35" s="154" t="n"/>
      <c r="G35" s="154" t="n"/>
      <c r="H35" s="154" t="n"/>
      <c r="I35" s="154" t="n"/>
      <c r="J35" s="154" t="n"/>
    </row>
    <row r="37">
      <c r="A37" s="139" t="n"/>
    </row>
  </sheetData>
  <mergeCells count="22">
    <mergeCell ref="J6:L6"/>
    <mergeCell ref="H20:L20"/>
    <mergeCell ref="C5:D5"/>
    <mergeCell ref="K5:L5"/>
    <mergeCell ref="A3:C3"/>
    <mergeCell ref="A6:B6"/>
    <mergeCell ref="C4:D4"/>
    <mergeCell ref="E4:I4"/>
    <mergeCell ref="D20:G20"/>
    <mergeCell ref="J4:J5"/>
    <mergeCell ref="B8:F8"/>
    <mergeCell ref="A20:C20"/>
    <mergeCell ref="A5:B5"/>
    <mergeCell ref="E5:I6"/>
    <mergeCell ref="B9:C9"/>
    <mergeCell ref="A4:B4"/>
    <mergeCell ref="C22:L22"/>
    <mergeCell ref="G8:L8"/>
    <mergeCell ref="K4:L4"/>
    <mergeCell ref="G9:H9"/>
    <mergeCell ref="F1:G1"/>
    <mergeCell ref="I9:J9"/>
  </mergeCells>
  <printOptions horizontalCentered="1"/>
  <pageMargins left="0.3937007874015748" right="0.3937007874015748" top="0.3937007874015748" bottom="0.5905511811023623" header="0.5905511811023623" footer="0.7086614173228347"/>
  <pageSetup orientation="portrait" paperSize="9"/>
</worksheet>
</file>

<file path=xl/worksheets/sheet41.xml><?xml version="1.0" encoding="utf-8"?>
<worksheet xmlns="http://schemas.openxmlformats.org/spreadsheetml/2006/main">
  <sheetPr codeName="工作表32">
    <tabColor rgb="FF92D050"/>
    <outlinePr summaryBelow="1" summaryRight="1"/>
    <pageSetUpPr/>
  </sheetPr>
  <dimension ref="A1:H19"/>
  <sheetViews>
    <sheetView view="pageLayout" topLeftCell="A10" zoomScaleNormal="100" workbookViewId="0">
      <selection activeCell="C8" sqref="C8:H8"/>
    </sheetView>
  </sheetViews>
  <sheetFormatPr baseColWidth="8" defaultColWidth="9" defaultRowHeight="16.5"/>
  <cols>
    <col width="6" customWidth="1" style="592" min="1" max="1"/>
    <col width="6.5" customWidth="1" style="592" min="2" max="2"/>
    <col width="9.5" customWidth="1" style="592" min="3" max="3"/>
    <col width="14.75" customWidth="1" style="592" min="4" max="4"/>
    <col width="6.875" customWidth="1" style="592" min="5" max="5"/>
    <col width="13.75" customWidth="1" style="592" min="6" max="6"/>
    <col width="14.5" customWidth="1" style="592" min="7" max="7"/>
    <col width="6.25" customWidth="1" style="592" min="8" max="8"/>
    <col width="9" customWidth="1" style="592" min="9" max="9"/>
    <col width="9" customWidth="1" style="592" min="10" max="16384"/>
  </cols>
  <sheetData>
    <row r="1" ht="33.95" customFormat="1" customHeight="1" s="1160">
      <c r="A1" s="363" t="n"/>
      <c r="B1" s="1159" t="inlineStr">
        <is>
          <t>臺北市政府消防局救護資料申請書</t>
        </is>
      </c>
      <c r="H1" s="363" t="n"/>
    </row>
    <row r="2" ht="5.25" customFormat="1" customHeight="1" s="1160" thickBot="1">
      <c r="B2" s="240" t="n"/>
      <c r="C2" s="240" t="n"/>
      <c r="D2" s="240" t="n"/>
      <c r="E2" s="240" t="n"/>
      <c r="F2" s="240" t="n"/>
      <c r="G2" s="240" t="n"/>
    </row>
    <row r="3" ht="33.95" customHeight="1" s="680" thickBot="1">
      <c r="A3" s="1162" t="inlineStr">
        <is>
          <t>申請單位</t>
        </is>
      </c>
      <c r="B3" s="1163" t="n"/>
      <c r="C3" s="1167">
        <f>CONCATENATE(輸入!$S$18,輸入!$T$18,輸入!$S$19,輸入!$T$19,輸入!$S$20,輸入!$T$20)</f>
        <v/>
      </c>
      <c r="D3" s="803" t="n"/>
      <c r="E3" s="803" t="n"/>
      <c r="F3" s="803" t="n"/>
      <c r="G3" s="803" t="n"/>
      <c r="H3" s="804" t="n"/>
    </row>
    <row r="4" ht="42.6" customHeight="1" s="680" thickBot="1">
      <c r="A4" s="1168" t="inlineStr">
        <is>
          <t>申 請 人
姓    名</t>
        </is>
      </c>
      <c r="B4" s="1163" t="n"/>
      <c r="C4" s="1169">
        <f>CONCATENATE("警員  ",輸入!$U$24,)</f>
        <v/>
      </c>
      <c r="D4" s="803" t="n"/>
      <c r="E4" s="804" t="n"/>
      <c r="F4" s="241" t="inlineStr">
        <is>
          <t>聯絡電話</t>
        </is>
      </c>
      <c r="G4" s="1169">
        <f>輸入!$T$21</f>
        <v/>
      </c>
      <c r="H4" s="804" t="n"/>
    </row>
    <row r="5" ht="42.6" customHeight="1" s="680" thickBot="1">
      <c r="A5" s="1162" t="inlineStr">
        <is>
          <t>案件時間</t>
        </is>
      </c>
      <c r="B5" s="1163" t="n"/>
      <c r="C5" s="1169">
        <f>下拉用!$J$9</f>
        <v/>
      </c>
      <c r="D5" s="803" t="n"/>
      <c r="E5" s="803" t="n"/>
      <c r="F5" s="803" t="n"/>
      <c r="G5" s="803" t="n"/>
      <c r="H5" s="804" t="n"/>
    </row>
    <row r="6" ht="42.6" customHeight="1" s="680" thickBot="1">
      <c r="A6" s="1162" t="inlineStr">
        <is>
          <t>案件地址</t>
        </is>
      </c>
      <c r="B6" s="1163" t="n"/>
      <c r="C6" s="1169">
        <f>輸入!$C$7</f>
        <v/>
      </c>
      <c r="D6" s="803" t="n"/>
      <c r="E6" s="803" t="n"/>
      <c r="F6" s="803" t="n"/>
      <c r="G6" s="803" t="n"/>
      <c r="H6" s="804" t="n"/>
    </row>
    <row r="7" ht="16.5" customHeight="1" s="680">
      <c r="A7" s="1165" t="inlineStr">
        <is>
          <t>申請用途</t>
        </is>
      </c>
      <c r="B7" s="847" t="n"/>
      <c r="C7" s="1166" t="inlineStr">
        <is>
          <t>□現場死亡(未送醫)佐證</t>
        </is>
      </c>
      <c r="D7" s="721" t="n"/>
      <c r="E7" s="721" t="n"/>
      <c r="F7" s="721" t="n"/>
      <c r="G7" s="721" t="n"/>
      <c r="H7" s="722" t="n"/>
    </row>
    <row r="8" ht="17.25" customHeight="1" s="680">
      <c r="A8" s="731" t="n"/>
      <c r="B8" s="727" t="n"/>
      <c r="C8" s="1174">
        <f>IF('呈報單 多人'!$G$44="刑事相驗","■刑事相驗佐證","□刑事相驗佐證")</f>
        <v/>
      </c>
      <c r="H8" s="727" t="n"/>
    </row>
    <row r="9" ht="35.25" customHeight="1" s="680" thickBot="1">
      <c r="A9" s="843" t="n"/>
      <c r="B9" s="801" t="n"/>
      <c r="C9" s="1180" t="inlineStr">
        <is>
          <t>□其他(辦案需求)：________________________________________
    (當事人未死亡請勾選此項)</t>
        </is>
      </c>
      <c r="D9" s="769" t="n"/>
      <c r="E9" s="769" t="n"/>
      <c r="F9" s="769" t="n"/>
      <c r="G9" s="769" t="n"/>
      <c r="H9" s="770" t="n"/>
    </row>
    <row r="10" ht="42.6" customHeight="1" s="680" thickBot="1">
      <c r="A10" s="1162" t="inlineStr">
        <is>
          <t>申請資料</t>
        </is>
      </c>
      <c r="B10" s="1163" t="n"/>
      <c r="C10" s="1178" t="inlineStr">
        <is>
          <t>■救護紀錄表
■受理報案紀錄</t>
        </is>
      </c>
      <c r="D10" s="1179" t="n"/>
      <c r="E10" s="1179" t="n"/>
      <c r="F10" s="1179" t="n"/>
      <c r="G10" s="1179" t="n"/>
      <c r="H10" s="1163" t="n"/>
    </row>
    <row r="11" ht="19.7" customHeight="1" s="680" thickBot="1">
      <c r="A11" s="1165" t="inlineStr">
        <is>
          <t>領取方式</t>
        </is>
      </c>
      <c r="B11" s="847" t="n"/>
      <c r="C11" s="1164" t="inlineStr">
        <is>
          <t>□親自領取：臺北市政府消防局(臺北市信義區松仁路1號)</t>
        </is>
      </c>
      <c r="D11" s="803" t="n"/>
      <c r="E11" s="803" t="n"/>
      <c r="F11" s="803" t="n"/>
      <c r="G11" s="803" t="n"/>
      <c r="H11" s="804" t="n"/>
    </row>
    <row r="12" ht="19.7" customHeight="1" s="680">
      <c r="A12" s="731" t="n"/>
      <c r="B12" s="727" t="n"/>
      <c r="C12" s="1161" t="inlineStr">
        <is>
          <t xml:space="preserve">□公務信箱：________________________________________                                          
                                                                   </t>
        </is>
      </c>
      <c r="D12" s="721" t="n"/>
      <c r="E12" s="721" t="n"/>
      <c r="F12" s="721" t="n"/>
      <c r="G12" s="721" t="n"/>
      <c r="H12" s="722" t="n"/>
    </row>
    <row r="13" ht="19.7" customFormat="1" customHeight="1" s="776" thickBot="1">
      <c r="A13" s="843" t="n"/>
      <c r="B13" s="801" t="n"/>
      <c r="C13" s="1176">
        <f>CONCATENATE("■傳真電話：",輸入!$T$22)</f>
        <v/>
      </c>
      <c r="D13" s="769" t="n"/>
      <c r="E13" s="769" t="n"/>
      <c r="F13" s="769" t="n"/>
      <c r="G13" s="769" t="n"/>
      <c r="H13" s="770" t="n"/>
    </row>
    <row r="14" ht="40.5" customHeight="1" s="680" thickBot="1">
      <c r="A14" s="1168" t="inlineStr">
        <is>
          <t>備註
(請勾選)</t>
        </is>
      </c>
      <c r="B14" s="1163" t="n"/>
      <c r="C14" s="1178" t="inlineStr">
        <is>
          <t>■當事人已確定死亡，不受個人資料保護法規範。
□當事人未死亡，申請單位遵守個人資料保護法規範。</t>
        </is>
      </c>
      <c r="D14" s="1179" t="n"/>
      <c r="E14" s="1179" t="n"/>
      <c r="F14" s="1179" t="n"/>
      <c r="G14" s="1179" t="n"/>
      <c r="H14" s="1163" t="n"/>
    </row>
    <row r="15" ht="40.5" customHeight="1" s="680" thickBot="1">
      <c r="A15" s="362" t="inlineStr">
        <is>
          <t>此致</t>
        </is>
      </c>
      <c r="B15" s="357" t="n"/>
      <c r="C15" s="1177" t="inlineStr">
        <is>
          <t xml:space="preserve"> 臺北市政府消防局</t>
        </is>
      </c>
      <c r="D15" s="803" t="n"/>
      <c r="E15" s="803" t="n"/>
      <c r="F15" s="772" t="n"/>
      <c r="G15" s="772" t="n"/>
      <c r="H15" s="534" t="n"/>
    </row>
    <row r="16" ht="40.5" customHeight="1" s="680" thickBot="1">
      <c r="A16" s="1171" t="inlineStr">
        <is>
          <t>申請人：</t>
        </is>
      </c>
      <c r="B16" s="803" t="n"/>
      <c r="C16" s="1172">
        <f>CONCATENATE(輸入!$T$24," ",輸入!$U$24,)</f>
        <v/>
      </c>
      <c r="D16" s="803" t="n"/>
      <c r="E16" s="772" t="inlineStr">
        <is>
          <t>申請單位主管：</t>
        </is>
      </c>
      <c r="F16" s="772" t="n"/>
      <c r="G16" s="772" t="n"/>
      <c r="H16" s="534" t="n"/>
    </row>
    <row r="17" ht="39.75" customHeight="1" s="680" thickBot="1">
      <c r="A17" s="1173" t="inlineStr">
        <is>
          <t xml:space="preserve">申請日期(年/月/日)：        </t>
        </is>
      </c>
      <c r="B17" s="803" t="n"/>
      <c r="C17" s="803" t="n"/>
      <c r="D17" s="1335">
        <f>TODAY()</f>
        <v/>
      </c>
      <c r="E17" s="358" t="inlineStr">
        <is>
          <t>申請單位：</t>
        </is>
      </c>
      <c r="F17" s="359" t="n"/>
      <c r="G17" s="360" t="n"/>
      <c r="H17" s="361" t="n"/>
    </row>
    <row r="18" ht="18" customHeight="1" s="680">
      <c r="A18" s="1175" t="inlineStr">
        <is>
          <t xml:space="preserve">說明：
</t>
        </is>
      </c>
      <c r="C18" s="242" t="n"/>
      <c r="D18" s="242" t="n"/>
      <c r="E18" s="242" t="n"/>
      <c r="F18" s="242" t="n"/>
      <c r="G18" s="242" t="n"/>
      <c r="H18" s="242" t="n"/>
    </row>
    <row r="19" ht="104.25" customHeight="1" s="680">
      <c r="B19" s="1170" t="inlineStr">
        <is>
          <t>1.  本表僅提供警察機關申請救護案件資料使用，當事人未死亡之個案，警察機關應
    派員至本局親自領取，以符合個人資料保謢法規範。
2.  請附上申請人服務證件，申請單位請蓋機關章(圓戳章可)；案內公務信箱係指各
    單位專用之信箱。
3.  申請表填具後，上班時間(8時30分至17時30分)請傳真至緊急救護科：
    (02)2345-6386；查詢電話(02)2729-7668轉6415；非上班時間請傳真至救災救護
    指揮中心：(02)2758-7865；查詢電話(02)2729-7668轉9。</t>
        </is>
      </c>
    </row>
  </sheetData>
  <mergeCells count="28">
    <mergeCell ref="C10:H10"/>
    <mergeCell ref="C9:H9"/>
    <mergeCell ref="B1:G1"/>
    <mergeCell ref="C12:H12"/>
    <mergeCell ref="A6:B6"/>
    <mergeCell ref="C11:H11"/>
    <mergeCell ref="A11:B13"/>
    <mergeCell ref="A16:B16"/>
    <mergeCell ref="C16:D16"/>
    <mergeCell ref="A17:C17"/>
    <mergeCell ref="C8:H8"/>
    <mergeCell ref="A18:B18"/>
    <mergeCell ref="A3:B3"/>
    <mergeCell ref="C7:H7"/>
    <mergeCell ref="A7:B9"/>
    <mergeCell ref="C13:H13"/>
    <mergeCell ref="A5:B5"/>
    <mergeCell ref="A14:B14"/>
    <mergeCell ref="C3:H3"/>
    <mergeCell ref="C15:E15"/>
    <mergeCell ref="A4:B4"/>
    <mergeCell ref="G4:H4"/>
    <mergeCell ref="C6:H6"/>
    <mergeCell ref="C14:H14"/>
    <mergeCell ref="C5:H5"/>
    <mergeCell ref="A10:B10"/>
    <mergeCell ref="C4:E4"/>
    <mergeCell ref="B19:H19"/>
  </mergeCells>
  <printOptions horizontalCentered="1"/>
  <pageMargins left="1" right="1" top="1" bottom="1" header="0.5" footer="0.5"/>
  <pageSetup orientation="portrait" paperSize="9"/>
</worksheet>
</file>

<file path=xl/worksheets/sheet42.xml><?xml version="1.0" encoding="utf-8"?>
<worksheet xmlns="http://schemas.openxmlformats.org/spreadsheetml/2006/main">
  <sheetPr codeName="工作表38">
    <outlinePr summaryBelow="1" summaryRight="1"/>
    <pageSetUpPr/>
  </sheetPr>
  <dimension ref="B1:M33"/>
  <sheetViews>
    <sheetView view="pageBreakPreview" zoomScaleNormal="100" zoomScaleSheetLayoutView="100" workbookViewId="0">
      <selection activeCell="C2" sqref="C2:D4"/>
    </sheetView>
  </sheetViews>
  <sheetFormatPr baseColWidth="8" defaultRowHeight="16.5"/>
  <cols>
    <col width="1.125" customWidth="1" style="680" min="1" max="1"/>
    <col width="1.375" customWidth="1" style="680" min="2" max="3"/>
    <col width="9.875" customWidth="1" style="680" min="4" max="5"/>
    <col width="3.5" customWidth="1" style="680" min="6" max="6"/>
    <col width="13.375" customWidth="1" style="680" min="7" max="7"/>
    <col width="14.375" customWidth="1" style="680" min="10" max="10"/>
    <col width="11.25" customWidth="1" style="680" min="11" max="11"/>
    <col width="18.625" customWidth="1" style="680" min="12" max="12"/>
    <col width="2.75" customWidth="1" style="680" min="13" max="13"/>
    <col width="3.625" customWidth="1" style="680" min="14" max="14"/>
    <col width="9" customWidth="1" style="680" min="48" max="48"/>
  </cols>
  <sheetData>
    <row r="1" ht="36" customHeight="1" s="680">
      <c r="B1" s="1195" t="n"/>
      <c r="C1" s="1204" t="inlineStr">
        <is>
          <t xml:space="preserve">      法律扶助基金會檢警律師陪同到場專案-指派律師通知表113年06月版</t>
        </is>
      </c>
      <c r="D1" s="577" t="n"/>
      <c r="E1" s="577" t="n"/>
      <c r="F1" s="577" t="n"/>
      <c r="G1" s="577" t="n"/>
      <c r="H1" s="577" t="n"/>
      <c r="I1" s="577" t="n"/>
      <c r="J1" s="577" t="n"/>
      <c r="K1" s="577" t="n"/>
      <c r="L1" s="574" t="n"/>
      <c r="M1" s="1195" t="n"/>
    </row>
    <row r="2" ht="24" customHeight="1" s="680">
      <c r="B2" s="1195" t="n"/>
      <c r="C2" s="777" t="inlineStr">
        <is>
          <t>通報
機關</t>
        </is>
      </c>
      <c r="D2" s="581" t="n"/>
      <c r="E2" s="1199" t="inlineStr">
        <is>
          <t xml:space="preserve">            ________地方法院                        ________檢察署</t>
        </is>
      </c>
      <c r="F2" s="580" t="n"/>
      <c r="G2" s="580" t="n"/>
      <c r="H2" s="580" t="n"/>
      <c r="I2" s="580" t="n"/>
      <c r="J2" s="580" t="n"/>
      <c r="K2" s="580" t="n"/>
      <c r="L2" s="581" t="n"/>
      <c r="M2" s="1195" t="n"/>
    </row>
    <row r="3" ht="24" customHeight="1" s="680">
      <c r="C3" s="609" t="n"/>
      <c r="D3" s="611" t="n"/>
      <c r="E3" s="1196">
        <f>CONCATENATE("___",輸入!$S$18,"政府___")</f>
        <v/>
      </c>
      <c r="H3" s="356" t="inlineStr">
        <is>
          <t>警察局</t>
        </is>
      </c>
      <c r="I3" s="355">
        <f>CONCATENATE("_",輸入!$S$19,"_")</f>
        <v/>
      </c>
      <c r="J3" s="356" t="inlineStr">
        <is>
          <t>分局____隊</t>
        </is>
      </c>
      <c r="K3" s="539">
        <f>CONCATENATE("_",輸入!$S$20,"_")</f>
        <v/>
      </c>
      <c r="L3" s="354" t="inlineStr">
        <is>
          <t>分駐/派出所</t>
        </is>
      </c>
    </row>
    <row r="4" ht="24" customHeight="1" s="680">
      <c r="C4" s="582" t="n"/>
      <c r="D4" s="584" t="n"/>
      <c r="E4" s="1201" t="inlineStr">
        <is>
          <t>法務部調查局           ________ 調查處/站/組  其他：           ____ (請各單位自行填寫)</t>
        </is>
      </c>
      <c r="F4" s="583" t="n"/>
      <c r="G4" s="583" t="n"/>
      <c r="H4" s="583" t="n"/>
      <c r="I4" s="583" t="n"/>
      <c r="J4" s="583" t="n"/>
      <c r="K4" s="583" t="n"/>
      <c r="L4" s="584" t="n"/>
    </row>
    <row r="5" ht="33" customHeight="1" s="680">
      <c r="B5" s="1195" t="n"/>
      <c r="C5" s="777" t="inlineStr">
        <is>
          <t>犯罪嫌疑人姓名</t>
        </is>
      </c>
      <c r="D5" s="577" t="n"/>
      <c r="E5" s="574" t="n"/>
      <c r="F5" s="806">
        <f>word用!$H$2</f>
        <v/>
      </c>
      <c r="G5" s="584" t="n"/>
      <c r="H5" s="811" t="inlineStr">
        <is>
          <t>身分別</t>
        </is>
      </c>
      <c r="I5" s="611" t="n"/>
      <c r="J5" s="1206" t="inlineStr">
        <is>
          <t>□原住民族：_____________族。</t>
        </is>
      </c>
      <c r="K5" s="583" t="n"/>
      <c r="L5" s="584" t="n"/>
      <c r="M5" s="1195" t="n"/>
    </row>
    <row r="6" ht="39" customHeight="1" s="680">
      <c r="B6" s="1195" t="n"/>
      <c r="C6" s="777" t="inlineStr">
        <is>
          <t>犯罪嫌疑人聯絡電話</t>
        </is>
      </c>
      <c r="D6" s="577" t="n"/>
      <c r="E6" s="574" t="n"/>
      <c r="F6" s="579">
        <f>IF(word用!$K$2="0","",word用!$K$2)</f>
        <v/>
      </c>
      <c r="G6" s="574" t="n"/>
      <c r="H6" s="1202" t="inlineStr">
        <is>
          <t>（僅限符合右列情形使用）</t>
        </is>
      </c>
      <c r="I6" s="611" t="n"/>
      <c r="J6" s="1218" t="inlineStr">
        <is>
          <t>□因神經系統構造及精神、心智功能損傷或不全，無法為完全陳述。</t>
        </is>
      </c>
      <c r="K6" s="577" t="n"/>
      <c r="L6" s="574" t="n"/>
      <c r="M6" s="1195" t="n"/>
    </row>
    <row r="7" ht="49.5" customHeight="1" s="680" thickBot="1">
      <c r="B7" s="1195" t="n"/>
      <c r="C7" s="794" t="inlineStr">
        <is>
          <t>犯罪嫌疑人涉犯罪名</t>
        </is>
      </c>
      <c r="D7" s="580" t="n"/>
      <c r="E7" s="581" t="n"/>
      <c r="F7" s="1148">
        <f>呈報單!$G$15</f>
        <v/>
      </c>
      <c r="G7" s="581" t="n"/>
      <c r="H7" s="1186" t="n"/>
      <c r="I7" s="611" t="n"/>
      <c r="J7" s="1185" t="inlineStr">
        <is>
          <t>□第一次接受訊問，涉犯最輕本刑三年以上有期徒刑或高等法院管轄第一審之罪。</t>
        </is>
      </c>
      <c r="K7" s="580" t="n"/>
      <c r="L7" s="581" t="n"/>
      <c r="M7" s="1195" t="n"/>
    </row>
    <row r="8" ht="20.25" customHeight="1" s="680">
      <c r="B8" s="1182" t="inlineStr">
        <is>
          <t xml:space="preserve">實際到場時間：______年______月_______日_______時________分  </t>
        </is>
      </c>
      <c r="C8" s="1183" t="n"/>
      <c r="D8" s="1183" t="n"/>
      <c r="E8" s="1183" t="n"/>
      <c r="F8" s="1183" t="n"/>
      <c r="G8" s="1183" t="n"/>
      <c r="H8" s="1183" t="n"/>
      <c r="I8" s="1183" t="n"/>
      <c r="J8" s="1183" t="n"/>
      <c r="K8" s="1183" t="n"/>
      <c r="L8" s="1183" t="n"/>
      <c r="M8" s="1184" t="n"/>
    </row>
    <row r="9" ht="49.5" customHeight="1" s="680">
      <c r="B9" s="1209" t="inlineStr">
        <is>
          <t>由犯罪嫌疑人自行填寫</t>
        </is>
      </c>
      <c r="C9" s="581" t="n"/>
      <c r="D9" s="1208" t="inlineStr">
        <is>
          <t>□犯罪嫌疑人</t>
        </is>
      </c>
      <c r="E9" s="580" t="n"/>
      <c r="F9" s="581" t="n"/>
      <c r="G9" s="1203" t="inlineStr">
        <is>
          <t>犯罪嫌疑人因涉有上列罪嫌，現於上開通報機關等候詢問，請自本通知單傳真到達法扶起，協助指派律師到達通報機關所在地點。經法扶回傳本通知單起4小時後，若無律師到場，將逕行依法詢問。</t>
        </is>
      </c>
      <c r="H9" s="580" t="n"/>
      <c r="I9" s="580" t="n"/>
      <c r="J9" s="580" t="n"/>
      <c r="K9" s="580" t="n"/>
      <c r="L9" s="580" t="n"/>
      <c r="M9" s="735" t="n"/>
    </row>
    <row r="10" ht="20.25" customHeight="1" s="680">
      <c r="B10" s="731" t="n"/>
      <c r="C10" s="611" t="n"/>
      <c r="D10" s="1205" t="inlineStr">
        <is>
          <t>需要陪偵律師</t>
        </is>
      </c>
      <c r="E10" s="583" t="n"/>
      <c r="F10" s="584" t="n"/>
      <c r="G10" s="790" t="inlineStr">
        <is>
          <t>通報機關地址：____________________________________________________</t>
        </is>
      </c>
      <c r="H10" s="583" t="n"/>
      <c r="I10" s="583" t="n"/>
      <c r="J10" s="583" t="n"/>
      <c r="K10" s="583" t="n"/>
      <c r="L10" s="583" t="n"/>
      <c r="M10" s="792" t="n"/>
    </row>
    <row r="11" ht="19.5" customHeight="1" s="680">
      <c r="B11" s="731" t="n"/>
      <c r="C11" s="611" t="n"/>
      <c r="D11" s="808" t="inlineStr">
        <is>
          <t>□犯罪嫌疑人表示</t>
        </is>
      </c>
      <c r="E11" s="580" t="n"/>
      <c r="F11" s="581" t="n"/>
      <c r="G11" s="1210" t="inlineStr">
        <is>
          <t>犯罪嫌疑人所述原因： （請勿自行另設選項）</t>
        </is>
      </c>
      <c r="J11" s="611" t="n"/>
      <c r="K11" s="1190" t="inlineStr">
        <is>
          <t>本人簽名</t>
        </is>
      </c>
      <c r="L11" s="1216" t="n"/>
      <c r="M11" s="1217" t="n"/>
    </row>
    <row r="12" ht="19.5" customHeight="1" s="680">
      <c r="B12" s="731" t="n"/>
      <c r="C12" s="611" t="n"/>
      <c r="D12" s="609" t="n"/>
      <c r="F12" s="611" t="n"/>
      <c r="G12" s="1207" t="inlineStr">
        <is>
          <t>□不需要律師，可自行處理</t>
        </is>
      </c>
      <c r="J12" s="611" t="n"/>
      <c r="L12" s="609" t="n"/>
      <c r="M12" s="727" t="n"/>
    </row>
    <row r="13" ht="19.5" customHeight="1" s="680">
      <c r="B13" s="731" t="n"/>
      <c r="C13" s="611" t="n"/>
      <c r="D13" s="1197" t="inlineStr">
        <is>
          <t>不需要陪偵律師</t>
        </is>
      </c>
      <c r="F13" s="611" t="n"/>
      <c r="G13" s="1207" t="inlineStr">
        <is>
          <t>□不願等候律師到場</t>
        </is>
      </c>
      <c r="J13" s="611" t="n"/>
      <c r="L13" s="609" t="n"/>
      <c r="M13" s="727" t="n"/>
    </row>
    <row r="14" ht="19.5" customHeight="1" s="680" thickBot="1">
      <c r="B14" s="732" t="n"/>
      <c r="C14" s="584" t="n"/>
      <c r="D14" s="1198" t="n"/>
      <c r="E14" s="769" t="n"/>
      <c r="F14" s="782" t="n"/>
      <c r="G14" s="1214" t="inlineStr">
        <is>
          <t>□已自行委任律師</t>
        </is>
      </c>
      <c r="H14" s="670" t="n"/>
      <c r="I14" s="670" t="n"/>
      <c r="J14" s="1215" t="n"/>
      <c r="K14" s="583" t="n"/>
      <c r="L14" s="1211" t="inlineStr">
        <is>
          <t>註：本會指派律師均不收費</t>
        </is>
      </c>
      <c r="M14" s="770" t="n"/>
    </row>
    <row r="15" ht="18.75" customHeight="1" s="680">
      <c r="B15" s="1195" t="n"/>
      <c r="C15" s="807" t="inlineStr">
        <is>
          <t>通報機關聯絡人</t>
        </is>
      </c>
      <c r="E15" s="611" t="n"/>
      <c r="F15" s="806">
        <f>CONCATENATE(輸入!$T$24,"  ",輸入!$U$24,)</f>
        <v/>
      </c>
      <c r="H15" s="611" t="n"/>
      <c r="I15" s="807" t="inlineStr">
        <is>
          <t>電話</t>
        </is>
      </c>
      <c r="J15" s="584" t="n"/>
      <c r="K15" s="1188">
        <f>輸入!$T$21</f>
        <v/>
      </c>
      <c r="L15" s="584" t="n"/>
      <c r="M15" s="1195" t="n"/>
    </row>
    <row r="16" ht="18.75" customHeight="1" s="680">
      <c r="B16" s="1195" t="n"/>
      <c r="C16" s="582" t="n"/>
      <c r="D16" s="583" t="n"/>
      <c r="E16" s="584" t="n"/>
      <c r="F16" s="582" t="n"/>
      <c r="G16" s="583" t="n"/>
      <c r="H16" s="584" t="n"/>
      <c r="I16" s="777" t="inlineStr">
        <is>
          <t>傳真</t>
        </is>
      </c>
      <c r="J16" s="574" t="n"/>
      <c r="K16" s="1193">
        <f>輸入!$T$22</f>
        <v/>
      </c>
      <c r="L16" s="574" t="n"/>
      <c r="M16" s="1195" t="n"/>
    </row>
    <row r="17" ht="18.75" customHeight="1" s="680">
      <c r="B17" s="1195" t="n"/>
      <c r="C17" s="777" t="inlineStr">
        <is>
          <t>傳真通知法扶時間</t>
        </is>
      </c>
      <c r="D17" s="577" t="n"/>
      <c r="E17" s="574" t="n"/>
      <c r="F17" s="765">
        <f>IF(OR(輸入!$C$2="通緝",輸入!$C$2="公共危險",輸入!$C$2=調閱用!$K$1),CONCATENATE(LEFT(下拉用!$J$10,10),"     時     分"),CONCATENATE(下拉用!$J$10))</f>
        <v/>
      </c>
      <c r="G17" s="577" t="n"/>
      <c r="H17" s="577" t="n"/>
      <c r="I17" s="577" t="n"/>
      <c r="J17" s="577" t="n"/>
      <c r="K17" s="577" t="n"/>
      <c r="L17" s="574" t="n"/>
      <c r="M17" s="1195" t="n"/>
    </row>
    <row r="18" ht="1.5" customHeight="1" s="680">
      <c r="B18" s="1195" t="n"/>
      <c r="C18" s="1195" t="n"/>
      <c r="D18" s="1195" t="n"/>
      <c r="E18" s="1195" t="n"/>
      <c r="F18" s="1195" t="n"/>
      <c r="G18" s="1195" t="n"/>
      <c r="H18" s="1195" t="n"/>
      <c r="I18" s="1195" t="n"/>
      <c r="J18" s="1195" t="n"/>
      <c r="K18" s="1195" t="n"/>
      <c r="L18" s="1195" t="n"/>
      <c r="M18" s="1195" t="n"/>
    </row>
    <row r="19" ht="16.5" customHeight="1" s="680">
      <c r="B19" s="52" t="n"/>
      <c r="D19" s="135" t="n"/>
      <c r="E19" s="709" t="inlineStr">
        <is>
          <t>請適時保護自己： 1.你可以詢問自己罪名是什麼；2.可以請求律師到場；3. 律師到場前，
可以不回答問題；4.律師到場後，有充分時間與律師討論案情。</t>
        </is>
      </c>
    </row>
    <row r="20">
      <c r="B20" s="52" t="n"/>
      <c r="D20" s="135" t="n"/>
    </row>
    <row r="21" ht="19.5" customHeight="1" s="680">
      <c r="B21" s="1213" t="inlineStr">
        <is>
          <t xml:space="preserve"> 以下欄位由法扶客服中心填寫</t>
        </is>
      </c>
    </row>
    <row r="22" ht="22.5" customHeight="1" s="680">
      <c r="C22" s="777" t="inlineStr">
        <is>
          <t>是否指派律師</t>
        </is>
      </c>
      <c r="D22" s="580" t="n"/>
      <c r="E22" s="581" t="n"/>
      <c r="F22" s="1194" t="inlineStr">
        <is>
          <t>□是</t>
        </is>
      </c>
      <c r="G22" s="580" t="n"/>
      <c r="H22" s="580" t="n"/>
      <c r="I22" s="580" t="n"/>
      <c r="J22" s="580" t="n"/>
      <c r="K22" s="580" t="n"/>
      <c r="L22" s="581" t="n"/>
    </row>
    <row r="23" ht="22.5" customHeight="1" s="680">
      <c r="C23" s="582" t="n"/>
      <c r="D23" s="583" t="n"/>
      <c r="E23" s="584" t="n"/>
      <c r="F23" s="1212" t="inlineStr">
        <is>
          <t>□否，原因：□不符合身分別   □無律師可前往   □其他：</t>
        </is>
      </c>
      <c r="G23" s="583" t="n"/>
      <c r="H23" s="583" t="n"/>
      <c r="I23" s="583" t="n"/>
      <c r="J23" s="583" t="n"/>
      <c r="K23" s="583" t="n"/>
      <c r="L23" s="584" t="n"/>
    </row>
    <row r="24" ht="38.25" customHeight="1" s="680">
      <c r="C24" s="777" t="inlineStr">
        <is>
          <t>律師預計到場時間</t>
        </is>
      </c>
      <c r="D24" s="577" t="n"/>
      <c r="E24" s="574" t="n"/>
      <c r="F24" s="1200" t="inlineStr">
        <is>
          <t xml:space="preserve">　　　　年　　　　月　　　　日　　　　時　　　　分（24小時制）</t>
        </is>
      </c>
      <c r="L24" s="727" t="n"/>
    </row>
    <row r="25" ht="37.5" customHeight="1" s="680">
      <c r="C25" s="777" t="inlineStr">
        <is>
          <t>陪訊律師姓名</t>
        </is>
      </c>
      <c r="D25" s="577" t="n"/>
      <c r="E25" s="574" t="n"/>
      <c r="F25" s="573" t="n"/>
      <c r="G25" s="577" t="n"/>
      <c r="H25" s="574" t="n"/>
      <c r="I25" s="777" t="inlineStr">
        <is>
          <t>陪訊律師電話</t>
        </is>
      </c>
      <c r="J25" s="574" t="n"/>
      <c r="K25" s="573" t="n"/>
      <c r="L25" s="574" t="n"/>
    </row>
    <row r="26" ht="21" customHeight="1" s="680">
      <c r="C26" s="794" t="inlineStr">
        <is>
          <t>客服中心</t>
        </is>
      </c>
      <c r="D26" s="580" t="n"/>
      <c r="E26" s="581" t="n"/>
      <c r="F26" s="573" t="n"/>
      <c r="G26" s="580" t="n"/>
      <c r="H26" s="581" t="n"/>
      <c r="I26" s="777" t="inlineStr">
        <is>
          <t>電話</t>
        </is>
      </c>
      <c r="J26" s="574" t="n"/>
      <c r="K26" s="1191" t="inlineStr">
        <is>
          <t>02-2559-2119</t>
        </is>
      </c>
      <c r="L26" s="574" t="n"/>
    </row>
    <row r="27" ht="21" customHeight="1" s="680">
      <c r="C27" s="807" t="inlineStr">
        <is>
          <t>承辦人</t>
        </is>
      </c>
      <c r="D27" s="583" t="n"/>
      <c r="E27" s="584" t="n"/>
      <c r="F27" s="582" t="n"/>
      <c r="G27" s="583" t="n"/>
      <c r="H27" s="584" t="n"/>
      <c r="I27" s="777" t="inlineStr">
        <is>
          <t>傳真</t>
        </is>
      </c>
      <c r="J27" s="574" t="n"/>
      <c r="K27" s="1191" t="inlineStr">
        <is>
          <t>02-2322-5587</t>
        </is>
      </c>
      <c r="L27" s="574" t="n"/>
    </row>
    <row r="28" ht="21" customHeight="1" s="680">
      <c r="C28" s="794" t="inlineStr">
        <is>
          <t>回傳通報機關時間</t>
        </is>
      </c>
      <c r="D28" s="580" t="n"/>
      <c r="E28" s="581" t="n"/>
      <c r="F28" s="1181" t="inlineStr">
        <is>
          <t xml:space="preserve">　　　　年　　　　月　　　　日　　　　時　　　　分（24小時制）</t>
        </is>
      </c>
      <c r="L28" s="727" t="n"/>
    </row>
    <row r="29" ht="22.5" customHeight="1" s="680">
      <c r="C29" s="786" t="inlineStr">
        <is>
          <t>注  意  事  項</t>
        </is>
      </c>
      <c r="D29" s="577" t="n"/>
      <c r="E29" s="577" t="n"/>
      <c r="F29" s="577" t="n"/>
      <c r="G29" s="577" t="n"/>
      <c r="H29" s="577" t="n"/>
      <c r="I29" s="577" t="n"/>
      <c r="J29" s="577" t="n"/>
      <c r="K29" s="577" t="n"/>
      <c r="L29" s="574" t="n"/>
    </row>
    <row r="30" ht="42" customHeight="1" s="680">
      <c r="C30" s="1187" t="inlineStr">
        <is>
          <t>受理資訊</t>
        </is>
      </c>
      <c r="D30" s="574" t="n"/>
      <c r="E30" s="1189" t="inlineStr">
        <is>
          <t>105年5月1日起，統一由法扶客服中心受理並派遣律師，請電洽服務專線02-2559-2119。請勿將本單張傳真至法扶總會或各分會，以免無人接收傳真而遲誤作業時間。</t>
        </is>
      </c>
      <c r="F30" s="577" t="n"/>
      <c r="G30" s="577" t="n"/>
      <c r="H30" s="577" t="n"/>
      <c r="I30" s="577" t="n"/>
      <c r="J30" s="577" t="n"/>
      <c r="K30" s="577" t="n"/>
      <c r="L30" s="574" t="n"/>
    </row>
    <row r="31" ht="20.25" customHeight="1" s="680">
      <c r="C31" s="1187" t="inlineStr">
        <is>
          <t>傳真事項</t>
        </is>
      </c>
      <c r="D31" s="574" t="n"/>
      <c r="E31" s="1192" t="inlineStr">
        <is>
          <t>敬請於傳真後，應以電話確認客服中心是否收到傳真、傳真內容是否清楚可辨認，謝謝。</t>
        </is>
      </c>
      <c r="F31" s="577" t="n"/>
      <c r="G31" s="577" t="n"/>
      <c r="H31" s="577" t="n"/>
      <c r="I31" s="577" t="n"/>
      <c r="J31" s="577" t="n"/>
      <c r="K31" s="577" t="n"/>
      <c r="L31" s="574" t="n"/>
    </row>
    <row r="32" ht="20.25" customHeight="1" s="680">
      <c r="C32" s="1187" t="inlineStr">
        <is>
          <t>表單下載</t>
        </is>
      </c>
      <c r="D32" s="574" t="n"/>
      <c r="E32" s="1192" t="inlineStr">
        <is>
          <t>本會官網（http://www.laf.org.tw）可下載，路徑：法扶服務&gt;&gt;下載文件區&gt;&gt;檢警專案相關表單。</t>
        </is>
      </c>
      <c r="F32" s="577" t="n"/>
      <c r="G32" s="577" t="n"/>
      <c r="H32" s="577" t="n"/>
      <c r="I32" s="577" t="n"/>
      <c r="J32" s="577" t="n"/>
      <c r="K32" s="577" t="n"/>
      <c r="L32" s="574" t="n"/>
    </row>
    <row r="33" ht="20.25" customHeight="1" s="680">
      <c r="C33" s="1187" t="inlineStr">
        <is>
          <t>備註</t>
        </is>
      </c>
      <c r="D33" s="574" t="n"/>
      <c r="E33" s="1189" t="n"/>
      <c r="F33" s="577" t="n"/>
      <c r="G33" s="577" t="n"/>
      <c r="H33" s="577" t="n"/>
      <c r="I33" s="577" t="n"/>
      <c r="J33" s="577" t="n"/>
      <c r="K33" s="577" t="n"/>
      <c r="L33" s="574" t="n"/>
    </row>
  </sheetData>
  <mergeCells count="71">
    <mergeCell ref="K16:L16"/>
    <mergeCell ref="J6:L6"/>
    <mergeCell ref="F22:L22"/>
    <mergeCell ref="K25:L25"/>
    <mergeCell ref="F28:L28"/>
    <mergeCell ref="C30:D30"/>
    <mergeCell ref="L11:M13"/>
    <mergeCell ref="I15:J15"/>
    <mergeCell ref="C33:D33"/>
    <mergeCell ref="K15:L15"/>
    <mergeCell ref="E33:L33"/>
    <mergeCell ref="B8:M8"/>
    <mergeCell ref="I27:J27"/>
    <mergeCell ref="K11:K14"/>
    <mergeCell ref="F6:G6"/>
    <mergeCell ref="C25:E25"/>
    <mergeCell ref="I26:J26"/>
    <mergeCell ref="F7:G7"/>
    <mergeCell ref="C15:E16"/>
    <mergeCell ref="K26:L26"/>
    <mergeCell ref="J7:L7"/>
    <mergeCell ref="E4:L4"/>
    <mergeCell ref="H6:I6"/>
    <mergeCell ref="C27:E27"/>
    <mergeCell ref="G9:M9"/>
    <mergeCell ref="I16:J16"/>
    <mergeCell ref="F15:H16"/>
    <mergeCell ref="I25:J25"/>
    <mergeCell ref="F5:G5"/>
    <mergeCell ref="G12:J12"/>
    <mergeCell ref="D9:F9"/>
    <mergeCell ref="C17:E17"/>
    <mergeCell ref="B9:C14"/>
    <mergeCell ref="G11:J11"/>
    <mergeCell ref="L14:M14"/>
    <mergeCell ref="C7:E7"/>
    <mergeCell ref="C31:D31"/>
    <mergeCell ref="E31:L31"/>
    <mergeCell ref="D11:F12"/>
    <mergeCell ref="C28:E28"/>
    <mergeCell ref="E30:L30"/>
    <mergeCell ref="H7:I7"/>
    <mergeCell ref="C29:L29"/>
    <mergeCell ref="E2:L2"/>
    <mergeCell ref="K27:L27"/>
    <mergeCell ref="F24:L24"/>
    <mergeCell ref="F26:H27"/>
    <mergeCell ref="E3:G3"/>
    <mergeCell ref="B2:B4"/>
    <mergeCell ref="D13:F14"/>
    <mergeCell ref="M2:M4"/>
    <mergeCell ref="C22:E23"/>
    <mergeCell ref="G10:M10"/>
    <mergeCell ref="C1:L1"/>
    <mergeCell ref="C6:E6"/>
    <mergeCell ref="D10:F10"/>
    <mergeCell ref="C24:E24"/>
    <mergeCell ref="J5:L5"/>
    <mergeCell ref="G13:J13"/>
    <mergeCell ref="F25:H25"/>
    <mergeCell ref="C2:D4"/>
    <mergeCell ref="C32:D32"/>
    <mergeCell ref="C5:E5"/>
    <mergeCell ref="F17:L17"/>
    <mergeCell ref="E32:L32"/>
    <mergeCell ref="E19:L20"/>
    <mergeCell ref="H5:I5"/>
    <mergeCell ref="C26:E26"/>
    <mergeCell ref="B21:M21"/>
    <mergeCell ref="F23:L23"/>
    <mergeCell ref="G14:J14"/>
  </mergeCells>
  <pageMargins left="0.25" right="0.25" top="0.75" bottom="0.75" header="0.3" footer="0.3"/>
  <pageSetup orientation="portrait" paperSize="9" scale="93"/>
</worksheet>
</file>

<file path=xl/worksheets/sheet43.xml><?xml version="1.0" encoding="utf-8"?>
<worksheet xmlns="http://schemas.openxmlformats.org/spreadsheetml/2006/main">
  <sheetPr codeName="工作表30">
    <outlinePr summaryBelow="1" summaryRight="1"/>
    <pageSetUpPr/>
  </sheetPr>
  <dimension ref="A1:N52"/>
  <sheetViews>
    <sheetView view="pageLayout" topLeftCell="A8" zoomScaleNormal="100" workbookViewId="0">
      <selection activeCell="Q21" sqref="Q21"/>
    </sheetView>
  </sheetViews>
  <sheetFormatPr baseColWidth="8" defaultColWidth="9" defaultRowHeight="16.5"/>
  <cols>
    <col width="11" customWidth="1" style="592" min="1" max="1"/>
    <col width="1.5" customWidth="1" style="592" min="2" max="2"/>
    <col width="18.75" customWidth="1" style="592" min="3" max="3"/>
    <col width="7.75" customWidth="1" style="592" min="4" max="4"/>
    <col width="6.5" customWidth="1" style="592" min="5" max="5"/>
    <col width="6" customWidth="1" style="592" min="6" max="6"/>
    <col width="9.5" customWidth="1" style="592" min="7" max="7"/>
    <col width="2.375" customWidth="1" style="592" min="8" max="9"/>
    <col width="2.75" customWidth="1" style="592" min="10" max="10"/>
    <col width="4.25" customWidth="1" style="592" min="11" max="11"/>
    <col width="4.625" customWidth="1" style="592" min="12" max="12"/>
    <col width="6.5" customWidth="1" style="592" min="13" max="13"/>
    <col width="11.375" customWidth="1" style="592" min="14" max="14"/>
    <col width="9" customWidth="1" style="592" min="15" max="15"/>
    <col width="9" customWidth="1" style="592" min="16" max="16384"/>
  </cols>
  <sheetData>
    <row r="1" ht="21" customHeight="1" s="680">
      <c r="B1" s="172" t="n"/>
      <c r="C1" s="172" t="inlineStr">
        <is>
          <t>查處外來人口在臺逾期停留、居留或其他非法案件通知書</t>
        </is>
      </c>
      <c r="D1" s="172" t="n"/>
    </row>
    <row r="2" ht="28.35" customHeight="1" s="680">
      <c r="I2" s="174" t="n"/>
      <c r="J2" s="1230">
        <f>CONCATENATE("中華民國",LEFT(下拉用!J10,10))</f>
        <v/>
      </c>
      <c r="K2" s="583" t="n"/>
      <c r="L2" s="583" t="n"/>
      <c r="M2" s="583" t="n"/>
      <c r="N2" s="583" t="n"/>
    </row>
    <row r="3" ht="22.5" customHeight="1" s="680">
      <c r="A3" s="173" t="inlineStr">
        <is>
          <t>查處方式</t>
        </is>
      </c>
      <c r="B3" s="1233">
        <f>IF(ISBLANK(B19),"□自首1  □主動投案2  □檢舉或自行查獲","□自首1  □主動投案2  ■檢舉或自行查獲")</f>
        <v/>
      </c>
      <c r="C3" s="577" t="n"/>
      <c r="D3" s="577" t="n"/>
      <c r="E3" s="577" t="n"/>
      <c r="F3" s="577" t="n"/>
      <c r="G3" s="577" t="n"/>
      <c r="H3" s="577" t="n"/>
      <c r="I3" s="577" t="n"/>
      <c r="J3" s="577" t="n"/>
      <c r="K3" s="577" t="n"/>
      <c r="L3" s="577" t="n"/>
      <c r="M3" s="577" t="n"/>
      <c r="N3" s="574" t="n"/>
    </row>
    <row r="4" ht="18.6" customHeight="1" s="680">
      <c r="A4" s="575" t="inlineStr">
        <is>
          <t>案    類</t>
        </is>
      </c>
      <c r="B4" s="1231">
        <f>IF(輸入!$C$2="入出國及移民法","■入出國及移民法","□入出國及移民法")</f>
        <v/>
      </c>
      <c r="C4" s="580" t="n"/>
      <c r="D4" s="1220" t="inlineStr">
        <is>
          <t>□臺灣地區與大陸地區人民關係條例</t>
        </is>
      </c>
      <c r="E4" s="580" t="n"/>
      <c r="F4" s="580" t="n"/>
      <c r="G4" s="580" t="n"/>
      <c r="H4" s="580" t="n"/>
      <c r="I4" s="580" t="n"/>
      <c r="J4" s="580" t="n"/>
      <c r="K4" s="1219">
        <f>IF(AND(輸入!$C$2&lt;&gt;"入出國及移民法",輸入!$C$2&lt;&gt;"違反社會秩序維護法"),"■刑法","□刑法")</f>
        <v/>
      </c>
      <c r="L4" s="580" t="n"/>
      <c r="M4" s="580" t="n"/>
      <c r="N4" s="581" t="n"/>
    </row>
    <row r="5" ht="18.6" customHeight="1" s="680">
      <c r="A5" s="588" t="n"/>
      <c r="B5" s="1234">
        <f>IF(輸入!$C$2="就業服務法","■就業服務法","□就業服務法)")</f>
        <v/>
      </c>
      <c r="C5" s="583" t="n"/>
      <c r="D5" s="1222" t="inlineStr">
        <is>
          <t>□香港澳門關係條例</t>
        </is>
      </c>
      <c r="E5" s="583" t="n"/>
      <c r="F5" s="583" t="n"/>
      <c r="G5" s="583" t="n"/>
      <c r="H5" s="583" t="n"/>
      <c r="I5" s="583" t="n"/>
      <c r="J5" s="583" t="n"/>
      <c r="K5" s="1222">
        <f>IF(輸入!$C$2="違反社會秩序維護法","■其他(社會秩序維護法)","□其他(社會秩序維護法)")</f>
        <v/>
      </c>
      <c r="L5" s="49" t="n"/>
      <c r="M5" s="49" t="n"/>
      <c r="N5" s="93" t="n"/>
    </row>
    <row r="6" ht="22.5" customHeight="1" s="680">
      <c r="A6" s="575" t="inlineStr">
        <is>
          <t>查獲時間</t>
        </is>
      </c>
      <c r="B6" s="1221">
        <f>下拉用!$J$10</f>
        <v/>
      </c>
      <c r="C6" s="577" t="n"/>
      <c r="D6" s="577" t="n"/>
      <c r="E6" s="577" t="n"/>
      <c r="F6" s="577" t="n"/>
      <c r="G6" s="577" t="n"/>
      <c r="H6" s="577" t="n"/>
      <c r="I6" s="577" t="n"/>
      <c r="J6" s="577" t="n"/>
      <c r="K6" s="577" t="n"/>
      <c r="L6" s="577" t="n"/>
      <c r="M6" s="577" t="n"/>
      <c r="N6" s="574" t="n"/>
    </row>
    <row r="7" ht="22.5" customHeight="1" s="680">
      <c r="A7" s="575" t="inlineStr">
        <is>
          <t>查獲地點</t>
        </is>
      </c>
      <c r="B7" s="1221">
        <f>IF(ISBLANK(輸入!$C$13),輸入!$S$23,輸入!$C$13)</f>
        <v/>
      </c>
      <c r="C7" s="577" t="n"/>
      <c r="D7" s="577" t="n"/>
      <c r="E7" s="577" t="n"/>
      <c r="F7" s="577" t="n"/>
      <c r="G7" s="577" t="n"/>
      <c r="H7" s="577" t="n"/>
      <c r="I7" s="577" t="n"/>
      <c r="J7" s="577" t="n"/>
      <c r="K7" s="577" t="n"/>
      <c r="L7" s="577" t="n"/>
      <c r="M7" s="577" t="n"/>
      <c r="N7" s="574" t="n"/>
    </row>
    <row r="8" ht="22.5" customHeight="1" s="680">
      <c r="A8" s="575" t="inlineStr">
        <is>
          <t>查獲單位</t>
        </is>
      </c>
      <c r="B8" s="1221">
        <f>CONCATENATE(輸入!$S$18,輸入!$T$18,輸入!$S$19,輸入!$T$19,輸入!$S$20,輸入!$T$20)</f>
        <v/>
      </c>
      <c r="C8" s="577" t="n"/>
      <c r="D8" s="577" t="n"/>
      <c r="E8" s="577" t="n"/>
      <c r="F8" s="577" t="n"/>
      <c r="G8" s="577" t="n"/>
      <c r="H8" s="577" t="n"/>
      <c r="I8" s="577" t="n"/>
      <c r="J8" s="577" t="n"/>
      <c r="K8" s="577" t="n"/>
      <c r="L8" s="577" t="n"/>
      <c r="M8" s="577" t="n"/>
      <c r="N8" s="574" t="n"/>
    </row>
    <row r="9" ht="18.6" customHeight="1" s="680">
      <c r="A9" s="575" t="inlineStr">
        <is>
          <t>非法雇主</t>
        </is>
      </c>
      <c r="B9" s="798" t="inlineStr">
        <is>
          <t>□有（共  名，應檢附勞工檢查紀錄表或臨檢表）</t>
        </is>
      </c>
      <c r="C9" s="580" t="n"/>
      <c r="D9" s="580" t="n"/>
      <c r="E9" s="580" t="n"/>
      <c r="F9" s="580" t="n"/>
      <c r="G9" s="580" t="n"/>
      <c r="H9" s="580" t="n"/>
      <c r="I9" s="580" t="n"/>
      <c r="J9" s="580" t="n"/>
      <c r="K9" s="580" t="n"/>
      <c r="L9" s="580" t="n"/>
      <c r="M9" s="580" t="n"/>
      <c r="N9" s="581" t="n"/>
    </row>
    <row r="10" ht="18.6" customHeight="1" s="680">
      <c r="A10" s="588" t="n"/>
      <c r="B10" s="1232" t="inlineStr">
        <is>
          <t>■無（應於本表案情紀錄欄詳述發現經過）</t>
        </is>
      </c>
      <c r="C10" s="583" t="n"/>
      <c r="D10" s="583" t="n"/>
      <c r="E10" s="583" t="n"/>
      <c r="F10" s="583" t="n"/>
      <c r="G10" s="583" t="n"/>
      <c r="H10" s="583" t="n"/>
      <c r="I10" s="583" t="n"/>
      <c r="J10" s="583" t="n"/>
      <c r="K10" s="583" t="n"/>
      <c r="L10" s="583" t="n"/>
      <c r="M10" s="583" t="n"/>
      <c r="N10" s="584" t="n"/>
    </row>
    <row r="11" ht="18.6" customHeight="1" s="680">
      <c r="A11" s="575" t="inlineStr">
        <is>
          <t>檢附文件</t>
        </is>
      </c>
      <c r="B11" s="1223" t="inlineStr">
        <is>
          <t xml:space="preserve">□ 護照正（影）本                    □ 外僑居留證        </t>
        </is>
      </c>
      <c r="C11" s="580" t="n"/>
      <c r="D11" s="580" t="n"/>
      <c r="E11" s="580" t="n"/>
      <c r="F11" s="580" t="n"/>
      <c r="G11" s="580" t="n"/>
      <c r="H11" s="580" t="n"/>
      <c r="I11" s="580" t="n"/>
      <c r="J11" s="580" t="n"/>
      <c r="K11" s="580" t="n"/>
      <c r="L11" s="580" t="n"/>
      <c r="M11" s="580" t="n"/>
      <c r="N11" s="581" t="n"/>
    </row>
    <row r="12" ht="18.6" customHeight="1" s="680">
      <c r="A12" s="945" t="n"/>
      <c r="B12" s="1227" t="inlineStr">
        <is>
          <t xml:space="preserve">□ 臨檢表                            □ 檢查紀錄表       </t>
        </is>
      </c>
      <c r="N12" s="611" t="n"/>
    </row>
    <row r="13" ht="18.6" customHeight="1" s="680">
      <c r="A13" s="945" t="n"/>
      <c r="B13" s="1227" t="inlineStr">
        <is>
          <t>■ 調查筆錄                          □ 外僑居留電腦資料</t>
        </is>
      </c>
      <c r="N13" s="611" t="n"/>
    </row>
    <row r="14" ht="18.6" customHeight="1" s="680">
      <c r="A14" s="588" t="n"/>
      <c r="B14" s="1229" t="inlineStr">
        <is>
          <t>■ 入出境電腦資料                    ■ 其他（相關附表）</t>
        </is>
      </c>
      <c r="C14" s="583" t="n"/>
      <c r="D14" s="583" t="n"/>
      <c r="E14" s="583" t="n"/>
      <c r="F14" s="583" t="n"/>
      <c r="G14" s="583" t="n"/>
      <c r="H14" s="583" t="n"/>
      <c r="I14" s="583" t="n"/>
      <c r="J14" s="583" t="n"/>
      <c r="K14" s="583" t="n"/>
      <c r="L14" s="583" t="n"/>
      <c r="M14" s="583" t="n"/>
      <c r="N14" s="584" t="n"/>
    </row>
    <row r="15" ht="22.5" customHeight="1" s="680">
      <c r="A15" s="575" t="inlineStr">
        <is>
          <t>財物保管</t>
        </is>
      </c>
      <c r="B15" s="1223" t="inlineStr">
        <is>
          <t>□ 新臺幣      元（或    幣        元）         □ 機票</t>
        </is>
      </c>
      <c r="C15" s="580" t="n"/>
      <c r="D15" s="580" t="n"/>
      <c r="E15" s="580" t="n"/>
      <c r="F15" s="580" t="n"/>
      <c r="G15" s="580" t="n"/>
      <c r="H15" s="580" t="n"/>
      <c r="I15" s="580" t="n"/>
      <c r="J15" s="580" t="n"/>
      <c r="K15" s="580" t="n"/>
      <c r="L15" s="580" t="n"/>
      <c r="M15" s="580" t="n"/>
      <c r="N15" s="581" t="n"/>
    </row>
    <row r="16" ht="22.5" customHeight="1" s="680">
      <c r="A16" s="588" t="n"/>
      <c r="B16" s="1229" t="inlineStr">
        <is>
          <t>□ 貴重物品（金飾      、手機      支）         □ 其他(              )</t>
        </is>
      </c>
      <c r="C16" s="583" t="n"/>
      <c r="D16" s="583" t="n"/>
      <c r="E16" s="583" t="n"/>
      <c r="F16" s="583" t="n"/>
      <c r="G16" s="583" t="n"/>
      <c r="H16" s="583" t="n"/>
      <c r="I16" s="583" t="n"/>
      <c r="J16" s="583" t="n"/>
      <c r="K16" s="583" t="n"/>
      <c r="L16" s="583" t="n"/>
      <c r="M16" s="583" t="n"/>
      <c r="N16" s="584" t="n"/>
    </row>
    <row r="17" ht="17.45" customHeight="1" s="680">
      <c r="A17" s="1225" t="inlineStr">
        <is>
          <t>被查獲人</t>
        </is>
      </c>
      <c r="B17" s="575" t="inlineStr">
        <is>
          <t>姓      名</t>
        </is>
      </c>
      <c r="C17" s="580" t="n"/>
      <c r="D17" s="581" t="n"/>
      <c r="E17" s="579" t="inlineStr">
        <is>
          <t>國
籍</t>
        </is>
      </c>
      <c r="F17" s="1148" t="inlineStr">
        <is>
          <t>護照號碼</t>
        </is>
      </c>
      <c r="G17" s="581" t="n"/>
      <c r="H17" s="579" t="inlineStr">
        <is>
          <t>性
別</t>
        </is>
      </c>
      <c r="I17" s="581" t="n"/>
      <c r="J17" s="579" t="inlineStr">
        <is>
          <t>出  生
年月日</t>
        </is>
      </c>
      <c r="K17" s="580" t="n"/>
      <c r="L17" s="581" t="n"/>
      <c r="M17" s="575" t="inlineStr">
        <is>
          <t>職業</t>
        </is>
      </c>
      <c r="N17" s="579" t="inlineStr">
        <is>
          <t>被查獲人
簽名捺印</t>
        </is>
      </c>
    </row>
    <row r="18" ht="17.45" customHeight="1" s="680">
      <c r="A18" s="945" t="n"/>
      <c r="B18" s="582" t="n"/>
      <c r="C18" s="583" t="n"/>
      <c r="D18" s="584" t="n"/>
      <c r="E18" s="588" t="n"/>
      <c r="F18" s="1235" t="inlineStr">
        <is>
          <t>（國民身份證統一編號）</t>
        </is>
      </c>
      <c r="G18" s="584" t="n"/>
      <c r="H18" s="582" t="n"/>
      <c r="I18" s="584" t="n"/>
      <c r="J18" s="582" t="n"/>
      <c r="K18" s="583" t="n"/>
      <c r="L18" s="584" t="n"/>
      <c r="M18" s="588" t="n"/>
      <c r="N18" s="588" t="n"/>
    </row>
    <row r="19" ht="28.35" customHeight="1" s="680">
      <c r="A19" s="945" t="n"/>
      <c r="B19" s="575">
        <f>word用!$H$2</f>
        <v/>
      </c>
      <c r="C19" s="577" t="n"/>
      <c r="D19" s="574" t="n"/>
      <c r="E19" s="579">
        <f>VLOOKUP($B$19,個資,13,FALSE)</f>
        <v/>
      </c>
      <c r="F19" s="579">
        <f>UPPER(VLOOKUP($B$19,個資,2,FALSE))</f>
        <v/>
      </c>
      <c r="G19" s="574" t="n"/>
      <c r="H19" s="579">
        <f>VLOOKUP($B$19,個資,11,FALSE)</f>
        <v/>
      </c>
      <c r="I19" s="574" t="n"/>
      <c r="J19" s="579">
        <f>VLOOKUP($B$19,個資,16,FALSE)</f>
        <v/>
      </c>
      <c r="K19" s="577" t="n"/>
      <c r="L19" s="574" t="n"/>
      <c r="M19" s="175">
        <f>VLOOKUP($B$19,個資,8,FALSE)</f>
        <v/>
      </c>
      <c r="N19" s="45" t="n"/>
    </row>
    <row r="20" ht="28.35" customHeight="1" s="680">
      <c r="A20" s="588" t="n"/>
      <c r="B20" s="575" t="n"/>
      <c r="C20" s="577" t="n"/>
      <c r="D20" s="574" t="n"/>
      <c r="E20" s="579">
        <f>IFERROR(VLOOKUP(B20,個資,18,FALSE),"")</f>
        <v/>
      </c>
      <c r="F20" s="579">
        <f>IFERROR(UPPER(VLOOKUP(B20,個資,2,FALSE)),"")</f>
        <v/>
      </c>
      <c r="G20" s="574" t="n"/>
      <c r="H20" s="579">
        <f>IFERROR(VLOOKUP(B20,個資,12,FALSE),"")</f>
        <v/>
      </c>
      <c r="I20" s="574" t="n"/>
      <c r="J20" s="579">
        <f>IFERROR(VLOOKUP(B20,個資,21,FALSE),"")</f>
        <v/>
      </c>
      <c r="K20" s="577" t="n"/>
      <c r="L20" s="574" t="n"/>
      <c r="M20" s="175">
        <f>IFERROR(VLOOKUP(B20,個資,9,FALSE),"")</f>
        <v/>
      </c>
      <c r="N20" s="45" t="n"/>
    </row>
    <row r="21" ht="94.5" customHeight="1" s="680">
      <c r="A21" s="1225" t="inlineStr">
        <is>
          <t>案情摘要</t>
        </is>
      </c>
      <c r="B21" s="1228">
        <f>CONCATENATE("警方於上開時、地，見其",輸入!$H$3,"，經警盤查並確認後，辨識結果",$B$19,"為",LEFT($B$19,10),"所報逃逸外勞行方不明人口，故帶返所製作相關資料，經查以上",COUNTA(B19:C20),"名未在台灣犯有其他刑案。")</f>
        <v/>
      </c>
      <c r="C21" s="577" t="n"/>
      <c r="D21" s="577" t="n"/>
      <c r="E21" s="577" t="n"/>
      <c r="F21" s="577" t="n"/>
      <c r="G21" s="577" t="n"/>
      <c r="H21" s="577" t="n"/>
      <c r="I21" s="577" t="n"/>
      <c r="J21" s="577" t="n"/>
      <c r="K21" s="577" t="n"/>
      <c r="L21" s="577" t="n"/>
      <c r="M21" s="577" t="n"/>
      <c r="N21" s="574" t="n"/>
    </row>
    <row r="22" ht="62.25" customHeight="1" s="680">
      <c r="A22" s="588" t="n"/>
      <c r="B22" s="733" t="inlineStr">
        <is>
          <t>※(本欄項必填)
□被查獲人因涉及          案件，請專勤隊暫緩執行遣返出國(境)事宜。
■被查獲人違法情事已調查完畢，得由專勤隊儘速執行遣返出國(境)事宜。</t>
        </is>
      </c>
      <c r="C22" s="577" t="n"/>
      <c r="D22" s="577" t="n"/>
      <c r="E22" s="577" t="n"/>
      <c r="F22" s="577" t="n"/>
      <c r="G22" s="577" t="n"/>
      <c r="H22" s="577" t="n"/>
      <c r="I22" s="577" t="n"/>
      <c r="J22" s="577" t="n"/>
      <c r="K22" s="577" t="n"/>
      <c r="L22" s="577" t="n"/>
      <c r="M22" s="577" t="n"/>
      <c r="N22" s="574" t="n"/>
    </row>
    <row r="23" ht="19.7" customHeight="1" s="680">
      <c r="A23" s="579" t="inlineStr">
        <is>
          <t>接 送
單 位</t>
        </is>
      </c>
      <c r="B23" s="575" t="inlineStr">
        <is>
          <t>查獲/移送人員</t>
        </is>
      </c>
      <c r="C23" s="577" t="n"/>
      <c r="D23" s="577" t="n"/>
      <c r="E23" s="577" t="n"/>
      <c r="F23" s="574" t="n"/>
      <c r="G23" s="575" t="inlineStr">
        <is>
          <t>單位主管</t>
        </is>
      </c>
      <c r="H23" s="577" t="n"/>
      <c r="I23" s="577" t="n"/>
      <c r="J23" s="577" t="n"/>
      <c r="K23" s="577" t="n"/>
      <c r="L23" s="577" t="n"/>
      <c r="M23" s="577" t="n"/>
      <c r="N23" s="574" t="n"/>
    </row>
    <row r="24" ht="36.75" customHeight="1" s="680">
      <c r="A24" s="588" t="n"/>
      <c r="B24" s="1224" t="inlineStr">
        <is>
          <t>（職章）</t>
        </is>
      </c>
      <c r="C24" s="577" t="n"/>
      <c r="D24" s="577" t="n"/>
      <c r="E24" s="577" t="n"/>
      <c r="F24" s="574" t="n"/>
      <c r="G24" s="1224" t="inlineStr">
        <is>
          <t>（職章）</t>
        </is>
      </c>
      <c r="H24" s="577" t="n"/>
      <c r="I24" s="577" t="n"/>
      <c r="J24" s="577" t="n"/>
      <c r="K24" s="577" t="n"/>
      <c r="L24" s="577" t="n"/>
      <c r="M24" s="577" t="n"/>
      <c r="N24" s="574" t="n"/>
    </row>
    <row r="25" ht="19.7" customHeight="1" s="680">
      <c r="A25" s="575" t="inlineStr">
        <is>
          <t>專勤隊接收時間：   年  月  日   時   分（由專勤隊填寫）</t>
        </is>
      </c>
      <c r="B25" s="577" t="n"/>
      <c r="C25" s="577" t="n"/>
      <c r="D25" s="577" t="n"/>
      <c r="E25" s="577" t="n"/>
      <c r="F25" s="577" t="n"/>
      <c r="G25" s="577" t="n"/>
      <c r="H25" s="577" t="n"/>
      <c r="I25" s="577" t="n"/>
      <c r="J25" s="577" t="n"/>
      <c r="K25" s="577" t="n"/>
      <c r="L25" s="577" t="n"/>
      <c r="M25" s="577" t="n"/>
      <c r="N25" s="574" t="n"/>
    </row>
    <row r="26" ht="19.7" customHeight="1" s="680">
      <c r="A26" s="579" t="inlineStr">
        <is>
          <t>接 辦
單 位</t>
        </is>
      </c>
      <c r="B26" s="581" t="n"/>
      <c r="C26" s="575" t="inlineStr">
        <is>
          <t>接辦人員</t>
        </is>
      </c>
      <c r="D26" s="577" t="n"/>
      <c r="E26" s="577" t="n"/>
      <c r="F26" s="574" t="n"/>
      <c r="G26" s="575" t="inlineStr">
        <is>
          <t>單位主管</t>
        </is>
      </c>
      <c r="H26" s="577" t="n"/>
      <c r="I26" s="577" t="n"/>
      <c r="J26" s="577" t="n"/>
      <c r="K26" s="577" t="n"/>
      <c r="L26" s="577" t="n"/>
      <c r="M26" s="577" t="n"/>
      <c r="N26" s="574" t="n"/>
    </row>
    <row r="27" ht="36.75" customHeight="1" s="680">
      <c r="A27" s="582" t="n"/>
      <c r="B27" s="584" t="n"/>
      <c r="C27" s="1224" t="inlineStr">
        <is>
          <t>（職章）</t>
        </is>
      </c>
      <c r="D27" s="577" t="n"/>
      <c r="E27" s="577" t="n"/>
      <c r="F27" s="574" t="n"/>
      <c r="G27" s="1224" t="inlineStr">
        <is>
          <t>（職章）</t>
        </is>
      </c>
      <c r="H27" s="577" t="n"/>
      <c r="I27" s="577" t="n"/>
      <c r="J27" s="577" t="n"/>
      <c r="K27" s="577" t="n"/>
      <c r="L27" s="577" t="n"/>
      <c r="M27" s="577" t="n"/>
      <c r="N27" s="574" t="n"/>
    </row>
    <row r="34" ht="16.5" customHeight="1" s="680">
      <c r="A34" s="599" t="n"/>
      <c r="B34" s="599" t="n"/>
      <c r="C34" s="599" t="n"/>
      <c r="D34" s="599" t="n"/>
      <c r="E34" s="599" t="n"/>
      <c r="F34" s="599" t="n"/>
      <c r="G34" s="599" t="n"/>
      <c r="H34" s="599" t="n"/>
      <c r="I34" s="599" t="n"/>
      <c r="J34" s="599" t="n"/>
      <c r="K34" s="599" t="n"/>
      <c r="L34" s="599" t="n"/>
      <c r="M34" s="599" t="n"/>
      <c r="N34" s="599" t="n"/>
    </row>
    <row r="35" ht="28.35" customHeight="1" s="680">
      <c r="A35" s="177" t="inlineStr">
        <is>
          <t>備註：</t>
        </is>
      </c>
      <c r="B35" s="135" t="n"/>
      <c r="C35" s="135" t="n"/>
      <c r="D35" s="135" t="n"/>
      <c r="E35" s="135" t="n"/>
      <c r="F35" s="135" t="n"/>
      <c r="G35" s="135" t="n"/>
      <c r="H35" s="135" t="n"/>
      <c r="I35" s="135" t="n"/>
      <c r="J35" s="135" t="n"/>
      <c r="K35" s="135" t="n"/>
      <c r="L35" s="135" t="n"/>
      <c r="M35" s="135" t="n"/>
      <c r="N35" s="135" t="n"/>
    </row>
    <row r="36" ht="28.35" customFormat="1" customHeight="1" s="776">
      <c r="A36" s="178" t="inlineStr">
        <is>
          <t>1.自首之意義</t>
        </is>
      </c>
      <c r="B36" s="135" t="n"/>
      <c r="C36" s="135" t="n"/>
      <c r="D36" s="135" t="n"/>
      <c r="E36" s="135" t="n"/>
      <c r="F36" s="135" t="n"/>
      <c r="G36" s="135" t="n"/>
      <c r="H36" s="135" t="n"/>
      <c r="I36" s="135" t="n"/>
      <c r="J36" s="135" t="n"/>
      <c r="K36" s="135" t="n"/>
      <c r="L36" s="135" t="n"/>
      <c r="M36" s="135" t="n"/>
      <c r="N36" s="135" t="n"/>
    </row>
    <row r="37" ht="28.35" customFormat="1" customHeight="1" s="776">
      <c r="A37" s="1226" t="inlineStr">
        <is>
          <t>自首意義：刑法第62條本文規定：「對於未發覺之罪自首而受裁判者，得減輕其刑。所</t>
        </is>
      </c>
      <c r="B37" s="135" t="n"/>
      <c r="C37" s="135" t="n"/>
      <c r="D37" s="135" t="n"/>
      <c r="E37" s="135" t="n"/>
      <c r="F37" s="135" t="n"/>
      <c r="G37" s="135" t="n"/>
      <c r="H37" s="135" t="n"/>
      <c r="I37" s="135" t="n"/>
      <c r="J37" s="135" t="n"/>
      <c r="K37" s="135" t="n"/>
      <c r="L37" s="135" t="n"/>
      <c r="M37" s="135" t="n"/>
      <c r="N37" s="135" t="n"/>
    </row>
    <row r="38" ht="28.35" customFormat="1" customHeight="1" s="776">
      <c r="A38" s="1226" t="inlineStr">
        <is>
          <t>謂自首，祇以犯人在犯罪未發覺之前，向該管公務員申告犯罪事實，並受裁判之意。所</t>
        </is>
      </c>
      <c r="B38" s="135" t="n"/>
      <c r="C38" s="135" t="n"/>
      <c r="D38" s="135" t="n"/>
      <c r="E38" s="135" t="n"/>
      <c r="F38" s="135" t="n"/>
      <c r="G38" s="135" t="n"/>
      <c r="H38" s="135" t="n"/>
      <c r="I38" s="135" t="n"/>
      <c r="J38" s="135" t="n"/>
      <c r="K38" s="135" t="n"/>
      <c r="L38" s="135" t="n"/>
      <c r="M38" s="135" t="n"/>
      <c r="N38" s="135" t="n"/>
    </row>
    <row r="39" ht="28.35" customFormat="1" customHeight="1" s="776">
      <c r="A39" s="1226" t="inlineStr">
        <is>
          <t>稱「該管公務員」，係指有偵查犯罪職權之公務員，如檢察官、司法警察官或司法警察。</t>
        </is>
      </c>
      <c r="B39" s="135" t="n"/>
      <c r="C39" s="135" t="n"/>
      <c r="D39" s="135" t="n"/>
      <c r="E39" s="135" t="n"/>
      <c r="F39" s="135" t="n"/>
      <c r="G39" s="135" t="n"/>
      <c r="H39" s="135" t="n"/>
      <c r="I39" s="135" t="n"/>
      <c r="J39" s="135" t="n"/>
      <c r="K39" s="135" t="n"/>
      <c r="L39" s="135" t="n"/>
      <c r="M39" s="135" t="n"/>
      <c r="N39" s="135" t="n"/>
    </row>
    <row r="40" ht="28.35" customFormat="1" customHeight="1" s="776">
      <c r="A40" s="179" t="inlineStr">
        <is>
          <t>自首必須符合下列要件：</t>
        </is>
      </c>
      <c r="B40" s="135" t="n"/>
      <c r="C40" s="135" t="n"/>
      <c r="D40" s="135" t="n"/>
      <c r="E40" s="135" t="n"/>
      <c r="F40" s="135" t="n"/>
      <c r="G40" s="135" t="n"/>
      <c r="H40" s="135" t="n"/>
      <c r="I40" s="135" t="n"/>
      <c r="J40" s="135" t="n"/>
      <c r="K40" s="135" t="n"/>
      <c r="L40" s="135" t="n"/>
      <c r="M40" s="135" t="n"/>
      <c r="N40" s="135" t="n"/>
    </row>
    <row r="41" ht="28.35" customFormat="1" customHeight="1" s="776">
      <c r="A41" s="1226" t="inlineStr">
        <is>
          <t>一、自首必須在犯罪未發覺前為之：所謂「未發覺」，係指有偵查權之公務員尚未發覺犯</t>
        </is>
      </c>
      <c r="B41" s="135" t="n"/>
      <c r="C41" s="135" t="n"/>
      <c r="D41" s="135" t="n"/>
      <c r="E41" s="135" t="n"/>
      <c r="F41" s="135" t="n"/>
      <c r="G41" s="135" t="n"/>
      <c r="H41" s="135" t="n"/>
      <c r="I41" s="135" t="n"/>
      <c r="J41" s="135" t="n"/>
      <c r="K41" s="135" t="n"/>
      <c r="L41" s="135" t="n"/>
      <c r="M41" s="135" t="n"/>
      <c r="N41" s="135" t="n"/>
    </row>
    <row r="42" ht="28.35" customFormat="1" customHeight="1" s="776">
      <c r="A42" s="139" t="inlineStr">
        <is>
          <t>罪事實，或已發覺犯罪事實，但不知誰為犯罪者。若有偵查權之公務員尚未發覺犯</t>
        </is>
      </c>
      <c r="B42" s="135" t="n"/>
      <c r="C42" s="135" t="n"/>
      <c r="D42" s="135" t="n"/>
      <c r="E42" s="135" t="n"/>
      <c r="F42" s="135" t="n"/>
      <c r="G42" s="135" t="n"/>
      <c r="H42" s="135" t="n"/>
      <c r="I42" s="135" t="n"/>
      <c r="J42" s="135" t="n"/>
      <c r="K42" s="135" t="n"/>
      <c r="L42" s="135" t="n"/>
      <c r="M42" s="135" t="n"/>
      <c r="N42" s="135" t="n"/>
    </row>
    <row r="43" ht="28.35" customFormat="1" customHeight="1" s="776">
      <c r="A43" s="139" t="inlineStr">
        <is>
          <t>罪，即使被害人或其他人已發覺犯罪，仍屬未發覺犯罪。</t>
        </is>
      </c>
      <c r="B43" s="135" t="n"/>
      <c r="C43" s="135" t="n"/>
      <c r="D43" s="135" t="n"/>
      <c r="E43" s="135" t="n"/>
      <c r="F43" s="135" t="n"/>
      <c r="G43" s="135" t="n"/>
      <c r="H43" s="135" t="n"/>
      <c r="I43" s="135" t="n"/>
      <c r="J43" s="135" t="n"/>
      <c r="K43" s="135" t="n"/>
      <c r="L43" s="135" t="n"/>
      <c r="M43" s="135" t="n"/>
      <c r="N43" s="135" t="n"/>
    </row>
    <row r="44" ht="28.35" customFormat="1" customHeight="1" s="776">
      <c r="A44" s="1226" t="inlineStr">
        <is>
          <t>二、自首必須申告自己所為之犯罪行為。</t>
        </is>
      </c>
      <c r="D44" s="1226" t="n"/>
      <c r="E44" s="135" t="n"/>
      <c r="F44" s="135" t="n"/>
      <c r="G44" s="135" t="n"/>
      <c r="H44" s="135" t="n"/>
      <c r="I44" s="135" t="n"/>
      <c r="J44" s="135" t="n"/>
      <c r="K44" s="135" t="n"/>
      <c r="L44" s="135" t="n"/>
      <c r="M44" s="135" t="n"/>
      <c r="N44" s="135" t="n"/>
    </row>
    <row r="45" ht="28.35" customFormat="1" customHeight="1" s="776">
      <c r="A45" s="1226" t="inlineStr">
        <is>
          <t>三、自首必須向有偵查權之公務員為之：自首方式，可以言詞陳述，或以書面、電話、</t>
        </is>
      </c>
      <c r="B45" s="135" t="n"/>
      <c r="C45" s="135" t="n"/>
      <c r="D45" s="135" t="n"/>
      <c r="E45" s="135" t="n"/>
      <c r="F45" s="135" t="n"/>
      <c r="G45" s="135" t="n"/>
      <c r="H45" s="135" t="n"/>
      <c r="I45" s="135" t="n"/>
      <c r="J45" s="135" t="n"/>
      <c r="K45" s="135" t="n"/>
      <c r="L45" s="135" t="n"/>
      <c r="M45" s="135" t="n"/>
      <c r="N45" s="135" t="n"/>
    </row>
    <row r="46" ht="28.35" customFormat="1" customHeight="1" s="776">
      <c r="A46" s="139" t="inlineStr">
        <is>
          <t>傳真、電報或e-mail，或託請他人代為申告，或向非偵查機關請其代為轉送者，以</t>
        </is>
      </c>
      <c r="B46" s="135" t="n"/>
      <c r="C46" s="135" t="n"/>
      <c r="D46" s="135" t="n"/>
      <c r="E46" s="135" t="n"/>
      <c r="F46" s="135" t="n"/>
      <c r="G46" s="135" t="n"/>
      <c r="H46" s="135" t="n"/>
      <c r="I46" s="135" t="n"/>
      <c r="J46" s="135" t="n"/>
      <c r="K46" s="135" t="n"/>
      <c r="L46" s="135" t="n"/>
      <c r="M46" s="135" t="n"/>
      <c r="N46" s="135" t="n"/>
    </row>
    <row r="47" ht="28.35" customFormat="1" customHeight="1" s="776">
      <c r="A47" s="139" t="inlineStr">
        <is>
          <t>轉送至偵查機關始生效力。</t>
        </is>
      </c>
      <c r="B47" s="135" t="n"/>
      <c r="C47" s="135" t="n"/>
      <c r="D47" s="135" t="n"/>
      <c r="E47" s="135" t="n"/>
      <c r="F47" s="135" t="n"/>
      <c r="G47" s="135" t="n"/>
      <c r="H47" s="135" t="n"/>
      <c r="I47" s="135" t="n"/>
      <c r="J47" s="135" t="n"/>
      <c r="K47" s="135" t="n"/>
      <c r="L47" s="135" t="n"/>
      <c r="M47" s="135" t="n"/>
      <c r="N47" s="135" t="n"/>
    </row>
    <row r="48" ht="28.35" customFormat="1" customHeight="1" s="776">
      <c r="A48" s="1226" t="inlineStr">
        <is>
          <t>四、自首必須自動接受裁判：所謂「自動接受裁判」，固不必即時親自到偵查機關接受偵</t>
        </is>
      </c>
      <c r="B48" s="135" t="n"/>
      <c r="C48" s="135" t="n"/>
      <c r="D48" s="135" t="n"/>
      <c r="E48" s="135" t="n"/>
      <c r="F48" s="135" t="n"/>
      <c r="G48" s="135" t="n"/>
      <c r="H48" s="135" t="n"/>
      <c r="I48" s="135" t="n"/>
      <c r="J48" s="135" t="n"/>
      <c r="K48" s="135" t="n"/>
      <c r="L48" s="135" t="n"/>
      <c r="M48" s="135" t="n"/>
      <c r="N48" s="135" t="n"/>
    </row>
    <row r="49" ht="28.35" customFormat="1" customHeight="1" s="776">
      <c r="A49" s="139" t="inlineStr">
        <is>
          <t>查，例如告知自己所在處所，使偵查機關隨時可以進行追訴工作亦可；如告知犯罪</t>
        </is>
      </c>
      <c r="B49" s="135" t="n"/>
      <c r="C49" s="135" t="n"/>
      <c r="D49" s="135" t="n"/>
      <c r="E49" s="135" t="n"/>
      <c r="F49" s="135" t="n"/>
      <c r="G49" s="135" t="n"/>
      <c r="H49" s="135" t="n"/>
      <c r="I49" s="135" t="n"/>
      <c r="J49" s="135" t="n"/>
      <c r="K49" s="135" t="n"/>
      <c r="L49" s="135" t="n"/>
      <c r="M49" s="135" t="n"/>
      <c r="N49" s="135" t="n"/>
    </row>
    <row r="50" ht="28.35" customHeight="1" s="680">
      <c r="A50" s="139" t="inlineStr">
        <is>
          <t>事實後隨即逃亡，則不成立自首。</t>
        </is>
      </c>
    </row>
    <row r="51" ht="28.35" customHeight="1" s="680">
      <c r="A51" s="178" t="inlineStr">
        <is>
          <t>2.主動投案(自行到案)之意義</t>
        </is>
      </c>
    </row>
    <row r="52" ht="28.35" customHeight="1" s="680">
      <c r="A52" s="176" t="inlineStr">
        <is>
          <t>係指偵查機關已發覺犯人之犯罪事實，且未經拘提或逮捕，而自行到案情形。</t>
        </is>
      </c>
    </row>
  </sheetData>
  <mergeCells count="54">
    <mergeCell ref="H17:I18"/>
    <mergeCell ref="D4:J4"/>
    <mergeCell ref="E17:E18"/>
    <mergeCell ref="A26:B27"/>
    <mergeCell ref="H20:I20"/>
    <mergeCell ref="B9:N9"/>
    <mergeCell ref="F19:G19"/>
    <mergeCell ref="A11:A14"/>
    <mergeCell ref="B15:N15"/>
    <mergeCell ref="G27:N27"/>
    <mergeCell ref="J20:L20"/>
    <mergeCell ref="B6:N6"/>
    <mergeCell ref="J17:L18"/>
    <mergeCell ref="D5:J5"/>
    <mergeCell ref="G23:N23"/>
    <mergeCell ref="K4:N4"/>
    <mergeCell ref="B19:D19"/>
    <mergeCell ref="N17:N18"/>
    <mergeCell ref="F20:G20"/>
    <mergeCell ref="F18:G18"/>
    <mergeCell ref="A25:N25"/>
    <mergeCell ref="B23:F23"/>
    <mergeCell ref="B7:N7"/>
    <mergeCell ref="B17:D18"/>
    <mergeCell ref="B3:N3"/>
    <mergeCell ref="F17:G17"/>
    <mergeCell ref="B16:N16"/>
    <mergeCell ref="A21:A22"/>
    <mergeCell ref="B20:D20"/>
    <mergeCell ref="B22:N22"/>
    <mergeCell ref="A44:C44"/>
    <mergeCell ref="A4:A5"/>
    <mergeCell ref="M17:M18"/>
    <mergeCell ref="C26:F26"/>
    <mergeCell ref="A17:A20"/>
    <mergeCell ref="B12:N12"/>
    <mergeCell ref="G24:N24"/>
    <mergeCell ref="A23:A24"/>
    <mergeCell ref="B21:N21"/>
    <mergeCell ref="H19:I19"/>
    <mergeCell ref="B11:N11"/>
    <mergeCell ref="B14:N14"/>
    <mergeCell ref="G26:N26"/>
    <mergeCell ref="B24:F24"/>
    <mergeCell ref="A9:A10"/>
    <mergeCell ref="B8:N8"/>
    <mergeCell ref="B5:C5"/>
    <mergeCell ref="J19:L19"/>
    <mergeCell ref="J2:N2"/>
    <mergeCell ref="B13:N13"/>
    <mergeCell ref="A15:A16"/>
    <mergeCell ref="C27:F27"/>
    <mergeCell ref="B4:C4"/>
    <mergeCell ref="B10:N10"/>
  </mergeCells>
  <pageMargins left="0.5118110236220472" right="0" top="0.5905511811023623" bottom="0.3937007874015748" header="0" footer="0"/>
  <pageSetup orientation="portrait" paperSize="9"/>
</worksheet>
</file>

<file path=xl/worksheets/sheet44.xml><?xml version="1.0" encoding="utf-8"?>
<worksheet xmlns="http://schemas.openxmlformats.org/spreadsheetml/2006/main">
  <sheetPr codeName="工作表54">
    <outlinePr summaryBelow="1" summaryRight="1"/>
    <pageSetUpPr/>
  </sheetPr>
  <dimension ref="B1:P28"/>
  <sheetViews>
    <sheetView view="pageLayout" zoomScale="85" zoomScaleNormal="100" zoomScaleSheetLayoutView="100" zoomScalePageLayoutView="85" workbookViewId="0">
      <selection activeCell="C2" sqref="C2:D4"/>
    </sheetView>
  </sheetViews>
  <sheetFormatPr baseColWidth="8" defaultRowHeight="16.5"/>
  <cols>
    <col width="1.125" customWidth="1" style="680" min="1" max="1"/>
    <col width="1.375" customWidth="1" style="680" min="2" max="2"/>
    <col width="2.25" customWidth="1" style="680" min="3" max="3"/>
    <col width="9.75" customWidth="1" style="680" min="4" max="4"/>
    <col width="9.25" customWidth="1" style="680" min="5" max="5"/>
    <col width="1.375" customWidth="1" style="680" min="6" max="6"/>
    <col width="9.25" customWidth="1" style="680" min="7" max="7"/>
    <col width="6.625" customWidth="1" style="680" min="8" max="8"/>
    <col width="5.125" customWidth="1" style="680" min="9" max="9"/>
    <col width="4.25" customWidth="1" style="680" min="10" max="10"/>
    <col width="14.125" customWidth="1" style="680" min="11" max="11"/>
    <col width="0.875" customWidth="1" style="680" min="12" max="12"/>
    <col width="6.625" customWidth="1" style="680" min="13" max="13"/>
    <col width="7.5" customWidth="1" style="680" min="14" max="14"/>
    <col width="22.125" customWidth="1" style="680" min="15" max="15"/>
    <col width="1.125" customWidth="1" style="680" min="16" max="16"/>
    <col width="1.25" customWidth="1" style="680" min="17" max="17"/>
    <col width="9" customWidth="1" style="680" min="51" max="51"/>
  </cols>
  <sheetData>
    <row r="1" ht="26.25" customHeight="1" s="680">
      <c r="B1" s="1195" t="n"/>
      <c r="C1" s="1242" t="inlineStr">
        <is>
          <t xml:space="preserve">                 法律扶助基金會 檢警律師陪同到場專案 - 指派律師通知表113年06月版</t>
        </is>
      </c>
      <c r="D1" s="577" t="n"/>
      <c r="E1" s="577" t="n"/>
      <c r="F1" s="577" t="n"/>
      <c r="G1" s="577" t="n"/>
      <c r="H1" s="577" t="n"/>
      <c r="I1" s="577" t="n"/>
      <c r="J1" s="577" t="n"/>
      <c r="K1" s="577" t="n"/>
      <c r="L1" s="577" t="n"/>
      <c r="M1" s="577" t="n"/>
      <c r="N1" s="577" t="n"/>
      <c r="O1" s="574" t="n"/>
      <c r="P1" s="1195" t="n"/>
    </row>
    <row r="2" ht="24" customHeight="1" s="680">
      <c r="B2" s="1195" t="n"/>
      <c r="C2" s="777" t="inlineStr">
        <is>
          <t>通報
機關</t>
        </is>
      </c>
      <c r="D2" s="581" t="n"/>
      <c r="E2" s="1199" t="inlineStr">
        <is>
          <t>___________地方法院                                     _______檢察署</t>
        </is>
      </c>
      <c r="F2" s="580" t="n"/>
      <c r="G2" s="580" t="n"/>
      <c r="H2" s="580" t="n"/>
      <c r="I2" s="580" t="n"/>
      <c r="J2" s="580" t="n"/>
      <c r="K2" s="580" t="n"/>
      <c r="L2" s="580" t="n"/>
      <c r="M2" s="580" t="n"/>
      <c r="N2" s="580" t="n"/>
      <c r="O2" s="581" t="n"/>
      <c r="P2" s="1195" t="n"/>
    </row>
    <row r="3" ht="24" customHeight="1" s="680">
      <c r="C3" s="609" t="n"/>
      <c r="D3" s="611" t="n"/>
      <c r="E3" s="805">
        <f>CONCATENATE("__",輸入!$S$18,"__",輸入!$T$18,"___",輸入!$S$19,"___",輸入!$T$19,"___隊___",輸入!$S$20,"__分駐/派出所")</f>
        <v/>
      </c>
      <c r="O3" s="611" t="n"/>
    </row>
    <row r="4" ht="24" customHeight="1" s="680">
      <c r="C4" s="582" t="n"/>
      <c r="D4" s="584" t="n"/>
      <c r="E4" s="812" t="inlineStr">
        <is>
          <t>法務部調查局           ________ 調查處/站/組  其他：           ____ (請各單位自行填寫)</t>
        </is>
      </c>
      <c r="F4" s="583" t="n"/>
      <c r="G4" s="583" t="n"/>
      <c r="H4" s="583" t="n"/>
      <c r="I4" s="583" t="n"/>
      <c r="J4" s="583" t="n"/>
      <c r="K4" s="583" t="n"/>
      <c r="L4" s="583" t="n"/>
      <c r="M4" s="583" t="n"/>
      <c r="N4" s="583" t="n"/>
      <c r="O4" s="584" t="n"/>
    </row>
    <row r="5" ht="33" customHeight="1" s="680">
      <c r="B5" s="1195" t="n"/>
      <c r="C5" s="777" t="inlineStr">
        <is>
          <t>犯罪嫌疑人姓名</t>
        </is>
      </c>
      <c r="D5" s="577" t="n"/>
      <c r="E5" s="574" t="n"/>
      <c r="F5" s="579">
        <f>word用!$H$2</f>
        <v/>
      </c>
      <c r="G5" s="577" t="n"/>
      <c r="H5" s="574" t="n"/>
      <c r="I5" s="811" t="inlineStr">
        <is>
          <t>身分別</t>
        </is>
      </c>
      <c r="J5" s="611" t="n"/>
      <c r="K5" s="1237" t="inlineStr">
        <is>
          <t xml:space="preserve">  □原住民族：_____________族。</t>
        </is>
      </c>
      <c r="L5" s="577" t="n"/>
      <c r="M5" s="577" t="n"/>
      <c r="N5" s="577" t="n"/>
      <c r="O5" s="574" t="n"/>
      <c r="P5" s="1195" t="n"/>
    </row>
    <row r="6" ht="45" customHeight="1" s="680">
      <c r="B6" s="1195" t="n"/>
      <c r="C6" s="777" t="inlineStr">
        <is>
          <t>聯絡電話</t>
        </is>
      </c>
      <c r="D6" s="577" t="n"/>
      <c r="E6" s="574" t="n"/>
      <c r="F6" s="579">
        <f>IF(word用!$K$2="0","",word用!$K$2)</f>
        <v/>
      </c>
      <c r="G6" s="577" t="n"/>
      <c r="H6" s="574" t="n"/>
      <c r="I6" s="1247" t="inlineStr">
        <is>
          <t>（僅限符合右列情形使用； 身心障礙者不以持有證明者為限）</t>
        </is>
      </c>
      <c r="J6" s="611" t="n"/>
      <c r="K6" s="1228" t="inlineStr">
        <is>
          <t xml:space="preserve"> □因身心障礙，致無法為完全陳述。
   □無身心障礙證明
   □有身心障礙證明，障礙別為第1類【b1】:神
     經系統構造及精神、心智功能障礙
   □有身心障礙證明，障礙別為第【______】類
   (為統計所需，請參身心障礙證明背面填載障礙類別代碼)</t>
        </is>
      </c>
      <c r="L6" s="580" t="n"/>
      <c r="M6" s="580" t="n"/>
      <c r="N6" s="580" t="n"/>
      <c r="O6" s="581" t="n"/>
      <c r="P6" s="1195" t="n"/>
    </row>
    <row r="7" ht="57" customHeight="1" s="680">
      <c r="B7" s="1195" t="n"/>
      <c r="C7" s="777" t="inlineStr">
        <is>
          <t>身分證/居留證/護照證號</t>
        </is>
      </c>
      <c r="D7" s="577" t="n"/>
      <c r="E7" s="574" t="n"/>
      <c r="F7" s="579">
        <f>UPPER(VLOOKUP($F$5,個資,2,FALSE))</f>
        <v/>
      </c>
      <c r="G7" s="577" t="n"/>
      <c r="H7" s="574" t="n"/>
      <c r="I7" s="609" t="n"/>
      <c r="J7" s="611" t="n"/>
      <c r="K7" s="582" t="n"/>
      <c r="L7" s="583" t="n"/>
      <c r="M7" s="583" t="n"/>
      <c r="N7" s="583" t="n"/>
      <c r="O7" s="584" t="n"/>
      <c r="P7" s="1195" t="n"/>
    </row>
    <row r="8" ht="52.5" customHeight="1" s="680">
      <c r="B8" s="1195" t="n"/>
      <c r="C8" s="777" t="inlineStr">
        <is>
          <t>涉犯罪名</t>
        </is>
      </c>
      <c r="D8" s="577" t="n"/>
      <c r="E8" s="574" t="n"/>
      <c r="F8" s="579">
        <f>呈報單!$G$15</f>
        <v/>
      </c>
      <c r="G8" s="577" t="n"/>
      <c r="H8" s="574" t="n"/>
      <c r="I8" s="582" t="n"/>
      <c r="J8" s="584" t="n"/>
      <c r="K8" s="655" t="inlineStr">
        <is>
          <t xml:space="preserve"> □第一次接受訊問，涉犯最輕本刑三年以上有期
   徒刑或高等法院管轄第一審之罪。</t>
        </is>
      </c>
      <c r="L8" s="577" t="n"/>
      <c r="M8" s="577" t="n"/>
      <c r="N8" s="577" t="n"/>
      <c r="O8" s="574" t="n"/>
      <c r="P8" s="1195" t="n"/>
    </row>
    <row r="9" ht="27" customHeight="1" s="680">
      <c r="B9" s="1195" t="n"/>
      <c r="C9" s="1246" t="inlineStr">
        <is>
          <t>預計偵訊時間：______年______月_______日_______時________分</t>
        </is>
      </c>
      <c r="D9" s="577" t="n"/>
      <c r="E9" s="577" t="n"/>
      <c r="F9" s="577" t="n"/>
      <c r="G9" s="577" t="n"/>
      <c r="H9" s="577" t="n"/>
      <c r="I9" s="577" t="n"/>
      <c r="J9" s="577" t="n"/>
      <c r="K9" s="577" t="n"/>
      <c r="L9" s="577" t="n"/>
      <c r="M9" s="577" t="n"/>
      <c r="N9" s="577" t="n"/>
      <c r="O9" s="574" t="n"/>
      <c r="P9" s="1195" t="n"/>
    </row>
    <row r="10" ht="26.25" customHeight="1" s="680" thickBot="1">
      <c r="B10" s="1195" t="n"/>
      <c r="C10" s="1245">
        <f>CONCATENATE("偵訊機關地址：",輸入!S23)</f>
        <v/>
      </c>
      <c r="D10" s="580" t="n"/>
      <c r="E10" s="580" t="n"/>
      <c r="F10" s="580" t="n"/>
      <c r="G10" s="580" t="n"/>
      <c r="H10" s="580" t="n"/>
      <c r="I10" s="580" t="n"/>
      <c r="J10" s="580" t="n"/>
      <c r="K10" s="580" t="n"/>
      <c r="L10" s="580" t="n"/>
      <c r="M10" s="580" t="n"/>
      <c r="N10" s="580" t="n"/>
      <c r="O10" s="581" t="n"/>
      <c r="P10" s="1195" t="n"/>
    </row>
    <row r="11" ht="27" customHeight="1" s="680">
      <c r="B11" s="1239" t="inlineStr">
        <is>
          <t>由犯罪嫌疑人自行填寫</t>
        </is>
      </c>
      <c r="C11" s="817" t="n"/>
      <c r="D11" s="1243" t="inlineStr">
        <is>
          <t>□犯罪嫌疑人
 需要陪偵律師</t>
        </is>
      </c>
      <c r="E11" s="721" t="n"/>
      <c r="F11" s="817" t="n"/>
      <c r="G11" s="1248" t="inlineStr">
        <is>
          <t xml:space="preserve"> 犯罪嫌疑人因涉有上列罪嫌，現於上開通報機關等候詢問，請自本通知單傳
 真到達法扶起，協助指派律師到達通報機關所在地點。經法扶回傳本通知單
 起4小時後，若無律師到場，將逕行依法詢問。</t>
        </is>
      </c>
      <c r="H11" s="721" t="n"/>
      <c r="I11" s="721" t="n"/>
      <c r="J11" s="721" t="n"/>
      <c r="K11" s="721" t="n"/>
      <c r="L11" s="721" t="n"/>
      <c r="M11" s="721" t="n"/>
      <c r="N11" s="721" t="n"/>
      <c r="O11" s="721" t="n"/>
      <c r="P11" s="722" t="n"/>
    </row>
    <row r="12" ht="32.25" customHeight="1" s="680">
      <c r="B12" s="731" t="n"/>
      <c r="C12" s="611" t="n"/>
      <c r="D12" s="732" t="n"/>
      <c r="E12" s="583" t="n"/>
      <c r="F12" s="584" t="n"/>
      <c r="G12" s="582" t="n"/>
      <c r="H12" s="583" t="n"/>
      <c r="I12" s="583" t="n"/>
      <c r="J12" s="583" t="n"/>
      <c r="K12" s="583" t="n"/>
      <c r="L12" s="583" t="n"/>
      <c r="M12" s="583" t="n"/>
      <c r="N12" s="583" t="n"/>
      <c r="O12" s="583" t="n"/>
      <c r="P12" s="792" t="n"/>
    </row>
    <row r="13" ht="21.75" customHeight="1" s="680">
      <c r="B13" s="731" t="n"/>
      <c r="C13" s="611" t="n"/>
      <c r="D13" s="779" t="inlineStr">
        <is>
          <t>□犯罪嫌疑人表示
 不需要陪偵律師</t>
        </is>
      </c>
      <c r="E13" s="580" t="n"/>
      <c r="F13" s="581" t="n"/>
      <c r="G13" s="1148" t="inlineStr">
        <is>
          <t>犯罪嫌疑人所述原因：（請勿自行另設選項）</t>
        </is>
      </c>
      <c r="H13" s="580" t="n"/>
      <c r="I13" s="580" t="n"/>
      <c r="J13" s="580" t="n"/>
      <c r="K13" s="580" t="n"/>
      <c r="L13" s="581" t="n"/>
      <c r="M13" s="786" t="inlineStr">
        <is>
          <t>本人簽名</t>
        </is>
      </c>
      <c r="N13" s="581" t="n"/>
      <c r="O13" s="402" t="n"/>
      <c r="P13" s="403" t="n"/>
    </row>
    <row r="14" ht="18" customHeight="1" s="680">
      <c r="B14" s="731" t="n"/>
      <c r="C14" s="611" t="n"/>
      <c r="D14" s="731" t="n"/>
      <c r="F14" s="611" t="n"/>
      <c r="G14" s="809" t="inlineStr">
        <is>
          <t xml:space="preserve"> □不需要律師，可自行處理</t>
        </is>
      </c>
      <c r="L14" s="611" t="n"/>
      <c r="M14" s="609" t="n"/>
      <c r="N14" s="611" t="n"/>
      <c r="O14" s="404" t="n"/>
      <c r="P14" s="405" t="n"/>
    </row>
    <row r="15" ht="22.5" customHeight="1" s="680">
      <c r="B15" s="731" t="n"/>
      <c r="C15" s="611" t="n"/>
      <c r="D15" s="731" t="n"/>
      <c r="F15" s="611" t="n"/>
      <c r="G15" s="819" t="inlineStr">
        <is>
          <t xml:space="preserve"> □不願等候律師到場</t>
        </is>
      </c>
      <c r="L15" s="611" t="n"/>
      <c r="M15" s="609" t="n"/>
      <c r="N15" s="611" t="n"/>
      <c r="O15" s="799" t="inlineStr">
        <is>
          <t>註：本會指派律師均不收費</t>
        </is>
      </c>
      <c r="P15" s="727" t="n"/>
    </row>
    <row r="16" ht="24.75" customHeight="1" s="680" thickBot="1">
      <c r="B16" s="732" t="n"/>
      <c r="C16" s="584" t="n"/>
      <c r="D16" s="781" t="n"/>
      <c r="E16" s="769" t="n"/>
      <c r="F16" s="782" t="n"/>
      <c r="G16" s="787" t="inlineStr">
        <is>
          <t xml:space="preserve"> □已自行委任律師</t>
        </is>
      </c>
      <c r="H16" s="769" t="n"/>
      <c r="I16" s="769" t="n"/>
      <c r="J16" s="769" t="n"/>
      <c r="K16" s="769" t="n"/>
      <c r="L16" s="782" t="n"/>
      <c r="M16" s="582" t="n"/>
      <c r="N16" s="584" t="n"/>
      <c r="O16" s="800" t="n"/>
      <c r="P16" s="801" t="n"/>
    </row>
    <row r="17" ht="69.75" customHeight="1" s="680" thickBot="1">
      <c r="B17" s="1240" t="inlineStr">
        <is>
          <t>※請適時保護自己：1.您可以詢問自己罪名是什麼；2.可以請求律師到場；3.律師到場前，可以不回答問題；4.
  律師到場後，有充分時間與律師討論案情。
※申請律師後最遲於 45 分鐘內即可得知有無律師；律師平均約 1~4 小時抵達偵訊機關。如後續有偵查中辯護或
  法律扶助之需求，可請陪偵律師協助您填寫「檢警陪偵後-法律扶助申請書」進行申請。</t>
        </is>
      </c>
      <c r="C17" s="803" t="n"/>
      <c r="D17" s="803" t="n"/>
      <c r="E17" s="803" t="n"/>
      <c r="F17" s="803" t="n"/>
      <c r="G17" s="803" t="n"/>
      <c r="H17" s="803" t="n"/>
      <c r="I17" s="803" t="n"/>
      <c r="J17" s="803" t="n"/>
      <c r="K17" s="803" t="n"/>
      <c r="L17" s="803" t="n"/>
      <c r="M17" s="803" t="n"/>
      <c r="N17" s="803" t="n"/>
      <c r="O17" s="803" t="n"/>
      <c r="P17" s="804" t="n"/>
    </row>
    <row r="18" ht="18.75" customHeight="1" s="680">
      <c r="B18" s="1195" t="n"/>
      <c r="C18" s="807" t="inlineStr">
        <is>
          <t>通報機關聯絡人</t>
        </is>
      </c>
      <c r="E18" s="611" t="n"/>
      <c r="F18" s="816">
        <f>CONCATENATE(輸入!$T$24,"  ",輸入!$U$24,)</f>
        <v/>
      </c>
      <c r="G18" s="721" t="n"/>
      <c r="H18" s="721" t="n"/>
      <c r="I18" s="721" t="n"/>
      <c r="J18" s="817" t="n"/>
      <c r="K18" s="777" t="inlineStr">
        <is>
          <t>電話</t>
        </is>
      </c>
      <c r="L18" s="587">
        <f>輸入!$T$21</f>
        <v/>
      </c>
      <c r="M18" s="577" t="n"/>
      <c r="N18" s="577" t="n"/>
      <c r="O18" s="574" t="n"/>
      <c r="P18" s="1195" t="n"/>
    </row>
    <row r="19" ht="18.75" customHeight="1" s="680">
      <c r="B19" s="1195" t="n"/>
      <c r="C19" s="582" t="n"/>
      <c r="D19" s="583" t="n"/>
      <c r="E19" s="584" t="n"/>
      <c r="F19" s="582" t="n"/>
      <c r="G19" s="583" t="n"/>
      <c r="H19" s="583" t="n"/>
      <c r="I19" s="583" t="n"/>
      <c r="J19" s="584" t="n"/>
      <c r="K19" s="777" t="inlineStr">
        <is>
          <t>傳真</t>
        </is>
      </c>
      <c r="L19" s="587">
        <f>輸入!$T$22</f>
        <v/>
      </c>
      <c r="M19" s="577" t="n"/>
      <c r="N19" s="577" t="n"/>
      <c r="O19" s="574" t="n"/>
      <c r="P19" s="1195" t="n"/>
    </row>
    <row r="20" ht="18.75" customHeight="1" s="680">
      <c r="B20" s="1195" t="n"/>
      <c r="C20" s="777" t="inlineStr">
        <is>
          <t>傳真通知法扶時間</t>
        </is>
      </c>
      <c r="D20" s="577" t="n"/>
      <c r="E20" s="574" t="n"/>
      <c r="F20" s="765">
        <f>IF(OR(輸入!$C$2="通緝",輸入!$C$2="公共危險",輸入!$C$2=調閱用!$K$1),CONCATENATE(LEFT(下拉用!$J$10,10),"     時     分"),CONCATENATE(下拉用!$J$10))</f>
        <v/>
      </c>
      <c r="G20" s="577" t="n"/>
      <c r="H20" s="577" t="n"/>
      <c r="I20" s="577" t="n"/>
      <c r="J20" s="577" t="n"/>
      <c r="K20" s="577" t="n"/>
      <c r="L20" s="577" t="n"/>
      <c r="M20" s="577" t="n"/>
      <c r="N20" s="577" t="n"/>
      <c r="O20" s="574" t="n"/>
      <c r="P20" s="1195" t="n"/>
    </row>
    <row r="21" ht="36.75" customHeight="1" s="680">
      <c r="B21" s="1195" t="n"/>
      <c r="C21" s="1244" t="inlineStr">
        <is>
          <t>表單下載</t>
        </is>
      </c>
      <c r="D21" s="574" t="n"/>
      <c r="E21" s="1228" t="inlineStr">
        <is>
          <t>法扶會官網（http://www.laf.org.tw）下載路徑：下載專區&gt;&gt;檢警專案。
傳真後請致電客服中心，確認是否收到，謝謝。</t>
        </is>
      </c>
      <c r="F21" s="577" t="n"/>
      <c r="G21" s="577" t="n"/>
      <c r="H21" s="577" t="n"/>
      <c r="I21" s="577" t="n"/>
      <c r="J21" s="577" t="n"/>
      <c r="K21" s="577" t="n"/>
      <c r="L21" s="577" t="n"/>
      <c r="M21" s="577" t="n"/>
      <c r="N21" s="577" t="n"/>
      <c r="O21" s="574" t="n"/>
      <c r="P21" s="1195" t="n"/>
    </row>
    <row r="22" ht="19.5" customHeight="1" s="680">
      <c r="B22" s="401" t="inlineStr">
        <is>
          <t xml:space="preserve"> </t>
        </is>
      </c>
      <c r="C22" s="401" t="n"/>
      <c r="D22" s="401" t="n"/>
      <c r="E22" s="401" t="n"/>
      <c r="F22" s="401" t="n"/>
      <c r="G22" s="406" t="n"/>
      <c r="H22" s="1241" t="inlineStr">
        <is>
          <t>以下欄位由法扶客服中心填寫</t>
        </is>
      </c>
      <c r="I22" s="577" t="n"/>
      <c r="J22" s="577" t="n"/>
      <c r="K22" s="577" t="n"/>
      <c r="L22" s="577" t="n"/>
      <c r="M22" s="577" t="n"/>
      <c r="N22" s="401" t="n"/>
      <c r="O22" s="401" t="n"/>
      <c r="P22" s="401" t="n"/>
    </row>
    <row r="23" ht="29.25" customHeight="1" s="680">
      <c r="C23" s="794" t="inlineStr">
        <is>
          <t>是否指派律師</t>
        </is>
      </c>
      <c r="D23" s="580" t="n"/>
      <c r="E23" s="581" t="n"/>
      <c r="F23" s="798" t="inlineStr">
        <is>
          <t xml:space="preserve"> □是 □否，原因：□不符合身分別   □無律師可前往   □其他：</t>
        </is>
      </c>
      <c r="G23" s="580" t="n"/>
      <c r="H23" s="580" t="n"/>
      <c r="I23" s="580" t="n"/>
      <c r="J23" s="580" t="n"/>
      <c r="K23" s="580" t="n"/>
      <c r="L23" s="580" t="n"/>
      <c r="M23" s="580" t="n"/>
      <c r="N23" s="580" t="n"/>
      <c r="O23" s="581" t="n"/>
    </row>
    <row r="24" ht="38.25" customHeight="1" s="680">
      <c r="C24" s="777" t="inlineStr">
        <is>
          <t>律師預計到場時間</t>
        </is>
      </c>
      <c r="D24" s="577" t="n"/>
      <c r="E24" s="574" t="n"/>
      <c r="F24" s="783" t="inlineStr">
        <is>
          <t xml:space="preserve">　　　　年　　　　月　　　　日　　　　時　　　　分（24小時制）</t>
        </is>
      </c>
      <c r="G24" s="577" t="n"/>
      <c r="H24" s="577" t="n"/>
      <c r="I24" s="577" t="n"/>
      <c r="J24" s="577" t="n"/>
      <c r="K24" s="577" t="n"/>
      <c r="L24" s="577" t="n"/>
      <c r="M24" s="577" t="n"/>
      <c r="N24" s="577" t="n"/>
      <c r="O24" s="574" t="n"/>
    </row>
    <row r="25" ht="21.75" customHeight="1" s="680">
      <c r="C25" s="777" t="inlineStr">
        <is>
          <t>陪訊律師姓名</t>
        </is>
      </c>
      <c r="D25" s="577" t="n"/>
      <c r="E25" s="574" t="n"/>
      <c r="F25" s="573" t="n"/>
      <c r="G25" s="577" t="n"/>
      <c r="H25" s="577" t="n"/>
      <c r="I25" s="577" t="n"/>
      <c r="J25" s="574" t="n"/>
      <c r="K25" s="777" t="inlineStr">
        <is>
          <t>陪訊律師電話</t>
        </is>
      </c>
      <c r="L25" s="574" t="n"/>
      <c r="M25" s="587" t="n"/>
      <c r="N25" s="577" t="n"/>
      <c r="O25" s="574" t="n"/>
    </row>
    <row r="26" ht="21" customHeight="1" s="680">
      <c r="C26" s="777" t="inlineStr">
        <is>
          <t>客服中心承辦人</t>
        </is>
      </c>
      <c r="D26" s="580" t="n"/>
      <c r="E26" s="581" t="n"/>
      <c r="F26" s="1236" t="n"/>
      <c r="J26" s="611" t="n"/>
      <c r="K26" s="777" t="inlineStr">
        <is>
          <t>電話</t>
        </is>
      </c>
      <c r="L26" s="574" t="n"/>
      <c r="M26" s="1238" t="inlineStr">
        <is>
          <t>02-2559-2119</t>
        </is>
      </c>
      <c r="N26" s="577" t="n"/>
      <c r="O26" s="574" t="n"/>
    </row>
    <row r="27" ht="21" customHeight="1" s="680">
      <c r="C27" s="582" t="n"/>
      <c r="D27" s="583" t="n"/>
      <c r="E27" s="584" t="n"/>
      <c r="F27" s="582" t="n"/>
      <c r="G27" s="583" t="n"/>
      <c r="H27" s="583" t="n"/>
      <c r="I27" s="583" t="n"/>
      <c r="J27" s="584" t="n"/>
      <c r="K27" s="777" t="inlineStr">
        <is>
          <t>傳真</t>
        </is>
      </c>
      <c r="L27" s="574" t="n"/>
      <c r="M27" s="1238" t="inlineStr">
        <is>
          <t>02-2322-5587</t>
        </is>
      </c>
      <c r="N27" s="577" t="n"/>
      <c r="O27" s="574" t="n"/>
    </row>
    <row r="28" ht="21" customHeight="1" s="680">
      <c r="C28" s="777" t="inlineStr">
        <is>
          <t>回傳通報機關時間</t>
        </is>
      </c>
      <c r="D28" s="577" t="n"/>
      <c r="E28" s="574" t="n"/>
      <c r="F28" s="765" t="inlineStr">
        <is>
          <t xml:space="preserve">　　　　年　　　　月　　　　日　　　　時　　　　分（24小時制）</t>
        </is>
      </c>
      <c r="G28" s="577" t="n"/>
      <c r="H28" s="577" t="n"/>
      <c r="I28" s="577" t="n"/>
      <c r="J28" s="577" t="n"/>
      <c r="K28" s="577" t="n"/>
      <c r="L28" s="577" t="n"/>
      <c r="M28" s="577" t="n"/>
      <c r="N28" s="577" t="n"/>
      <c r="O28" s="574" t="n"/>
    </row>
  </sheetData>
  <mergeCells count="58">
    <mergeCell ref="F28:O28"/>
    <mergeCell ref="F26:J27"/>
    <mergeCell ref="E3:O3"/>
    <mergeCell ref="K25:L25"/>
    <mergeCell ref="F5:H5"/>
    <mergeCell ref="B11:C16"/>
    <mergeCell ref="I6:J8"/>
    <mergeCell ref="E21:O21"/>
    <mergeCell ref="G13:L13"/>
    <mergeCell ref="F25:J25"/>
    <mergeCell ref="F8:H8"/>
    <mergeCell ref="M25:O25"/>
    <mergeCell ref="K5:O5"/>
    <mergeCell ref="M13:N16"/>
    <mergeCell ref="B17:P17"/>
    <mergeCell ref="K26:L26"/>
    <mergeCell ref="G15:L15"/>
    <mergeCell ref="C18:E19"/>
    <mergeCell ref="M27:O27"/>
    <mergeCell ref="E4:O4"/>
    <mergeCell ref="G14:L14"/>
    <mergeCell ref="C23:E23"/>
    <mergeCell ref="H22:M22"/>
    <mergeCell ref="C8:E8"/>
    <mergeCell ref="M26:O26"/>
    <mergeCell ref="C7:E7"/>
    <mergeCell ref="D11:F12"/>
    <mergeCell ref="L19:O19"/>
    <mergeCell ref="C28:E28"/>
    <mergeCell ref="C21:D21"/>
    <mergeCell ref="C26:E27"/>
    <mergeCell ref="G16:L16"/>
    <mergeCell ref="K8:O8"/>
    <mergeCell ref="O15:P16"/>
    <mergeCell ref="K6:O7"/>
    <mergeCell ref="K27:L27"/>
    <mergeCell ref="I5:J5"/>
    <mergeCell ref="E2:O2"/>
    <mergeCell ref="B2:B4"/>
    <mergeCell ref="F24:O24"/>
    <mergeCell ref="C1:O1"/>
    <mergeCell ref="F20:O20"/>
    <mergeCell ref="L18:O18"/>
    <mergeCell ref="C10:O10"/>
    <mergeCell ref="P2:P4"/>
    <mergeCell ref="C6:E6"/>
    <mergeCell ref="C24:E24"/>
    <mergeCell ref="C2:D4"/>
    <mergeCell ref="F6:H6"/>
    <mergeCell ref="C5:E5"/>
    <mergeCell ref="C9:O9"/>
    <mergeCell ref="F23:O23"/>
    <mergeCell ref="D13:F16"/>
    <mergeCell ref="F18:J19"/>
    <mergeCell ref="F7:H7"/>
    <mergeCell ref="C20:E20"/>
    <mergeCell ref="G11:P12"/>
    <mergeCell ref="C25:E25"/>
  </mergeCells>
  <pageMargins left="0.2362204724409449" right="0.2362204724409449" top="0.7480314960629921" bottom="0.7480314960629921" header="0.3149606299212598" footer="0.3149606299212598"/>
  <pageSetup orientation="portrait" paperSize="9" scale="93"/>
</worksheet>
</file>

<file path=xl/worksheets/sheet45.xml><?xml version="1.0" encoding="utf-8"?>
<worksheet xmlns="http://schemas.openxmlformats.org/spreadsheetml/2006/main">
  <sheetPr codeName="工作表7">
    <tabColor rgb="FFFFC000"/>
    <outlinePr summaryBelow="1" summaryRight="1"/>
    <pageSetUpPr/>
  </sheetPr>
  <dimension ref="A1:F27"/>
  <sheetViews>
    <sheetView view="pageBreakPreview" zoomScale="85" zoomScaleNormal="100" zoomScaleSheetLayoutView="85" workbookViewId="0">
      <selection activeCell="A11" sqref="A11:F13"/>
    </sheetView>
  </sheetViews>
  <sheetFormatPr baseColWidth="8" defaultRowHeight="16.5"/>
  <cols>
    <col width="25.25" customWidth="1" style="680" min="1" max="1"/>
    <col width="6.125" customWidth="1" style="680" min="2" max="3"/>
    <col width="19.25" customWidth="1" style="680" min="4" max="4"/>
    <col width="16.125" customWidth="1" style="680" min="5" max="5"/>
    <col width="14.5" customWidth="1" style="680" min="6" max="6"/>
    <col width="2.75" customWidth="1" style="680" min="7" max="62"/>
  </cols>
  <sheetData>
    <row r="1" ht="30" customHeight="1" s="680" thickBot="1">
      <c r="A1" s="856" t="inlineStr">
        <is>
          <t>贓物認領保管單</t>
        </is>
      </c>
      <c r="B1" s="850" t="n"/>
      <c r="C1" s="850" t="n"/>
      <c r="D1" s="850" t="n"/>
      <c r="E1" s="850" t="n"/>
      <c r="F1" s="850" t="n"/>
    </row>
    <row r="2" ht="21" customHeight="1" s="680" thickBot="1" thickTop="1">
      <c r="A2" s="65" t="inlineStr">
        <is>
          <t>品名</t>
        </is>
      </c>
      <c r="B2" s="64" t="inlineStr">
        <is>
          <t>單位</t>
        </is>
      </c>
      <c r="C2" s="64" t="inlineStr">
        <is>
          <t>數量</t>
        </is>
      </c>
      <c r="D2" s="64" t="inlineStr">
        <is>
          <t>規格</t>
        </is>
      </c>
      <c r="E2" s="64" t="inlineStr">
        <is>
          <t>特徵</t>
        </is>
      </c>
      <c r="F2" s="63" t="inlineStr">
        <is>
          <t>備考</t>
        </is>
      </c>
    </row>
    <row r="3" ht="41.25" customHeight="1" s="680" thickBot="1" thickTop="1">
      <c r="A3" s="62" t="n"/>
      <c r="B3" s="61" t="n"/>
      <c r="C3" s="61" t="n"/>
      <c r="D3" s="61" t="n"/>
      <c r="E3" s="60" t="n"/>
      <c r="F3" s="57" t="n"/>
    </row>
    <row r="4" ht="41.25" customHeight="1" s="680" thickBot="1" thickTop="1">
      <c r="A4" s="59" t="n"/>
      <c r="B4" s="58" t="n"/>
      <c r="C4" s="58" t="n"/>
      <c r="D4" s="58" t="n"/>
      <c r="E4" s="58" t="n"/>
      <c r="F4" s="57" t="n"/>
    </row>
    <row r="5" ht="41.25" customHeight="1" s="680" thickBot="1" thickTop="1">
      <c r="A5" s="59" t="n"/>
      <c r="B5" s="58" t="n"/>
      <c r="C5" s="58" t="n"/>
      <c r="D5" s="58" t="n"/>
      <c r="E5" s="58" t="n"/>
      <c r="F5" s="57" t="n"/>
    </row>
    <row r="6" ht="41.25" customHeight="1" s="680" thickBot="1" thickTop="1">
      <c r="A6" s="59" t="n"/>
      <c r="B6" s="58" t="n"/>
      <c r="C6" s="58" t="n"/>
      <c r="D6" s="58" t="n"/>
      <c r="E6" s="58" t="n"/>
      <c r="F6" s="57" t="n"/>
    </row>
    <row r="7" ht="41.25" customHeight="1" s="680" thickBot="1" thickTop="1">
      <c r="A7" s="59" t="n"/>
      <c r="B7" s="58" t="n"/>
      <c r="C7" s="58" t="n"/>
      <c r="D7" s="58" t="n"/>
      <c r="E7" s="58" t="n"/>
      <c r="F7" s="57" t="n"/>
    </row>
    <row r="8" ht="41.25" customHeight="1" s="680" thickBot="1" thickTop="1">
      <c r="A8" s="59" t="n"/>
      <c r="B8" s="58" t="n"/>
      <c r="C8" s="58" t="n"/>
      <c r="D8" s="58" t="n"/>
      <c r="E8" s="58" t="n"/>
      <c r="F8" s="57" t="n"/>
    </row>
    <row r="9" ht="41.25" customHeight="1" s="680" thickBot="1" thickTop="1">
      <c r="A9" s="59" t="n"/>
      <c r="B9" s="58" t="n"/>
      <c r="C9" s="58" t="n"/>
      <c r="D9" s="58" t="n"/>
      <c r="E9" s="58" t="n"/>
      <c r="F9" s="57" t="n"/>
    </row>
    <row r="10" ht="8.25" customHeight="1" s="680" thickTop="1">
      <c r="A10" s="56" t="n"/>
      <c r="B10" s="56" t="n"/>
      <c r="C10" s="56" t="n"/>
      <c r="D10" s="56" t="n"/>
      <c r="E10" s="56" t="n"/>
      <c r="F10" s="56" t="n"/>
    </row>
    <row r="11" ht="23.25" customHeight="1" s="680">
      <c r="A11" s="857">
        <f>CONCATENATE("上列物品係本人於民國",下拉用!$J$4,"在",輸入!$C$7,"遭",呈報單!$G$15,"，於報案後經貴單位查(破)獲並經本人認明相符，蒙將遭",呈報單!$G$15,"之物品發還具領保管，如有冒領情事願負法律責任。（貴重物品附保證人蓋章及",呈報單!$G$15,"報案證明）")</f>
        <v/>
      </c>
    </row>
    <row r="12" ht="23.25" customHeight="1" s="680"/>
    <row r="13" ht="23.25" customHeight="1" s="680"/>
    <row r="14" ht="12" customHeight="1" s="680">
      <c r="A14" s="857" t="n"/>
      <c r="B14" s="857" t="n"/>
      <c r="C14" s="857" t="n"/>
      <c r="D14" s="857" t="n"/>
      <c r="E14" s="857" t="n"/>
      <c r="F14" s="857" t="n"/>
    </row>
    <row r="15" ht="23.25" customHeight="1" s="680">
      <c r="A15" s="52" t="inlineStr">
        <is>
          <t>此    致</t>
        </is>
      </c>
    </row>
    <row r="16" ht="33" customHeight="1" s="680">
      <c r="A16" s="53">
        <f>CONCATENATE(輸入!$S$18,輸入!$T$18,輸入!$S$19,輸入!$T$19)</f>
        <v/>
      </c>
    </row>
    <row r="17" ht="30" customHeight="1" s="680">
      <c r="A17" s="52" t="inlineStr">
        <is>
          <t xml:space="preserve">           具領人：</t>
        </is>
      </c>
      <c r="B17" s="52" t="n"/>
      <c r="C17" s="52" t="n"/>
      <c r="D17" s="52" t="inlineStr">
        <is>
          <t>職業：</t>
        </is>
      </c>
      <c r="E17" s="52" t="n"/>
      <c r="F17" s="52" t="n"/>
    </row>
    <row r="18" ht="30" customHeight="1" s="680">
      <c r="A18" s="858" t="inlineStr">
        <is>
          <t xml:space="preserve">           出生年月日：</t>
        </is>
      </c>
      <c r="B18" s="858" t="n"/>
      <c r="C18" s="858" t="n"/>
      <c r="D18" s="858" t="n"/>
      <c r="E18" s="858" t="n"/>
      <c r="F18" s="858" t="n"/>
    </row>
    <row r="19" ht="30" customHeight="1" s="680">
      <c r="A19" s="52" t="inlineStr">
        <is>
          <t xml:space="preserve">           身分証號碼：</t>
        </is>
      </c>
    </row>
    <row r="20" ht="30" customHeight="1" s="680">
      <c r="A20" s="858" t="inlineStr">
        <is>
          <t xml:space="preserve">           住址：</t>
        </is>
      </c>
    </row>
    <row r="21" ht="30" customHeight="1" s="680">
      <c r="A21" s="55" t="n"/>
    </row>
    <row r="22" ht="30" customHeight="1" s="680">
      <c r="A22" s="52" t="inlineStr">
        <is>
          <t xml:space="preserve">　　　　　　保證人：　　　　　　</t>
        </is>
      </c>
      <c r="B22" s="67" t="n"/>
      <c r="C22" s="67" t="n"/>
      <c r="D22" s="52" t="inlineStr">
        <is>
          <t>商號名稱：</t>
        </is>
      </c>
    </row>
    <row r="23" ht="30" customHeight="1" s="680">
      <c r="A23" s="66" t="inlineStr">
        <is>
          <t xml:space="preserve">　　　　　　姓名：                           </t>
        </is>
      </c>
      <c r="B23" s="67" t="n"/>
      <c r="C23" s="67" t="n"/>
      <c r="D23" s="52" t="inlineStr">
        <is>
          <t>聯絡電話：</t>
        </is>
      </c>
    </row>
    <row r="24" ht="30" customHeight="1" s="680">
      <c r="A24" s="52" t="inlineStr">
        <is>
          <t xml:space="preserve">　　　　　　住址：</t>
        </is>
      </c>
      <c r="B24" s="67" t="n"/>
      <c r="C24" s="67" t="n"/>
      <c r="D24" s="67" t="n"/>
    </row>
    <row r="25" ht="22.5" customHeight="1" s="680">
      <c r="A25" s="54" t="n"/>
    </row>
    <row r="26" ht="18.75" customHeight="1" s="680">
      <c r="A26" s="54" t="n"/>
    </row>
    <row r="27" ht="25.5" customHeight="1" s="680">
      <c r="A27" s="53" t="inlineStr">
        <is>
          <t>中  華  民  國　　　　年　　　　月　　　　日</t>
        </is>
      </c>
    </row>
  </sheetData>
  <mergeCells count="2">
    <mergeCell ref="A11:F13"/>
    <mergeCell ref="A1:F1"/>
  </mergeCells>
  <pageMargins left="0.7" right="0.7" top="0.75" bottom="0.75" header="0.3" footer="0.3"/>
  <pageSetup orientation="portrait" paperSize="9" scale="95"/>
</worksheet>
</file>

<file path=xl/worksheets/sheet46.xml><?xml version="1.0" encoding="utf-8"?>
<worksheet xmlns="http://schemas.openxmlformats.org/spreadsheetml/2006/main">
  <sheetPr codeName="工作表40">
    <tabColor theme="9" tint="-0.499984740745262"/>
    <outlinePr summaryBelow="1" summaryRight="1"/>
    <pageSetUpPr/>
  </sheetPr>
  <dimension ref="A1:K9"/>
  <sheetViews>
    <sheetView view="pageBreakPreview" zoomScale="85" zoomScaleNormal="100" zoomScaleSheetLayoutView="85" zoomScalePageLayoutView="55" workbookViewId="0">
      <selection activeCell="B4" sqref="B4:K4"/>
    </sheetView>
  </sheetViews>
  <sheetFormatPr baseColWidth="8" defaultRowHeight="16.5"/>
  <cols>
    <col width="8.375" customWidth="1" style="592" min="1" max="1"/>
    <col width="17.375" customWidth="1" style="592" min="2" max="2"/>
    <col width="6.625" customWidth="1" style="592" min="3" max="3"/>
    <col width="5.75" customWidth="1" style="592" min="4" max="4"/>
    <col width="7" customWidth="1" style="592" min="5" max="5"/>
    <col width="1.5" customWidth="1" style="592" min="6" max="6"/>
    <col width="5.5" customWidth="1" style="592" min="7" max="7"/>
    <col width="6.125" customWidth="1" style="592" min="8" max="8"/>
    <col width="2.25" customWidth="1" style="592" min="9" max="9"/>
    <col width="4.375" customWidth="1" style="592" min="10" max="10"/>
    <col width="19" customWidth="1" style="592" min="11" max="11"/>
    <col width="9" customWidth="1" style="592" min="12" max="12"/>
    <col width="9" customWidth="1" style="592" min="13" max="16384"/>
  </cols>
  <sheetData>
    <row r="1" ht="25.5" customHeight="1" s="680">
      <c r="A1" s="1251">
        <f>CONCATENATE(,輸入!S18,輸入!T18,輸入!S19,輸入!T19,"執行勤務績效獎勵金申請陳報單")</f>
        <v/>
      </c>
      <c r="B1" s="721" t="n"/>
      <c r="C1" s="721" t="n"/>
      <c r="D1" s="721" t="n"/>
      <c r="E1" s="721" t="n"/>
      <c r="F1" s="721" t="n"/>
      <c r="G1" s="721" t="n"/>
      <c r="H1" s="371" t="inlineStr">
        <is>
          <t>日期：</t>
        </is>
      </c>
      <c r="I1" s="287" t="n"/>
      <c r="J1" s="1336">
        <f>LEFT(呈報單!$G$13,10)</f>
        <v/>
      </c>
      <c r="K1" s="1255" t="n"/>
    </row>
    <row r="2" ht="25.5" customHeight="1" s="680">
      <c r="A2" s="731" t="n"/>
      <c r="H2" s="1249" t="inlineStr">
        <is>
          <t>所長核章：</t>
        </is>
      </c>
      <c r="I2" s="577" t="n"/>
      <c r="J2" s="577" t="n"/>
      <c r="K2" s="1250" t="n"/>
    </row>
    <row r="3" ht="32.25" customHeight="1" s="680">
      <c r="A3" s="372" t="inlineStr">
        <is>
          <t>單位</t>
        </is>
      </c>
      <c r="B3" s="692">
        <f>CONCATENATE(輸入!$S$20,"所")</f>
        <v/>
      </c>
      <c r="C3" s="692" t="inlineStr">
        <is>
          <t>職別</t>
        </is>
      </c>
      <c r="D3" s="692" t="inlineStr">
        <is>
          <t>警員</t>
        </is>
      </c>
      <c r="E3" s="574" t="n"/>
      <c r="F3" s="691" t="inlineStr">
        <is>
          <t>姓名</t>
        </is>
      </c>
      <c r="G3" s="577" t="n"/>
      <c r="H3" s="1253">
        <f>輸入!$O$8</f>
        <v/>
      </c>
      <c r="I3" s="577" t="n"/>
      <c r="J3" s="577" t="n"/>
      <c r="K3" s="1250" t="n"/>
    </row>
    <row r="4" ht="366" customHeight="1" s="680">
      <c r="A4" s="373" t="inlineStr">
        <is>
          <t>優良具體事蹟</t>
        </is>
      </c>
      <c r="B4" s="1252">
        <f>CONCATENATE("    本所警員",輸入!$O$8,"執行勤務時，於",IF(ISBLANK(輸入!$C$11),下拉用!$J$13,下拉用!$J$5),"查獲",word用!$H$2,呈報單!$G$15,"案乙件，全案移送偵查隊處理。",輸入!$O$8,"員等人積極緝捕，獲致績效，陳報鈞長頒發績效獎勵金以資鼓勵。")</f>
        <v/>
      </c>
      <c r="C4" s="577" t="n"/>
      <c r="D4" s="577" t="n"/>
      <c r="E4" s="577" t="n"/>
      <c r="F4" s="577" t="n"/>
      <c r="G4" s="577" t="n"/>
      <c r="H4" s="577" t="n"/>
      <c r="I4" s="577" t="n"/>
      <c r="J4" s="577" t="n"/>
      <c r="K4" s="1250" t="n"/>
    </row>
    <row r="5" ht="55.5" customHeight="1" s="680">
      <c r="A5" s="374" t="inlineStr">
        <is>
          <t>隨附事證</t>
        </is>
      </c>
      <c r="B5" s="1249" t="inlineStr">
        <is>
          <t>刑案陳報單、移送書</t>
        </is>
      </c>
      <c r="C5" s="577" t="n"/>
      <c r="D5" s="577" t="n"/>
      <c r="E5" s="577" t="n"/>
      <c r="F5" s="577" t="n"/>
      <c r="G5" s="577" t="n"/>
      <c r="H5" s="577" t="n"/>
      <c r="I5" s="577" t="n"/>
      <c r="J5" s="577" t="n"/>
      <c r="K5" s="1250" t="n"/>
    </row>
    <row r="6" ht="70.5" customHeight="1" s="680">
      <c r="A6" s="376" t="inlineStr">
        <is>
          <t>擬辦</t>
        </is>
      </c>
      <c r="B6" s="169" t="n"/>
      <c r="C6" s="369" t="n"/>
      <c r="D6" s="369" t="n"/>
      <c r="E6" s="369" t="n"/>
      <c r="F6" s="369" t="n"/>
      <c r="G6" s="369" t="n"/>
      <c r="H6" s="369" t="n"/>
      <c r="I6" s="369" t="n"/>
      <c r="J6" s="369" t="n"/>
      <c r="K6" s="375" t="n"/>
    </row>
    <row r="7" ht="24.75" customHeight="1" s="680">
      <c r="A7" s="377" t="inlineStr">
        <is>
          <t>會辦</t>
        </is>
      </c>
      <c r="B7" s="269" t="n"/>
      <c r="C7" s="50" t="n"/>
      <c r="D7" s="50" t="n"/>
      <c r="E7" s="50" t="n"/>
      <c r="F7" s="50" t="n"/>
      <c r="G7" s="50" t="n"/>
      <c r="H7" s="50" t="n"/>
      <c r="I7" s="50" t="n"/>
      <c r="J7" s="50" t="n"/>
      <c r="K7" s="351" t="n"/>
    </row>
    <row r="8" ht="45.75" customHeight="1" s="680">
      <c r="A8" s="378" t="inlineStr">
        <is>
          <t>（督察組查證）</t>
        </is>
      </c>
      <c r="B8" s="370" t="n"/>
      <c r="C8" s="49" t="n"/>
      <c r="D8" s="49" t="n"/>
      <c r="E8" s="49" t="n"/>
      <c r="F8" s="49" t="n"/>
      <c r="G8" s="49" t="n"/>
      <c r="H8" s="49" t="n"/>
      <c r="I8" s="49" t="n"/>
      <c r="J8" s="49" t="n"/>
      <c r="K8" s="379" t="n"/>
    </row>
    <row r="9" ht="70.5" customHeight="1" s="680" thickBot="1">
      <c r="A9" s="380" t="inlineStr">
        <is>
          <t>批示</t>
        </is>
      </c>
      <c r="B9" s="381" t="n"/>
      <c r="C9" s="382" t="n"/>
      <c r="D9" s="382" t="n"/>
      <c r="E9" s="382" t="n"/>
      <c r="F9" s="382" t="n"/>
      <c r="G9" s="382" t="n"/>
      <c r="H9" s="382" t="n"/>
      <c r="I9" s="382" t="n"/>
      <c r="J9" s="382" t="n"/>
      <c r="K9" s="383" t="n"/>
    </row>
  </sheetData>
  <mergeCells count="8">
    <mergeCell ref="F3:G3"/>
    <mergeCell ref="A1:G2"/>
    <mergeCell ref="B4:K4"/>
    <mergeCell ref="H3:K3"/>
    <mergeCell ref="H2:K2"/>
    <mergeCell ref="J1:K1"/>
    <mergeCell ref="D3:E3"/>
    <mergeCell ref="B5:K5"/>
  </mergeCells>
  <printOptions horizontalCentered="1"/>
  <pageMargins left="0.7480314960629921" right="0.7480314960629921" top="1.338582677165354" bottom="0.7480314960629921" header="0.3149606299212598" footer="0.3149606299212598"/>
  <pageSetup orientation="portrait" paperSize="9"/>
</worksheet>
</file>

<file path=xl/worksheets/sheet47.xml><?xml version="1.0" encoding="utf-8"?>
<worksheet xmlns="http://schemas.openxmlformats.org/spreadsheetml/2006/main">
  <sheetPr codeName="工作表52">
    <outlinePr summaryBelow="1" summaryRight="1"/>
    <pageSetUpPr/>
  </sheetPr>
  <dimension ref="A1:AA39"/>
  <sheetViews>
    <sheetView tabSelected="1" workbookViewId="0">
      <selection activeCell="A8" sqref="A8"/>
    </sheetView>
  </sheetViews>
  <sheetFormatPr baseColWidth="8" defaultRowHeight="30" customHeight="1"/>
  <cols>
    <col width="17.5" customWidth="1" style="33" min="1" max="1"/>
    <col width="12" customWidth="1" style="33" min="2" max="2"/>
    <col width="9" customWidth="1" style="33" min="3" max="7"/>
    <col width="12.375" customWidth="1" style="33" min="8" max="8"/>
    <col width="9" customWidth="1" style="33" min="9" max="10"/>
    <col width="10.375" customWidth="1" style="33" min="11" max="11"/>
    <col width="9" customWidth="1" style="33" min="12" max="12"/>
    <col width="9" customWidth="1" style="33" min="13" max="16384"/>
    <col width="55" customWidth="1" style="680" min="20" max="20"/>
    <col width="55" customWidth="1" style="680" min="21" max="21"/>
    <col width="55" customWidth="1" style="680" min="22" max="22"/>
    <col width="55" customWidth="1" style="680" min="23" max="23"/>
    <col width="55" customWidth="1" style="680" min="24" max="24"/>
    <col width="55" customWidth="1" style="680" min="25" max="25"/>
    <col width="55" customWidth="1" style="680" min="26" max="26"/>
    <col width="55" customWidth="1" style="680" min="27" max="27"/>
  </cols>
  <sheetData>
    <row r="1" ht="38.25" customHeight="1" s="680">
      <c r="A1" s="407" t="inlineStr">
        <is>
          <t>被害人通用</t>
        </is>
      </c>
      <c r="B1" s="408" t="inlineStr">
        <is>
          <t>過失傷害</t>
        </is>
      </c>
      <c r="C1" s="408" t="inlineStr">
        <is>
          <t>傷害</t>
        </is>
      </c>
      <c r="D1" s="408" t="inlineStr">
        <is>
          <t>竊盜</t>
        </is>
      </c>
      <c r="E1" s="408" t="inlineStr">
        <is>
          <t>侵占</t>
        </is>
      </c>
      <c r="F1" s="408" t="inlineStr">
        <is>
          <t>毀損</t>
        </is>
      </c>
      <c r="G1" s="408" t="inlineStr">
        <is>
          <t>妨害電腦使用</t>
        </is>
      </c>
      <c r="H1" s="408" t="inlineStr">
        <is>
          <t>妨害名譽</t>
        </is>
      </c>
      <c r="I1" s="408" t="inlineStr">
        <is>
          <t>恐嚇</t>
        </is>
      </c>
      <c r="J1" s="408" t="inlineStr">
        <is>
          <t>過失傷害</t>
        </is>
      </c>
      <c r="K1" s="408" t="inlineStr">
        <is>
          <t>違反保護令</t>
        </is>
      </c>
      <c r="L1" s="599" t="inlineStr">
        <is>
          <t>妨害自由</t>
        </is>
      </c>
      <c r="M1" s="33" t="inlineStr">
        <is>
          <t>偽造文書</t>
        </is>
      </c>
      <c r="N1" s="33" t="inlineStr">
        <is>
          <t>跟蹤騷擾</t>
        </is>
      </c>
      <c r="O1" s="33" t="inlineStr">
        <is>
          <t>誣告</t>
        </is>
      </c>
      <c r="P1" s="780" t="inlineStr">
        <is>
          <t>詐欺</t>
        </is>
      </c>
      <c r="Q1" s="780" t="inlineStr">
        <is>
          <t>性騷擾</t>
        </is>
      </c>
      <c r="R1" s="780" t="inlineStr">
        <is>
          <t>聲請保護令</t>
        </is>
      </c>
      <c r="S1" s="780" t="inlineStr">
        <is>
          <t>妨害性隱私</t>
        </is>
      </c>
      <c r="T1" s="1337" t="inlineStr">
        <is>
          <t>AI_妨害性自主</t>
        </is>
      </c>
      <c r="U1" s="1337" t="inlineStr">
        <is>
          <t>AI_兒少性剝削</t>
        </is>
      </c>
      <c r="V1" s="1337" t="inlineStr">
        <is>
          <t>AI_圖利賄賂</t>
        </is>
      </c>
      <c r="W1" s="1337" t="inlineStr">
        <is>
          <t>AI_少年事件</t>
        </is>
      </c>
      <c r="X1" s="1337" t="inlineStr">
        <is>
          <t>AI_賭博</t>
        </is>
      </c>
      <c r="Y1" s="1337" t="inlineStr">
        <is>
          <t>AI_公然猥褻</t>
        </is>
      </c>
      <c r="Z1" s="1337" t="inlineStr">
        <is>
          <t>AI_槍砲</t>
        </is>
      </c>
      <c r="AA1" s="1337" t="inlineStr">
        <is>
          <t>AI_毒品危害</t>
        </is>
      </c>
    </row>
    <row r="2" ht="30" customHeight="1" s="680">
      <c r="A2" s="250">
        <f>CONCATENATE("你今(",MID(輸入!$C$10,6,2),")日因何事接受警方製作筆錄？")</f>
        <v/>
      </c>
      <c r="B2" s="409" t="inlineStr">
        <is>
          <t>你於何時、何地與何人發生車禍？如何發生車禍(雙方所駕駛之車輛當時狀態？行進方向？當時發現對方車輛時雙方相距約幾公尺？採取何種反應措施？發生碰撞前時速約達每小時幾公里？發生碰撞前、時速度為何？交通號誌為何？)？</t>
        </is>
      </c>
      <c r="C2" s="409" t="inlineStr">
        <is>
          <t>你於何時、何地如何遭人傷害？因何事與對方起爭執？他為何要傷害你？請詳述案發經過。</t>
        </is>
      </c>
      <c r="D2" s="409" t="inlineStr">
        <is>
          <t>你於何時、何地如何發現你的財物遭何人竊取？該竊嫌竊取物品時的裝扮、特徵？如何竊取？過程為何？遭竊取的財物為何？數量為何？價值多少？請詳述之。</t>
        </is>
      </c>
      <c r="E2" s="409" t="inlineStr">
        <is>
          <t>妳是於何時、何地，遭何人侵占？請問你為何將該物放置於此？該人是如何侵占你的物品？請詳述之。</t>
        </is>
      </c>
      <c r="F2" s="258" t="inlineStr">
        <is>
          <t>你是何時、何地、以何方式，發現你的物品遭毀損？請詳述之。</t>
        </is>
      </c>
      <c r="G2" s="258" t="inlineStr">
        <is>
          <t>你居住地址為何？你的公司是？你公司的位置為何？電子郵件為何？</t>
        </is>
      </c>
      <c r="H2" s="258" t="inlineStr">
        <is>
          <t>你於何時、何地、如何遭人妨害名譽？請詳述案發經過。</t>
        </is>
      </c>
      <c r="I2" s="258" t="inlineStr">
        <is>
          <t>你於何時？何地？遭何人恐嚇？</t>
        </is>
      </c>
      <c r="J2" s="409" t="inlineStr">
        <is>
          <t>你於何時、何地與何人發生車禍？如何發生車禍(雙方所駕駛之車輛當時狀態？行進方向？當時發現對方車輛時雙方相距約幾公尺？採取何種反應措施？發生碰撞前時速約達每小時幾公里？發生碰撞前、時速度為何？交通號誌為何？)？</t>
        </is>
      </c>
      <c r="K2" s="258" t="inlineStr">
        <is>
          <t>你所申請保護令的主文為何？發文日期為何？其文號為何？</t>
        </is>
      </c>
      <c r="L2" s="33" t="inlineStr">
        <is>
          <t>上記年籍資料是否正確？目前從事何業？有無前科？</t>
        </is>
      </c>
      <c r="M2" s="33" t="inlineStr">
        <is>
          <t>上記年籍資料是否正確？目前從事何業？</t>
        </is>
      </c>
      <c r="N2" s="33" t="inlineStr">
        <is>
          <t>上記年籍資料是否正確？目前從事何業？</t>
        </is>
      </c>
      <c r="O2" s="33" t="inlineStr">
        <is>
          <t>上記年籍資料是否正確？目前從事何業？</t>
        </is>
      </c>
      <c r="P2" s="780" t="inlineStr">
        <is>
          <t>上述年籍資料是否為你本人?</t>
        </is>
      </c>
      <c r="Q2" s="780" t="inlineStr">
        <is>
          <t>真實姓名對照表內之資料是否正確？是否為你本人？</t>
        </is>
      </c>
      <c r="R2" s="780">
        <f>CONCATENATE("你今（",MID(輸入!$C$11,6,2),"）日因何事情而要聲請民事保護令？請詳述（通常保護令或暫時保護令）。")</f>
        <v/>
      </c>
      <c r="S2" s="780" t="inlineStr">
        <is>
          <t>本案涉及性影像，你是否有想指定性別員警受理？現由一名女警對你詢問及製作筆錄，你是否同意？</t>
        </is>
      </c>
    </row>
    <row r="3" ht="30" customHeight="1" s="680">
      <c r="A3" s="250" t="inlineStr">
        <is>
          <t>是否知悉該犯罪嫌疑人（被告）的長相？穿著特徵？及其身分資料？</t>
        </is>
      </c>
      <c r="B3" s="48" t="inlineStr">
        <is>
          <t>當時的天氣如何?視野如何視線是否有遭遮蔽?標誌標線是否清楚？</t>
        </is>
      </c>
      <c r="C3" s="258" t="inlineStr">
        <is>
          <t>你有無打（反擊）該名？是否有造成對方受傷？</t>
        </is>
      </c>
      <c r="D3" s="258" t="inlineStr">
        <is>
          <t>你的財物遭竊取當時你是否在場？是否有人看管？</t>
        </is>
      </c>
      <c r="E3" s="258" t="inlineStr">
        <is>
          <t>你遭侵占的物品特徵、價值、數量為何？</t>
        </is>
      </c>
      <c r="F3" s="258" t="inlineStr">
        <is>
          <t>妳遭毀損何物？價值為何？你為何會認為你遭染色之衣物是遭故意毀棄、損壞或致令不堪用？</t>
        </is>
      </c>
      <c r="G3" s="258" t="inlineStr">
        <is>
          <t>你於犯罪發生或發現之時間及地點（涉及網路或行動通訊，其犯罪行為實體時地不明時，應詢問上網或接獲通訊之時間及地點）？如何發現？犯罪過程？</t>
        </is>
      </c>
      <c r="H3" s="258" t="inlineStr">
        <is>
          <t>請問他對你的侮辱(沒有敘述具體的事實，單純的謾罵、侮辱的行為、文字或圖片)是否有故意貶低你的人格、名譽、尊嚴？其行為為何？</t>
        </is>
      </c>
      <c r="I3" s="258" t="inlineStr">
        <is>
          <t>對方以何種方式(文字、言詞或其他方式)對你恐嚇？</t>
        </is>
      </c>
      <c r="J3" s="48" t="inlineStr">
        <is>
          <t>當時的天氣如何?視野如何視線是否有遭遮蔽?標誌標線是否清楚？</t>
        </is>
      </c>
      <c r="K3" s="258" t="inlineStr">
        <is>
          <t>我是○○○年○○月○○日聲請，文號為臺灣新北地方法院跟蹤騷擾保護令文號為○○○年度○○字第○○○號。該保護令內容為「一、相對人不能對被聲請人實施身體或精神上不法侵害之行為。二、相對人不得對聲請人為下列聯絡行為：騷擾。三、本保護令之有效期間為○年。」</t>
        </is>
      </c>
      <c r="L3" s="33" t="inlineStr">
        <is>
          <t>你於何時？何地？遭何人妨害自由（強制罪）？請詳述案發經過。</t>
        </is>
      </c>
      <c r="M3" s="33" t="inlineStr">
        <is>
          <t>你於何時、何地發現遭人冒用身分或偽造文書之情事？請詳述經過。</t>
        </is>
      </c>
      <c r="N3" s="33" t="inlineStr">
        <is>
          <t>你遭行為人實施跟蹤騷擾行為，一共發生幾次或持續多久？</t>
        </is>
      </c>
      <c r="O3" s="33" t="inlineStr">
        <is>
          <t>你於何時、何地遭何人誣告？請詳述經過。</t>
        </is>
      </c>
      <c r="P3" s="780" t="inlineStr">
        <is>
          <t>姓名綽號性别特徵出生年月日出生地職業國民身分證統一編號</t>
        </is>
      </c>
      <c r="Q3" s="780" t="inlineStr">
        <is>
          <t>你的文書送達地址為何？</t>
        </is>
      </c>
      <c r="R3" s="780" t="inlineStr">
        <is>
          <t>妳是否要聲請保護令？要聲請何種保護令（通常保護令／暫時保護令）？聲請保護令之相對人年籍資料為何？</t>
        </is>
      </c>
      <c r="S3" s="780" t="inlineStr">
        <is>
          <t>你是否需要親友或社工師到場陪同製作筆錄？</t>
        </is>
      </c>
    </row>
    <row r="4" ht="30" customHeight="1" s="680">
      <c r="A4" s="250">
        <f>CONCATENATE("警方提供指認犯罪嫌疑人紀錄，編號一至六號中，何者為",呈報單!$G$15,"的犯嫌？(犯嫌可能不在指認表中)")</f>
        <v/>
      </c>
      <c r="B4" s="48" t="inlineStr">
        <is>
          <t>發生擦撞之撞擊部位為何？車輀受損狀況？是否有估價單？</t>
        </is>
      </c>
      <c r="C4" s="258" t="inlineStr">
        <is>
          <t>用何種器具傷害你身體何處？使你何處受傷，傷勢如何？在哪家醫院診斷？是否能提出診斷證明書？</t>
        </is>
      </c>
      <c r="D4" s="258" t="inlineStr">
        <is>
          <t>承上述，你是否有上鎖？該竊嫌是否有使用工具竊取？</t>
        </is>
      </c>
      <c r="E4" s="258" t="inlineStr">
        <is>
          <t>你是否知道誰取走你的物品與侵占你物品之人的裝扮、特徵？</t>
        </is>
      </c>
      <c r="F4" s="258" t="inlineStr">
        <is>
          <t>該遭毀損之物為何人所有？在何處遭到毀損？以何方式遭到毀損？毀損程度如何？除對你住所（或所有物）毀損外，有無其他侵害行為？</t>
        </is>
      </c>
      <c r="G4" s="258" t="inlineStr">
        <is>
          <t>你的現住地及戶籍地</t>
        </is>
      </c>
      <c r="H4" s="258" t="inlineStr">
        <is>
          <t>請問他是否在公然的場所侮辱你？第三人是否可以聽得見、看得見、知情？是否有散布於眾？散布於何處？</t>
        </is>
      </c>
      <c r="I4" s="258" t="inlineStr">
        <is>
          <t>你看到對方恐嚇你的方式有何感受？</t>
        </is>
      </c>
      <c r="J4" s="48" t="inlineStr">
        <is>
          <t>發生擦撞之撞擊部位為何？車輀受損狀況？是否有估價單？</t>
        </is>
      </c>
      <c r="K4" s="258" t="inlineStr">
        <is>
          <t>你是否知道是何人違反你所聲請的保護令（保護令文號為○○○年度○○字第○○○號）？其年籍資料為何？</t>
        </is>
      </c>
      <c r="L4" s="33" t="inlineStr">
        <is>
          <t>對方是以何種行為限制你行動自由？（例如：肢體阻擋、鎖門、脅迫等）</t>
        </is>
      </c>
      <c r="M4" s="33" t="inlineStr">
        <is>
          <t>你如何確定遭他人偽造文書？對方以何種方式冒用你的名義？</t>
        </is>
      </c>
      <c r="N4" s="33" t="inlineStr">
        <is>
          <t>行為人第一次於何時、何地、以何種方式對你實施跟蹤騷擾行為？</t>
        </is>
      </c>
      <c r="O4" s="33" t="inlineStr">
        <is>
          <t>對方誣告你的內容為何？對方對你所為之指控具體為何？</t>
        </is>
      </c>
      <c r="P4" s="780" t="inlineStr">
        <is>
          <t>地址電話家庭及經濟狀況教育程度</t>
        </is>
      </c>
      <c r="Q4" s="780" t="inlineStr">
        <is>
          <t>〈代號〉-〈代號〉號姓名對照表(彌封)之年籍資料是否正確？是否為你本人？</t>
        </is>
      </c>
      <c r="R4" s="780" t="inlineStr">
        <is>
          <t>相對人（對方）與你之關係為何？是否有同住家屬、子女監護或婚姻關係？</t>
        </is>
      </c>
      <c r="S4" s="780" t="inlineStr">
        <is>
          <t>依據犯罪被害人權益保障法第40條規定，應於製作筆錄時告知第35條、第36條規定（詳如保護命令告知書），是否清楚？有無註明意見？</t>
        </is>
      </c>
    </row>
    <row r="5" ht="30" customHeight="1" s="680">
      <c r="A5" s="250" t="inlineStr">
        <is>
          <t>對於特定或不特定人士做不實指控或謊報、隱匿實情，致使公務人員於文書登載不實必須擔負法律責任，是否清楚？</t>
        </is>
      </c>
      <c r="B5" s="258" t="inlineStr">
        <is>
          <t>當時為何人駕駛？車號車種為何？你車上共乘幾人？對方駕駛為何人？車號車種為何？對方車上共乘幾人？</t>
        </is>
      </c>
      <c r="C5" s="258" t="inlineStr">
        <is>
          <t>有無其他物品遭毀損？</t>
        </is>
      </c>
      <c r="D5" s="258" t="inlineStr">
        <is>
          <t>該竊嫌是否有同伙？有幾人？往何方向逃逸？</t>
        </is>
      </c>
      <c r="E5" s="258" t="inlineStr">
        <is>
          <t>你是否清楚侵占你物品的人使用何交通工具？往何處逃逸？</t>
        </is>
      </c>
      <c r="F5" s="258" t="inlineStr">
        <is>
          <t>該名犯嫌是以何種方式毀損你之財物？有無使用工具？何種工具？逃逸時，有無使用交通工具？</t>
        </is>
      </c>
      <c r="G5" s="258" t="inlineStr">
        <is>
          <t>你們本次的交易內容是？你是否知道他們的交易商品為何？金額為何？</t>
        </is>
      </c>
      <c r="H5" s="258" t="inlineStr">
        <is>
          <t>你是否如何知悉他所罵是你？</t>
        </is>
      </c>
      <c r="I5" s="258" t="inlineStr">
        <is>
          <t>對方以何種平台或管道對你恐嚇？其可供識別之ID、名稱或聯絡方式為何？</t>
        </is>
      </c>
      <c r="J5" s="258" t="inlineStr">
        <is>
          <t>當時為何人駕駛？車號車種為何？你車上共乘幾人？對方駕駛為何人？車號車種為何？對方車上共乘幾人？</t>
        </is>
      </c>
      <c r="K5" s="258" t="inlineStr">
        <is>
          <t>相對人○○○何時、何地對你違反保護令？相對人違反保護令之行為態樣為何？相對人違反保護令之行為態樣有無證據提供給警方？</t>
        </is>
      </c>
      <c r="L5" s="33" t="inlineStr">
        <is>
          <t>對方之行為是否使你無法自由離去、被迫行無義務之事？</t>
        </is>
      </c>
      <c r="M5" s="33" t="inlineStr">
        <is>
          <t>你的身分證、健保卡、印章、存摺等文件是否曾遺失或遭人竊取、借走？</t>
        </is>
      </c>
      <c r="N5" s="33" t="inlineStr">
        <is>
          <t>行為人是否有監視、觀察、跟蹤、盯梢、守候或尾隨你？請詳述情形。</t>
        </is>
      </c>
      <c r="O5" s="33" t="inlineStr">
        <is>
          <t>對方提告內容是否為扭曲捏造、無中生有之事？你如何認定渠意圖使你受刑事上處分？</t>
        </is>
      </c>
      <c r="P5" s="780" t="inlineStr">
        <is>
          <t>為利本案調查程序，並維護你的司法權益，有關你於警詢筆錄內所登載之現住地，將以你目前較常居住之地點為主（即接受警方通知後，方便前往釐清案情或提供佐證資料之地點），警方後續如有案情進展或偵查需求，將即時通知你前往該地點所在地之警察機關協助接受警詢或提供相關資料，對於前述內容你是否清楚?你目前的現住地是否與調查筆錄登載內容一致?你今日因何事至所製作筆錄?</t>
        </is>
      </c>
      <c r="Q5" s="780" t="inlineStr">
        <is>
          <t>警方告知今(24)日因處理「〈代號〉-〈代號〉」115年03月23日所提性騷擾申訴及告訴事件通知你到場製作調查筆錄，是否清楚？</t>
        </is>
      </c>
      <c r="R5" s="780" t="inlineStr">
        <is>
          <t>你是否有遭受相對人身體或精神上不法侵害之情形？有無驗傷單、對話紀錄或證人可提供？</t>
        </is>
      </c>
      <c r="S5" s="780" t="inlineStr">
        <is>
          <t>遭拍攝/散布之性影像內容為何？你如何發現遭拍攝或散布？有無已知之散布平臺或網址？</t>
        </is>
      </c>
    </row>
    <row r="6" ht="30" customHeight="1" s="680">
      <c r="A6" s="250" t="inlineStr">
        <is>
          <t>現場有無裝設監視器或其他人見聞？時間有無誤差？有無聯絡方式？有無佐證資料可提供警方?或有利事證須請警方協助調查?</t>
        </is>
      </c>
      <c r="B6" s="258" t="inlineStr">
        <is>
          <t>車禍當時有無向警方報案？警方有無到場處理？對方是否有留在現場或逃逸？現場是否有移動？有無拍照或標繪？</t>
        </is>
      </c>
      <c r="C6" s="258" t="inlineStr">
        <is>
          <t>你還記得傷害你的那個男子的特徵、外貌？</t>
        </is>
      </c>
      <c r="D6" s="258" t="inlineStr">
        <is>
          <t>該竊嫌有無使用交通工具？使用交通工具後，往何處逃逸？</t>
        </is>
      </c>
      <c r="E6" s="258" t="inlineStr">
        <is>
          <t>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
雨傘置放於自家店外傘架上，該物仍在其支配管領範圍內，而遭不明人士取走，應受理竊盜罪(列為第一案類)為宜。</t>
        </is>
      </c>
      <c r="F6" s="258" t="inlineStr">
        <is>
          <t>妳是否認識上述毀損妳物品的犯嫌？有無糾紛或仇恨？</t>
        </is>
      </c>
      <c r="G6" s="258" t="inlineStr">
        <is>
          <t>你為何會幫同崴股份有限公司進行交易？同崴股份有限公司的詳細資料是？你與同崴股份有限公司共進行過幾次交易？</t>
        </is>
      </c>
      <c r="H6" s="258" t="inlineStr">
        <is>
          <t>他是否有對你使用強制力（強暴手段）做出妨害名譽的行為？</t>
        </is>
      </c>
      <c r="I6" s="258" t="inlineStr">
        <is>
          <t>對方對你恐嚇之言語或行為，是否使你心生畏懼、感到害怕？為何會使你心生畏懼？</t>
        </is>
      </c>
      <c r="J6" s="258" t="inlineStr">
        <is>
          <t>車禍當時有無向警方報案？警方有無到場處理？對方是否有留在現場或逃逸？現場是否有移動？有無拍照或標繪？</t>
        </is>
      </c>
      <c r="K6" s="258" t="inlineStr">
        <is>
          <t>你與相對人○○○是何種關係？相對人○○○於何時、何地對你實施家庭暴力？你是否有申請保護令？</t>
        </is>
      </c>
      <c r="L6" s="33" t="inlineStr">
        <is>
          <t>案發當時有無撥打110報案或至派出所報案？</t>
        </is>
      </c>
      <c r="M6" s="33" t="inlineStr">
        <is>
          <t>你與對方是否認識？雙方有無仇恨、糾紛或金錢借貸關係？</t>
        </is>
      </c>
      <c r="N6" s="33" t="inlineStr">
        <is>
          <t>行為人是否有以電話、簡訊、電子郵件、社群軟體或其他電子設備對你進行干擾？具體內容為何？</t>
        </is>
      </c>
      <c r="O6" s="33" t="inlineStr">
        <is>
          <t>對方指控與事實不符之處為何？你可否具體說明。</t>
        </is>
      </c>
      <c r="P6" s="780" t="inlineStr">
        <is>
          <t>為維護你的權益，你如有心理諮商需求，可撥打衛生福利部〈代號〉安心專線；如有社會救助需求，可撥打〈代號〉福利諮詢專線；如有法律扶助相關需求，可撥打法律扶助基金會412-〈代號〉轉2諮詢，對於前述內容你是否清楚？你是否有要轉介心理諮商？</t>
        </is>
      </c>
      <c r="Q6" s="780" t="inlineStr">
        <is>
          <t>依性騷擾防治法第18條規定，因本案係權勢性騷擾以外之性騷擾事件，任一方當事人如有意願進行調解，得以書面或言詞向直轄市、縣（市）社政主管機關申請調解，你是否知悉？你是否有意願申請調解？</t>
        </is>
      </c>
      <c r="S6" s="780" t="inlineStr">
        <is>
          <t>為協助解決兩造紛爭，本案是否同意由地檢署轉介調解？</t>
        </is>
      </c>
    </row>
    <row r="7" ht="30" customHeight="1" s="680">
      <c r="A7" s="250" t="inlineStr">
        <is>
          <t>你是否知悉依刑訴法第237條告訴期為六個月？是否曾經提告此案過？或是否曾經撤回告訴過？</t>
        </is>
      </c>
      <c r="B7" s="258" t="inlineStr">
        <is>
          <t>車禍當時有無人員受傷？受傷情形為何？當時有沒有叫救護車？有無前往醫院就醫並開立診斷證明？</t>
        </is>
      </c>
      <c r="C7" s="258" t="n"/>
      <c r="D7" s="599" t="inlineStr">
        <is>
          <t>依北市警刑偵字第1133115422號所分，按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雨傘置放於自家店外傘架上，該物仍在其支配管領範圍內，而遭不明人士取走，應受理竊盜罪(列為第一案類)為宜。請問你是否清楚？要提告何告訴？</t>
        </is>
      </c>
      <c r="E7" s="258" t="n"/>
      <c r="F7" s="258" t="n"/>
      <c r="G7" s="258" t="inlineStr">
        <is>
          <t>你與你的海峽國際私人有限公司共使用電子郵件進行了幾次交易？</t>
        </is>
      </c>
      <c r="H7" s="258" t="inlineStr">
        <is>
          <t>請問他是否故意去散播會損害你的名譽的評價真偽具體事件或事實，而不只是單純的辱罵而已？使用何種方式(敘述、文字、圖像)？其內容為何？</t>
        </is>
      </c>
      <c r="I7" s="258" t="inlineStr">
        <is>
          <t>你與對方是否認識？雙方有無仇恨、嫌隙或金錢糾紛？對方為何要恐嚇你？</t>
        </is>
      </c>
      <c r="J7" s="258" t="inlineStr">
        <is>
          <t>車禍當時有無人員受傷？受傷情形為何？當時有沒有叫救護車？有無前往醫院就醫並開立診斷證明？</t>
        </is>
      </c>
      <c r="K7" s="258" t="inlineStr">
        <is>
          <t>你是否向法院聲請保護令？保護令之文號、核發日期及主文內容為何？</t>
        </is>
      </c>
      <c r="L7" s="33" t="inlineStr">
        <is>
          <t>你與對方是否認識？雙方有無仇恨、糾紛或金錢借貸關係？</t>
        </is>
      </c>
      <c r="M7" s="33" t="inlineStr">
        <is>
          <t>遭冒用的文書內容為何？（例如：契約、證件申請、報稅、貸款等）</t>
        </is>
      </c>
      <c r="N7" s="33" t="inlineStr">
        <is>
          <t>行為人是否有對你為警告、威脅、嘲弄、辱罵、歧視或不當追求之言語、行動？</t>
        </is>
      </c>
      <c r="O7" s="33" t="inlineStr">
        <is>
          <t>你與對方為何種關係？雙方有無發生過嫌隙、糾紛或金錢債務關係？</t>
        </is>
      </c>
      <c r="P7" s="780" t="inlineStr">
        <is>
          <t>切勿輕信網路上自稱駭客或律師宣稱可追回詐騙款項的訊息，警察及司法機關也不會以任何名義要求你匯款或收取保證金，如接獲上述訊息請撥打165專線或向原報案警察機關查證，以免再次遭受詐騙，你是否了解？</t>
        </is>
      </c>
      <c r="Q7" s="780" t="inlineStr">
        <is>
          <t>你現在精神狀況如何？是否可以製作詢問紀錄？</t>
        </is>
      </c>
    </row>
    <row r="8" ht="46.5" customHeight="1" s="680">
      <c r="A8" s="248" t="inlineStr">
        <is>
          <t>你是否要提出告訴？提出何種告訴？是否曾向其他警察單位報案（有無開立證明單或未獲受理緣由過程）？是否附帶民事求償？有無與嫌犯和解或調解之意願？</t>
        </is>
      </c>
      <c r="B8" s="258" t="inlineStr">
        <is>
          <t>有無開立交通事故登記聯單？有無核發交通事故初步分析研判表？肇事原因為何？有無申請鑑定？</t>
        </is>
      </c>
      <c r="C8" s="258" t="n"/>
      <c r="D8" s="258" t="n"/>
      <c r="E8" s="258" t="n"/>
      <c r="F8" s="258" t="n"/>
      <c r="G8" s="258" t="inlineStr">
        <is>
          <t>你公司的電子郵件遭冒用的帳號是？</t>
        </is>
      </c>
      <c r="H8" s="258" t="inlineStr">
        <is>
          <t>他所使你損害名譽是否出於自衛、自辯或保護合法之利益或可受公評之事，而為適當之評論？</t>
        </is>
      </c>
      <c r="I8" s="258" t="inlineStr">
        <is>
          <t>對方除上開恐嚇行為外，有無其他恐嚇行為或財物損失？</t>
        </is>
      </c>
      <c r="J8" s="258" t="inlineStr">
        <is>
          <t>有無開立交通事故登記聯單？有無核發交通事故初步分析研判表？肇事原因為何？有無申請鑑定？</t>
        </is>
      </c>
      <c r="K8" s="258" t="inlineStr">
        <is>
          <t>相對人何時、何地違反保護令？相對人違反保護令之行為態樣為何？</t>
        </is>
      </c>
      <c r="L8" s="33" t="inlineStr">
        <is>
          <t>對方有無使用工具或攜帶武器？現場有無其他人在場目睹？</t>
        </is>
      </c>
      <c r="M8" s="33" t="inlineStr">
        <is>
          <t>經警方提示相關文書供你辨識，其上簽名是否非你本人所簽？</t>
        </is>
      </c>
      <c r="N8" s="33" t="inlineStr">
        <is>
          <t>你與行為人是否認識？雙方關係為何？有無感情糾紛或金錢糾紛？</t>
        </is>
      </c>
      <c r="O8" s="33" t="inlineStr">
        <is>
          <t>你是否可提供與對方之通訊紀錄、證人或相關文件供警方偵辦？</t>
        </is>
      </c>
      <c r="P8" s="780" t="inlineStr">
        <is>
          <t>意圖使公務員登載不實或誣告他人將負刑事責任，你是否清楚？</t>
        </is>
      </c>
      <c r="Q8" s="780" t="inlineStr">
        <is>
          <t>你於民國114年02月09日16:00許人在何處？發生何事？請詳述。</t>
        </is>
      </c>
    </row>
    <row r="9" ht="30" customHeight="1" s="680">
      <c r="A9" s="250" t="inlineStr">
        <is>
          <t>你是否知悉依刑事訴訟法第 238 條 告訴乃論之罪，告訴人於第一審辯論終結前，得撤回其告訴。撤回告訴之人，不得再為同一件事提出告訴？</t>
        </is>
      </c>
      <c r="B9" s="258" t="inlineStr">
        <is>
          <t>你車禍發生時有無服用酒類或其他含有酒精成分之飲品或食品？有無實施酒精濃度測試？</t>
        </is>
      </c>
      <c r="C9" s="258" t="n"/>
      <c r="D9" s="258" t="n"/>
      <c r="E9" s="258" t="n"/>
      <c r="F9" s="258" t="n"/>
      <c r="G9" s="258" t="inlineStr">
        <is>
          <t>你是否清楚共有幾人，接收到假冒你公司的名義所發出之電子郵件詐騙訊息？相關資料為何？</t>
        </is>
      </c>
      <c r="H9" s="258" t="inlineStr">
        <is>
          <t>他所使你損害名譽是否能證明其為真實？</t>
        </is>
      </c>
      <c r="I9" s="258" t="inlineStr">
        <is>
          <t>你是否要對該恐嚇之人提出告訴？欲提出何種告訴？</t>
        </is>
      </c>
      <c r="J9" s="258" t="inlineStr">
        <is>
          <t>你車禍發生時有無服用酒類或其他含有酒精成分之飲品或食品？有無實施酒精濃度測試？</t>
        </is>
      </c>
      <c r="K9" s="258" t="inlineStr">
        <is>
          <t>相對人違反保護令之行為是否造成你身體或精神上之傷害？有無驗傷或就醫紀錄？</t>
        </is>
      </c>
      <c r="L9" s="33" t="inlineStr">
        <is>
          <t>經警方提供監視器（行車紀錄器）畫面，畫面中之行為人是否為對方？</t>
        </is>
      </c>
      <c r="M9" s="33" t="inlineStr">
        <is>
          <t>對方有無因此獲得利益或使你受有損害？</t>
        </is>
      </c>
      <c r="N9" s="33" t="inlineStr">
        <is>
          <t>對方之行為是否違反你的意願且令你心生畏怖？是否足以影響你的日常生活或社會活動？</t>
        </is>
      </c>
      <c r="O9" s="33" t="inlineStr">
        <is>
          <t>此次遭對方誣告有無造成你名譽、財產或精神上之損失？</t>
        </is>
      </c>
      <c r="P9" s="780" t="inlineStr">
        <is>
          <t>你(29)日因何事至本所製作詢問筆錄？</t>
        </is>
      </c>
      <c r="Q9" s="780" t="inlineStr">
        <is>
          <t>請詳述案發過程。</t>
        </is>
      </c>
    </row>
    <row r="10" ht="30" customHeight="1" s="680">
      <c r="A10" s="250" t="inlineStr">
        <is>
          <t>如警方通知涉嫌人後，你是否同意與對方和解？</t>
        </is>
      </c>
      <c r="B10" s="258" t="inlineStr">
        <is>
          <t>你當下行駛過程中是否有在車上使用行動電話或其他足以造成行車安全之行為?對方是否有使用？</t>
        </is>
      </c>
      <c r="C10" s="258" t="n"/>
      <c r="D10" s="258" t="n"/>
      <c r="E10" s="258" t="n"/>
      <c r="F10" s="258" t="n"/>
      <c r="G10" s="258" t="inlineStr">
        <is>
          <t>你公司的電子郵件，使用平台為何？有無裝設防毒軟體？你公司是否有資管相關設備？</t>
        </is>
      </c>
      <c r="H10" s="258" t="inlineStr">
        <is>
          <t>你是否要請求依民法第18條或民法第184、195條的損害賠償或回復名譽？</t>
        </is>
      </c>
      <c r="I10" s="258" t="n"/>
      <c r="J10" s="258" t="inlineStr">
        <is>
          <t>你當下行駛過程中是否有在車上使用行動電話或其他足以造成行車安全之行為?對方是否有使用？</t>
        </is>
      </c>
      <c r="K10" s="258" t="inlineStr">
        <is>
          <t>相對人違反保護令當時有無其他人目睹？有無證據（監視器、錄音、簡訊、對話紀錄）可提供警方？</t>
        </is>
      </c>
      <c r="L10" s="33" t="inlineStr">
        <is>
          <t>當下你有無受傷？有無驗傷證明或其他事證？</t>
        </is>
      </c>
      <c r="M10" s="33" t="inlineStr">
        <is>
          <t>你是否可提供相關證據或與對方之聯絡紀錄供警方偵辦？</t>
        </is>
      </c>
      <c r="N10" s="33" t="inlineStr">
        <is>
          <t>你是否曾向行為人表達不滿、抗議或拒絕？有無蒐證或報警紀錄？</t>
        </is>
      </c>
      <c r="O10" s="33" t="inlineStr">
        <is>
          <t>你是否願意配合臺北地檢署轉介調解業務？</t>
        </is>
      </c>
      <c r="P10" s="780" t="inlineStr">
        <is>
          <t>你是否願意由警察機關現場協助你安裝警政服務APP或追蹤165全民防騙臉書粉絲專頁，以利接收最新反詐騙資訊？</t>
        </is>
      </c>
      <c r="Q10" s="780" t="inlineStr">
        <is>
          <t>你現在任職單位的職稱(位)為何？任現職多久？工作內容為何？薪資由何人支應？（釐清性平三法之適用）</t>
        </is>
      </c>
    </row>
    <row r="11" ht="27" customHeight="1" s="680">
      <c r="A11" s="250" t="inlineStr">
        <is>
          <t>你是否需要鑑識小隊採證？</t>
        </is>
      </c>
      <c r="B11" s="251" t="inlineStr">
        <is>
          <t>你是否有裝設行車紀錄器?是否知悉對方有無裝設?你是否清楚案發地有無監視器的設置?</t>
        </is>
      </c>
      <c r="C11" s="258" t="n"/>
      <c r="D11" s="258" t="n"/>
      <c r="E11" s="258" t="n"/>
      <c r="F11" s="258" t="n"/>
      <c r="G11" s="258" t="inlineStr">
        <is>
          <t>你公司的電子郵件帳號是否有借予他人使用過？是否有其他人知道你公司的電子郵件帳號及密碼？</t>
        </is>
      </c>
      <c r="H11" s="258" t="n"/>
      <c r="I11" s="258" t="n"/>
      <c r="J11" s="251" t="inlineStr">
        <is>
          <t>你是否有裝設行車紀錄器?是否知悉對方有無裝設?你是否清楚案發地有無監視器的設置?</t>
        </is>
      </c>
      <c r="K11" s="258" t="inlineStr">
        <is>
          <t>相對人是否知悉保護令之內容及效力？你是否已將保護令送達或告知相對人？</t>
        </is>
      </c>
      <c r="L11" s="33" t="inlineStr">
        <is>
          <t>你是否要對該嫌疑人提出告訴？提出何種告訴？</t>
        </is>
      </c>
      <c r="M11" s="33" t="inlineStr">
        <is>
          <t>你是否要向對方提出告訴？</t>
        </is>
      </c>
      <c r="N11" s="33" t="inlineStr">
        <is>
          <t>你是否要向對方提出跟蹤騷擾罪告訴？是否需轉介社福單位？</t>
        </is>
      </c>
      <c r="O11" s="33" t="inlineStr">
        <is>
          <t>你是否要提出告訴？提出何種告訴？</t>
        </is>
      </c>
      <c r="P11" s="780" t="inlineStr">
        <is>
          <t>你於何時？何地？遭何人詐騙？請詳述詐欺之過程。</t>
        </is>
      </c>
      <c r="Q11" s="780" t="inlineStr">
        <is>
          <t>是否領有身心障礙證明？是否經醫囑使用精神藥物？身障類別、鑑定向度及障礙程度為何？</t>
        </is>
      </c>
    </row>
    <row r="12" ht="30" customHeight="1" s="680">
      <c r="A12" s="48" t="inlineStr">
        <is>
          <t>案件後續司法文書有無指定收件之處所？是否能提供聲請變更送達處所狀？</t>
        </is>
      </c>
      <c r="B12" s="258" t="inlineStr">
        <is>
          <t>事後你與對方有無商談相關賠償事宜?是否有達成和解？</t>
        </is>
      </c>
      <c r="C12" s="255" t="n"/>
      <c r="D12" s="255" t="n"/>
      <c r="E12" s="255" t="n"/>
      <c r="F12" s="255" t="n"/>
      <c r="G12" s="255" t="inlineStr">
        <is>
          <t>你是否清楚是何人冒用你的名義？你是否清楚犯嫌是如何得知你與你的客戶使用電子郵件進行交易的？你是否清楚犯嫌是如何得知你公司的電子郵件帳戶的？你都在何處使用電腦上網並使用電子郵件的？</t>
        </is>
      </c>
      <c r="H12" s="255" t="n"/>
      <c r="I12" s="255" t="n"/>
      <c r="J12" s="258" t="inlineStr">
        <is>
          <t>事後你與對方有無商談相關賠償事宜?是否有達成和解？</t>
        </is>
      </c>
      <c r="K12" s="255" t="inlineStr">
        <is>
          <t>相對人除本案外，有無其他違反保護令或家庭暴力之前案紀錄？</t>
        </is>
      </c>
      <c r="P12" s="780" t="inlineStr">
        <is>
          <t>你如何得知信用卡遭盜刷？總共損失金額？</t>
        </is>
      </c>
      <c r="Q12" s="780" t="inlineStr">
        <is>
          <t>你有無因本事件產生焦慮、失眠、惡夢、食慾不振等情況？</t>
        </is>
      </c>
    </row>
    <row r="13" ht="30" customHeight="1" s="680">
      <c r="A13" s="599" t="inlineStr">
        <is>
          <t>你是否確定要撤回告訴？為何你要撤回告訴？請詳述原因。撤回告訴狀與和解書是否由你親自填寫？是否能提供給警方？</t>
        </is>
      </c>
      <c r="B13" s="48" t="inlineStr">
        <is>
          <t>你有無向調解委員會聲請調解程序？調解情形為何？</t>
        </is>
      </c>
      <c r="C13" s="48" t="n"/>
      <c r="D13" s="48" t="n"/>
      <c r="E13" s="48" t="n"/>
      <c r="F13" s="48" t="n"/>
      <c r="G13" s="48" t="inlineStr">
        <is>
          <t>該犯嫌共假冒你公司的電子郵件帳號幾次？於何時開始假冒你公司的名義？ 到目前為止，是否有因為你公司的電子郵件帳戶遭犯嫌冒用， 而發生任何財物損失？</t>
        </is>
      </c>
      <c r="H13" s="48" t="n"/>
      <c r="I13" s="48" t="n"/>
      <c r="J13" s="48" t="inlineStr">
        <is>
          <t>你有無向調解委員會聲請調解程序？調解情形為何？</t>
        </is>
      </c>
      <c r="K13" s="48" t="inlineStr">
        <is>
          <t>你目前居住處所是否安全？是否需警方協助戒護或轉介社福單位？</t>
        </is>
      </c>
      <c r="P13" s="780" t="inlineStr">
        <is>
          <t>遭詐欺對您經濟、生活、工作、身體、心理、精神、婚姻、家庭造成的影響、具體損害金額及影響情形？能否提出可資佐證上開影響及情形之證據？</t>
        </is>
      </c>
      <c r="Q13" s="780" t="inlineStr">
        <is>
          <t>你是否認識被害人？是否曾有仇怨糾紛或借貸關係？</t>
        </is>
      </c>
    </row>
    <row r="14" ht="30" customHeight="1" s="680">
      <c r="A14" s="599">
        <f>CONCATENATE("你於",LEFT(下拉用!$J$4,10),"第一次警詢筆錄的陳述是否實在？")</f>
        <v/>
      </c>
      <c r="B14" s="48" t="inlineStr">
        <is>
          <t>你能提供何種資料(事故聯單、初判表、車鑑表、驗傷單)供警方後續偵辦使用?</t>
        </is>
      </c>
      <c r="C14" s="48" t="n"/>
      <c r="D14" s="48" t="n"/>
      <c r="E14" s="48" t="n"/>
      <c r="F14" s="48" t="n"/>
      <c r="G14" s="48" t="inlineStr">
        <is>
          <t>針對本案，你是否有向交易的對象表示，你的電子郵件遭不明犯嫌冒用？</t>
        </is>
      </c>
      <c r="H14" s="48" t="n"/>
      <c r="I14" s="48" t="n"/>
      <c r="J14" s="48" t="inlineStr">
        <is>
          <t>你能提供何種資料(事故聯單、初判表、車鑑表、驗傷單)供警方後續偵辦使用?</t>
        </is>
      </c>
      <c r="K14" s="48" t="inlineStr">
        <is>
          <t>你是否要向對方提出違反保護令罪告訴？</t>
        </is>
      </c>
      <c r="P14" s="780" t="inlineStr">
        <is>
          <t>你信用卡分別於何時何地遭盜刷？總共遭盜刷幾次？總損失多少？有無明細可供警方參考？</t>
        </is>
      </c>
      <c r="Q14" s="780" t="inlineStr">
        <is>
          <t>針對以上所述，是否可以提供警方相關佐證資料以證明之你所主張之真實性？</t>
        </is>
      </c>
    </row>
    <row r="15" ht="30" customHeight="1" s="680">
      <c r="A15" s="599">
        <f>CONCATENATE("警方於",LEFT(下拉用!$J$5,10),"在約談涉嫌人來所說明案情,筆錄期間涉嫌人主動交付贓證物,是否為妳遭",輸入!$C$2,"之物品？是否由你領回？贓物認領保管單是否為妳本人確認無誤後親自簽名？")</f>
        <v/>
      </c>
      <c r="K15" s="48" t="inlineStr">
        <is>
          <t>以上所述是否屬實？有無其他意見補充？</t>
        </is>
      </c>
      <c r="P15" s="780" t="inlineStr">
        <is>
          <t>你是否要對詐騙你的嫌犯提出詐欺告訴？有無與嫌犯和解或調解之意願？</t>
        </is>
      </c>
      <c r="Q15" s="780" t="inlineStr">
        <is>
          <t>以上所言是否屬實？有無其他補充意見？</t>
        </is>
      </c>
    </row>
    <row r="16" ht="30" customHeight="1" s="680">
      <c r="A16" s="599">
        <f>CONCATENATE("警方於發現贓證物，是否為妳遭",輸入!$C$2,"之物品？是否由你領回？贓物認領保管單是否為妳本人確認無誤後親自簽名？")</f>
        <v/>
      </c>
      <c r="P16" s="780" t="inlineStr">
        <is>
          <t>你是否要提出告訴？對何人提出何種告訴？</t>
        </is>
      </c>
      <c r="Q16" s="780" t="inlineStr">
        <is>
          <t>以上內容是否為你自由意識下所為之陳述？</t>
        </is>
      </c>
    </row>
    <row r="17" ht="16.5" customHeight="1" s="680">
      <c r="P17" s="780" t="inlineStr">
        <is>
          <t>請問你是否要對詐欺你的人提出詐欺告訴？</t>
        </is>
      </c>
    </row>
    <row r="18" ht="30" customHeight="1" s="680">
      <c r="A18" s="599" t="n"/>
      <c r="P18" s="780" t="inlineStr">
        <is>
          <t>以上所言是否實在？有無其他補充陳述之意見？</t>
        </is>
      </c>
    </row>
    <row r="19" ht="30" customHeight="1" s="680">
      <c r="A19" s="599" t="n"/>
    </row>
    <row r="20" ht="30" customHeight="1" s="680">
      <c r="A20" s="599">
        <f>CONCATENATE("因為警方通知我在",LEFT(下拉用!$J$9,10),"至所報",呈報單!$G$15,"案，證明單號為",輸入!$C$13,"，有循線通知嫌疑人到案說明，所以今日請我至貴派出所製作第二次筆錄以及領回贓證物。")</f>
        <v/>
      </c>
    </row>
    <row r="21" ht="30" customHeight="1" s="680">
      <c r="A21" s="599" t="n"/>
    </row>
    <row r="27" ht="30" customHeight="1" s="680">
      <c r="K27" s="410" t="n"/>
    </row>
    <row r="28">
      <c r="B28" s="33" t="inlineStr">
        <is>
          <t>車禍發生的時間和地點在哪裡？你當時是開車、騎車還是走路？</t>
        </is>
      </c>
      <c r="C28" s="33" t="inlineStr">
        <is>
          <t>對方動手之前，你們發生了什麼事？是誰先動手的？</t>
        </is>
      </c>
      <c r="D28" s="33" t="inlineStr">
        <is>
          <t>東西不見之前放在哪裡？你當時人在不在旁邊？</t>
        </is>
      </c>
      <c r="E28" s="33" t="inlineStr">
        <is>
          <t>你是基於什麼原因把東西交給對方的？有沒有寫借據或約定歸還時間？</t>
        </is>
      </c>
      <c r="F28" s="33" t="inlineStr">
        <is>
          <t>你的東西是在哪裡被弄壞的？發現的時候是什麼樣子？</t>
        </is>
      </c>
      <c r="G28" s="33" t="inlineStr">
        <is>
          <t>你的手機或帳號是什麼時候發現被動過的？有沒有收到奇怪的簡訊或通知？</t>
        </is>
      </c>
      <c r="H28" s="33" t="inlineStr">
        <is>
          <t>對方是在哪裡講那些話的？當時有幾個人聽到或看到？</t>
        </is>
      </c>
      <c r="I28" s="33" t="inlineStr">
        <is>
          <t>對方當時跟你說了什麼或做了什麼，讓你覺得害怕？還記得原話嗎？</t>
        </is>
      </c>
      <c r="K28" s="33" t="inlineStr">
        <is>
          <t>法院的保護令有沒有限制對方不能靠近你或跟你聯絡？對方知不知道？</t>
        </is>
      </c>
      <c r="L28" s="33" t="inlineStr">
        <is>
          <t>當時對方有幾個人？你能不能自己離開？有沒有人擋住你？</t>
        </is>
      </c>
      <c r="M28" s="33" t="inlineStr">
        <is>
          <t>你是什麼時候發現有人用你的名字簽文件或辦事情的？</t>
        </is>
      </c>
      <c r="N28" s="33" t="inlineStr">
        <is>
          <t>對方這樣的行為發生過幾次？持續多久了？</t>
        </is>
      </c>
      <c r="O28" s="33" t="inlineStr">
        <is>
          <t>對方去告你的事情，你是什麼時候知道的？警察有沒有找你去說明？</t>
        </is>
      </c>
      <c r="P28" s="33" t="inlineStr">
        <is>
          <t>對方當時跟你說了什麼，讓你願意把錢交出去？還記得嗎？</t>
        </is>
      </c>
      <c r="Q28" s="33" t="inlineStr">
        <is>
          <t>事情發生在什麼地方？是公司、學校還是外面？當時還有誰在場？</t>
        </is>
      </c>
      <c r="R28" s="33" t="inlineStr">
        <is>
          <t>對方跟你是什麼關係？你們現在還住在一起嗎？</t>
        </is>
      </c>
      <c r="S28" s="33" t="inlineStr">
        <is>
          <t>你是什麼時候發現照片或影片被拍或被傳出去的？是誰告訴你的？</t>
        </is>
      </c>
    </row>
    <row r="29">
      <c r="B29" s="33" t="inlineStr">
        <is>
          <t>撞到之前，你有沒有看到對方的車？對方有沒有煞車或閃避？</t>
        </is>
      </c>
      <c r="C29" s="33" t="inlineStr">
        <is>
          <t>對方手上有沒有拿東西？打到你身體哪些地方？</t>
        </is>
      </c>
      <c r="D29" s="33" t="inlineStr">
        <is>
          <t>你離開了多久？有沒有把東西借給對方或請人保管？</t>
        </is>
      </c>
      <c r="E29" s="33" t="inlineStr">
        <is>
          <t>對方後來把東西拿去做了什麼用？你是什麼時候發現的？</t>
        </is>
      </c>
      <c r="F29" s="33" t="inlineStr">
        <is>
          <t>東西壞掉之後還能不能用？修好大概要花多少錢？</t>
        </is>
      </c>
      <c r="G29" s="33" t="inlineStr">
        <is>
          <t>你的密碼有沒有告訴過對方？對方是怎麼知道的？</t>
        </is>
      </c>
      <c r="H29" s="33" t="inlineStr">
        <is>
          <t>對方有沒有提到你具體做過哪一件事？那件事是真的嗎？</t>
        </is>
      </c>
      <c r="I29" s="33" t="inlineStr">
        <is>
          <t>對方是用說的、打電話的，還是傳訊息的？有沒有留紀錄？</t>
        </is>
      </c>
      <c r="K29" s="33" t="inlineStr">
        <is>
          <t>對方這次是做了什麼違反規定的事？時間地點在哪裡？</t>
        </is>
      </c>
      <c r="L29" s="33" t="inlineStr">
        <is>
          <t>對方有沒有要你做什麼事？你是自願的還是被逼的？</t>
        </is>
      </c>
      <c r="M29" s="33" t="inlineStr">
        <is>
          <t>你的證件或印章有沒有不見或借給別人過？</t>
        </is>
      </c>
      <c r="N29" s="33" t="inlineStr">
        <is>
          <t>對方都用什麼方式找你？跟蹤、打電話、傳訊息，還是到你家或公司堵你？</t>
        </is>
      </c>
      <c r="O29" s="33" t="inlineStr">
        <is>
          <t>對方告的內容裡面，哪些部分跟事實不一樣？你有證據可以證明嗎？</t>
        </is>
      </c>
      <c r="P29" s="33" t="inlineStr">
        <is>
          <t>你是怎麼把錢給對方的？轉帳、面交，還是超商繳費？金額多少？</t>
        </is>
      </c>
      <c r="Q29" s="33" t="inlineStr">
        <is>
          <t>對方做了什麼讓你不舒服的事？持續了多久？</t>
        </is>
      </c>
      <c r="R29" s="33" t="inlineStr">
        <is>
          <t>對方有沒有動手打你或威脅你？最近一次是什麼時候？</t>
        </is>
      </c>
      <c r="S29" s="33" t="inlineStr">
        <is>
          <t>拍照的時候你知不知道？有答應讓對方拍嗎？</t>
        </is>
      </c>
    </row>
    <row r="30">
      <c r="B30" s="33" t="inlineStr">
        <is>
          <t>你受傷之後有沒有去醫院？傷在哪裡，有沒有開診斷證明？</t>
        </is>
      </c>
      <c r="C30" s="33" t="inlineStr">
        <is>
          <t>你受傷後有沒有去醫院？有沒有開診斷證明？</t>
        </is>
      </c>
      <c r="D30" s="33" t="inlineStr">
        <is>
          <t>發現不見之後，你第一個懷疑的人是誰？為什麼？</t>
        </is>
      </c>
      <c r="E30" s="33" t="inlineStr">
        <is>
          <t>你有沒有跟對方要回來？對方怎麼說？</t>
        </is>
      </c>
      <c r="F30" s="33" t="inlineStr">
        <is>
          <t>你覺得是誰弄的？你跟對方之前有沒有吵架或糾紛？</t>
        </is>
      </c>
      <c r="G30" s="33" t="inlineStr">
        <is>
          <t>被動用之後，有沒有錢被轉走或東西被刪掉？損失多少？</t>
        </is>
      </c>
      <c r="H30" s="33" t="inlineStr">
        <is>
          <t>這些話傳出去之後，對你的生活或工作有沒有影響？</t>
        </is>
      </c>
      <c r="I30" s="33" t="inlineStr">
        <is>
          <t>你後來有沒有照對方說的去做？是自願的還是因為害怕？</t>
        </is>
      </c>
      <c r="K30" s="33" t="inlineStr">
        <is>
          <t>事情發生之後，你有沒有報警或告訴社工？</t>
        </is>
      </c>
      <c r="L30" s="33" t="inlineStr">
        <is>
          <t>這整件事持續了多久？你後來是怎麼離開的？</t>
        </is>
      </c>
      <c r="M30" s="33" t="inlineStr">
        <is>
          <t>那份文件上面的簽名是你寫的嗎？你有答應讓對方用你的名義嗎？</t>
        </is>
      </c>
      <c r="N30" s="33" t="inlineStr">
        <is>
          <t>這些行為有沒有影響你的日常生活？你有沒有請對方不要再來？</t>
        </is>
      </c>
      <c r="O30" s="33" t="inlineStr">
        <is>
          <t>你跟對方之前有什麼糾紛？他為什麼要這樣告你？</t>
        </is>
      </c>
      <c r="P30" s="33" t="inlineStr">
        <is>
          <t>後來你發現哪裡不對，才知道自己被騙了？有沒有報警？</t>
        </is>
      </c>
      <c r="Q30" s="33" t="inlineStr">
        <is>
          <t>事情發生後，你有沒有跟主管、老師或家人說？他們怎麼處理的？</t>
        </is>
      </c>
      <c r="R30" s="33" t="inlineStr">
        <is>
          <t>你希望法院怎麼做？是要對方搬出去、不能靠近，還是不能打電話給你？</t>
        </is>
      </c>
      <c r="S30" s="33" t="inlineStr">
        <is>
          <t>那些照片影片現在在哪裡？有多少人看過？你希望怎麼處理？</t>
        </is>
      </c>
    </row>
    <row r="31">
      <c r="J31" s="33" t="inlineStr">
        <is>
          <t>當時的天氣和視線怎麼樣？路上有沒有號誌或標線？</t>
        </is>
      </c>
    </row>
    <row r="32">
      <c r="J32" s="33" t="inlineStr">
        <is>
          <t>車禍發生後有沒有報警？警察有沒有到場？對方有留在現場嗎？</t>
        </is>
      </c>
    </row>
    <row r="33">
      <c r="J33" s="33" t="inlineStr">
        <is>
          <t>事後對方有沒有跟你談賠償？有沒有和解或調解？</t>
        </is>
      </c>
    </row>
    <row r="34">
      <c r="A34" s="33" t="inlineStr">
        <is>
          <t>案發當時你人在哪裡？是一個人還是跟別人在一起？</t>
        </is>
      </c>
      <c r="B34" s="33" t="inlineStr">
        <is>
          <t>車禍發生的時間和地點在哪裡？你當時是開車、騎車還是走路？</t>
        </is>
      </c>
      <c r="C34" s="33" t="inlineStr">
        <is>
          <t>對方動手之前，你們發生了什麼事？是誰先動手的？</t>
        </is>
      </c>
      <c r="D34" s="33" t="inlineStr">
        <is>
          <t>東西不見之前放在哪裡？你當時人在不在旁邊？</t>
        </is>
      </c>
      <c r="E34" s="33" t="inlineStr">
        <is>
          <t>你是基於什麼原因把東西交給對方的？有沒有寫借據或約定歸還時間？</t>
        </is>
      </c>
      <c r="F34" s="33" t="inlineStr">
        <is>
          <t>你的東西是在哪裡被弄壞的？發現的時候是什麼樣子？</t>
        </is>
      </c>
      <c r="G34" s="33" t="inlineStr">
        <is>
          <t>你的手機或帳號是什麼時候發現被動過的？有沒有收到奇怪的簡訊或通知？</t>
        </is>
      </c>
      <c r="H34" s="33" t="inlineStr">
        <is>
          <t>對方是在哪裡講那些話的？當時有幾個人聽到或看到？</t>
        </is>
      </c>
      <c r="I34" s="33" t="inlineStr">
        <is>
          <t>對方當時跟你說了什麼或做了什麼，讓你覺得害怕？還記得原話嗎？</t>
        </is>
      </c>
      <c r="J34" s="33" t="inlineStr">
        <is>
          <t>車禍發生的時間和地點在哪裡？你當時是開車、騎車還是走路？</t>
        </is>
      </c>
      <c r="K34" s="33" t="inlineStr">
        <is>
          <t>法院的保護令有沒有限制對方不能靠近你或跟你聯絡？對方知不知道？</t>
        </is>
      </c>
      <c r="L34" s="33" t="inlineStr">
        <is>
          <t>當時對方有幾個人？你能不能自己離開？有沒有人擋住你？</t>
        </is>
      </c>
      <c r="M34" s="33" t="inlineStr">
        <is>
          <t>你是什麼時候發現有人用你的名字簽文件或辦事情的？</t>
        </is>
      </c>
      <c r="N34" s="33" t="inlineStr">
        <is>
          <t>對方這樣的行為發生過幾次？持續多久了？</t>
        </is>
      </c>
      <c r="O34" s="33" t="inlineStr">
        <is>
          <t>對方去告你的事情，你是什麼時候知道的？警察有沒有找你去說明？</t>
        </is>
      </c>
      <c r="P34" s="33" t="inlineStr">
        <is>
          <t>對方當時跟你說了什麼，讓你願意把錢交出去？還記得嗎？</t>
        </is>
      </c>
      <c r="Q34" s="33" t="inlineStr">
        <is>
          <t>事情發生在什麼地方？是公司、學校還是外面？當時還有誰在場？</t>
        </is>
      </c>
      <c r="R34" s="33" t="inlineStr">
        <is>
          <t>對方跟你是什麼關係？你們現在還住在一起嗎？</t>
        </is>
      </c>
      <c r="S34" s="33" t="inlineStr">
        <is>
          <t>你是什麼時候發現照片或影片被拍或被傳出去的？是誰告訴你的？</t>
        </is>
      </c>
      <c r="T34" s="33" t="inlineStr">
        <is>
          <t>事情發生在什麼時候、什麼地方？當時還有誰在？</t>
        </is>
      </c>
      <c r="U34" s="33" t="inlineStr">
        <is>
          <t>你幾歲？對方是怎麼認識你的？</t>
        </is>
      </c>
      <c r="V34" s="33" t="inlineStr">
        <is>
          <t>你是怎麼發現這件事的？有沒有看到送錢或收錢的經過？</t>
        </is>
      </c>
      <c r="W34" s="33" t="inlineStr">
        <is>
          <t>孩子今年幾歲？還在唸書嗎？讀幾年級？</t>
        </is>
      </c>
      <c r="X34" s="33" t="inlineStr">
        <is>
          <t>你知不知道家裡有人在玩牌賭錢？都在什麼地方玩？</t>
        </is>
      </c>
      <c r="Y34" s="33" t="inlineStr">
        <is>
          <t>你當時在哪裡看到的？跟對方距離多遠？</t>
        </is>
      </c>
      <c r="Z34" s="33" t="inlineStr">
        <is>
          <t>你看到對方拿的槍長什麼樣子？跟真槍像不像？</t>
        </is>
      </c>
      <c r="AA34" s="33" t="inlineStr">
        <is>
          <t>警察是在哪裡找到這些東西的？是誰的？</t>
        </is>
      </c>
    </row>
    <row r="35">
      <c r="A35" s="33" t="inlineStr">
        <is>
          <t>事情發生後，你第一個聯絡的人是誰？有馬上報警嗎？</t>
        </is>
      </c>
      <c r="B35" s="33" t="inlineStr">
        <is>
          <t>撞到之前，你有沒有看到對方的車？對方有沒有煞車或閃避？</t>
        </is>
      </c>
      <c r="C35" s="33" t="inlineStr">
        <is>
          <t>對方手上有沒有拿東西？打到你身體哪些地方？</t>
        </is>
      </c>
      <c r="D35" s="33" t="inlineStr">
        <is>
          <t>你離開了多久？有沒有把東西借給對方或請人保管？</t>
        </is>
      </c>
      <c r="E35" s="33" t="inlineStr">
        <is>
          <t>對方後來把東西拿去做了什麼用？你是什麼時候發現的？</t>
        </is>
      </c>
      <c r="F35" s="33" t="inlineStr">
        <is>
          <t>東西壞掉之後還能不能用？修好大概要花多少錢？</t>
        </is>
      </c>
      <c r="G35" s="33" t="inlineStr">
        <is>
          <t>你的密碼有沒有告訴過對方？對方是怎麼知道的？</t>
        </is>
      </c>
      <c r="H35" s="33" t="inlineStr">
        <is>
          <t>對方有沒有提到你具體做過什麼事？那些是真的嗎？</t>
        </is>
      </c>
      <c r="I35" s="33" t="inlineStr">
        <is>
          <t>對方是用說的、打電話的，還是傳訊息的？有沒有留紀錄？</t>
        </is>
      </c>
      <c r="J35" s="33" t="inlineStr">
        <is>
          <t>撞到之前，你有沒有看到對方的車？對方有沒有煞車或閃避？</t>
        </is>
      </c>
      <c r="K35" s="33" t="inlineStr">
        <is>
          <t>對方這次是做了什麼違反規定的事？時間地點在哪裡？</t>
        </is>
      </c>
      <c r="L35" s="33" t="inlineStr">
        <is>
          <t>事發當時，對方穿著制服或配戴證件嗎？你看得到嗎？</t>
        </is>
      </c>
      <c r="M35" s="33" t="inlineStr">
        <is>
          <t>你的證件或印章有沒有不見或借給別人過？</t>
        </is>
      </c>
      <c r="N35" s="33" t="inlineStr">
        <is>
          <t>對方都用什麼方式找你？跟蹤、打電話、傳訊息，還是到你家或公司堵你？</t>
        </is>
      </c>
      <c r="O35" s="33" t="inlineStr">
        <is>
          <t>對方告的內容裡面，哪些部分跟事實不一樣？你有證據可以證明嗎？</t>
        </is>
      </c>
      <c r="P35" s="33" t="inlineStr">
        <is>
          <t>你是怎麼把錢給對方的？轉帳、面交還是超商繳費？金額多少？</t>
        </is>
      </c>
      <c r="Q35" s="33" t="inlineStr">
        <is>
          <t>對方做了什麼讓你不舒服的事？持續了多久？</t>
        </is>
      </c>
      <c r="R35" s="33" t="inlineStr">
        <is>
          <t>對方有沒有動手打你或威脅你？最近一次是什麼時候？</t>
        </is>
      </c>
      <c r="S35" s="33" t="inlineStr">
        <is>
          <t>拍照的時候你知不知道？有答應讓對方拍嗎？</t>
        </is>
      </c>
      <c r="T35" s="33" t="inlineStr">
        <is>
          <t>對方做了什麼？你有沒有說不要或推開他？</t>
        </is>
      </c>
      <c r="U35" s="33" t="inlineStr">
        <is>
          <t>照片是誰拍的？是對方叫你拍的嗎？有沒有答應給你什麼好處？</t>
        </is>
      </c>
      <c r="V35" s="33" t="inlineStr">
        <is>
          <t>送錢的人跟收錢的人是什麼關係？之前認不認識？</t>
        </is>
      </c>
      <c r="W35" s="33" t="inlineStr">
        <is>
          <t>事情發生的時候，你有在場嗎？是誰通知你的？</t>
        </is>
      </c>
      <c r="X35" s="33" t="inlineStr">
        <is>
          <t>一局輸贏大概多少？桌上通常有多少錢？</t>
        </is>
      </c>
      <c r="Y35" s="33" t="inlineStr">
        <is>
          <t>對方做了什麼？你看了多久？</t>
        </is>
      </c>
      <c r="Z35" s="33" t="inlineStr">
        <is>
          <t>對方有沒有開槍？有沒有人受傷或東西被打壞？</t>
        </is>
      </c>
      <c r="AA35" s="33" t="inlineStr">
        <is>
          <t>東西被發現的時候，是放在誰的包包、房間或車上？</t>
        </is>
      </c>
    </row>
    <row r="36">
      <c r="A36" s="33" t="inlineStr">
        <is>
          <t>你的損失大概多少？有沒有單據可以證明？</t>
        </is>
      </c>
      <c r="B36" s="33" t="inlineStr">
        <is>
          <t>你受傷之後有沒有去醫院？傷在哪裡，有沒有開診斷證明？</t>
        </is>
      </c>
      <c r="C36" s="33" t="inlineStr">
        <is>
          <t>你受傷後有沒有去醫院？有沒有開診斷證明？</t>
        </is>
      </c>
      <c r="D36" s="33" t="inlineStr">
        <is>
          <t>發現不見之後，你第一個懷疑的人是誰？為什麼？</t>
        </is>
      </c>
      <c r="E36" s="33" t="inlineStr">
        <is>
          <t>你有沒有跟對方要回來？對方怎麼說？</t>
        </is>
      </c>
      <c r="F36" s="33" t="inlineStr">
        <is>
          <t>你覺得是誰弄的？你跟對方之前有沒有吵架或糾紛？</t>
        </is>
      </c>
      <c r="G36" s="33" t="inlineStr">
        <is>
          <t>被動用之後，有沒有錢被轉走或東西被刪掉？損失多少？</t>
        </is>
      </c>
      <c r="H36" s="33" t="inlineStr">
        <is>
          <t>這些話對你的生活或工作有沒有影響？</t>
        </is>
      </c>
      <c r="I36" s="33" t="inlineStr">
        <is>
          <t>你後來有沒有照對方說的去做？是自願的還是因為害怕？</t>
        </is>
      </c>
      <c r="J36" s="33" t="inlineStr">
        <is>
          <t>你受傷之後有沒有去醫院？傷在哪裡，有沒有開診斷證明？</t>
        </is>
      </c>
      <c r="K36" s="33" t="inlineStr">
        <is>
          <t>事情發生之後，你有沒有報警或告訴社工？</t>
        </is>
      </c>
      <c r="L36" s="33" t="inlineStr">
        <is>
          <t>對方當時是在做什麼工作？有沒有跟你說明？</t>
        </is>
      </c>
      <c r="M36" s="33" t="inlineStr">
        <is>
          <t>那份文件上面的簽名是你寫的嗎？你有答應讓對方用你的名義嗎？</t>
        </is>
      </c>
      <c r="N36" s="33" t="inlineStr">
        <is>
          <t>這些行為有沒有影響你的日常生活？你有沒有請對方不要再來？</t>
        </is>
      </c>
      <c r="O36" s="33" t="inlineStr">
        <is>
          <t>你跟對方之前有什麼糾紛？他為什麼要這樣告你？</t>
        </is>
      </c>
      <c r="P36" s="33" t="inlineStr">
        <is>
          <t>後來你發現哪裡不對，才知道自己被騙了？有沒有報警？</t>
        </is>
      </c>
      <c r="Q36" s="33" t="inlineStr">
        <is>
          <t>事情發生後，你有沒有跟主管、老師或家人說？他們怎麼處理的？</t>
        </is>
      </c>
      <c r="R36" s="33" t="inlineStr">
        <is>
          <t>你希望法院怎麼做？是要對方搬出去、不能靠近，還是不能打電話給你？</t>
        </is>
      </c>
      <c r="S36" s="33" t="inlineStr">
        <is>
          <t>那些照片影片現在在哪裡？有多少人看過？你希望怎麼處理？</t>
        </is>
      </c>
      <c r="T36" s="33" t="inlineStr">
        <is>
          <t>事情之後你有沒有跟家人、老師或朋友說？有沒有去醫院？</t>
        </is>
      </c>
      <c r="U36" s="33" t="inlineStr">
        <is>
          <t>那些照片後來有沒有被傳出去？你希望怎麼處理？</t>
        </is>
      </c>
      <c r="V36" s="33" t="inlineStr">
        <is>
          <t>錢是什麼時候、在哪裡交的？金額多少？有沒有其他人看到？</t>
        </is>
      </c>
      <c r="W36" s="33" t="inlineStr">
        <is>
          <t>警察找孩子問話的時候，你有沒有在旁邊陪他？</t>
        </is>
      </c>
      <c r="X36" s="33" t="inlineStr">
        <is>
          <t>來玩的都是些什麼人？多久聚一次？</t>
        </is>
      </c>
      <c r="Y36" s="33" t="inlineStr">
        <is>
          <t>當時旁邊還有沒有其他人看到？有人報警嗎？</t>
        </is>
      </c>
      <c r="Z36" s="33" t="inlineStr">
        <is>
          <t>事情發生在什麼地方？當時旁邊還有誰？</t>
        </is>
      </c>
      <c r="AA36" s="33" t="inlineStr">
        <is>
          <t>旁邊有沒有磅秤、分裝袋或帳冊之類的東西？</t>
        </is>
      </c>
    </row>
    <row r="37">
      <c r="D37" s="33" t="inlineStr">
        <is>
          <t>你的土地在哪裡？你多久去看一次？</t>
        </is>
      </c>
      <c r="L37" s="33" t="inlineStr">
        <is>
          <t>這整件事持續了多久？你後來是怎麼離開的？</t>
        </is>
      </c>
      <c r="P37" s="33" t="inlineStr">
        <is>
          <t>對方跟你要帳戶的時候是怎麼說的？你有沒有再幫他領錢或轉錢？</t>
        </is>
      </c>
      <c r="Q37" s="33" t="inlineStr">
        <is>
          <t>事情發生在公司、學校還是外面？對方跟你是什麼關係？</t>
        </is>
      </c>
      <c r="T37" s="33" t="inlineStr">
        <is>
          <t>你今年幾歲？還在唸書嗎？</t>
        </is>
      </c>
      <c r="Z37" s="33" t="inlineStr">
        <is>
          <t>你知不知道對方有槍？是他自己說的還是你看到的？</t>
        </is>
      </c>
    </row>
    <row r="38">
      <c r="D38" s="33" t="inlineStr">
        <is>
          <t>你是什麼時候發現有人在上面蓋東西或鋪水泥的？</t>
        </is>
      </c>
      <c r="L38" s="33" t="inlineStr">
        <is>
          <t>你在那裡工作多久了？老闆每個月給你多少錢？</t>
        </is>
      </c>
      <c r="P38" s="33" t="inlineStr">
        <is>
          <t>你的帳戶是什麼時候交給對方的？後來有錢進來又被轉走嗎？你知不知道？</t>
        </is>
      </c>
      <c r="Q38" s="33" t="inlineStr">
        <is>
          <t>對方做了什麼？有幾次？公司或學校知不知道？</t>
        </is>
      </c>
      <c r="T38" s="33" t="inlineStr">
        <is>
          <t>事情發生的時候，你有答應嗎？還是你不懂、不敢出聲？</t>
        </is>
      </c>
      <c r="Z38" s="33" t="inlineStr">
        <is>
          <t>那把槍是買現成的，還是他自己改的？你有看過他動手改嗎？</t>
        </is>
      </c>
    </row>
    <row r="39">
      <c r="D39" s="33" t="inlineStr">
        <is>
          <t>對方有沒有跟你商量過？你們之前認不認識？</t>
        </is>
      </c>
      <c r="L39" s="33" t="inlineStr">
        <is>
          <t>你想離開的時候，老闆有沒有不讓你走？證件在誰手上？</t>
        </is>
      </c>
      <c r="P39" s="33" t="inlineStr">
        <is>
          <t>你是請對方幫你辦什麼事？錢本來應該交給誰？後來錢到哪裡去了？</t>
        </is>
      </c>
      <c r="Q39" s="33" t="inlineStr">
        <is>
          <t>你有沒有向公司、學校或警察申訴？他們怎麼處理的？</t>
        </is>
      </c>
      <c r="T39" s="33" t="inlineStr">
        <is>
          <t>對方跟你是什麼關係？你們怎麼認識的？</t>
        </is>
      </c>
      <c r="Z39" s="33" t="inlineStr">
        <is>
          <t>除了槍，你還有沒有看過子彈或零件放在他那裡？</t>
        </is>
      </c>
    </row>
  </sheetData>
  <pageMargins left="0.7" right="0.7" top="0.75" bottom="0.75" header="0.3" footer="0.3"/>
</worksheet>
</file>

<file path=xl/worksheets/sheet48.xml><?xml version="1.0" encoding="utf-8"?>
<worksheet xmlns="http://schemas.openxmlformats.org/spreadsheetml/2006/main">
  <sheetPr codeName="工作表51">
    <outlinePr summaryBelow="1" summaryRight="1"/>
    <pageSetUpPr/>
  </sheetPr>
  <dimension ref="A1:AD62"/>
  <sheetViews>
    <sheetView workbookViewId="0">
      <selection activeCell="D2" sqref="D2"/>
    </sheetView>
  </sheetViews>
  <sheetFormatPr baseColWidth="8" defaultRowHeight="20.1" customHeight="1"/>
  <cols>
    <col width="18.625" customWidth="1" style="680" min="1" max="1"/>
    <col width="17.875" customWidth="1" style="592" min="4" max="4"/>
    <col width="11.625" customWidth="1" style="680" min="10" max="10"/>
    <col width="15.875" customWidth="1" style="592" min="11" max="11"/>
    <col width="10.375" customWidth="1" style="680" min="12" max="12"/>
    <col width="8.75" customWidth="1" style="680" min="13" max="13"/>
    <col width="9.25" customWidth="1" style="680" min="14" max="14"/>
    <col width="10.75" customWidth="1" style="680" min="16" max="16"/>
    <col width="55" customWidth="1" style="680" min="24" max="24"/>
    <col width="55" customWidth="1" style="680" min="25" max="25"/>
    <col width="55" customWidth="1" style="680" min="26" max="26"/>
    <col width="55" customWidth="1" style="680" min="27" max="27"/>
    <col width="55" customWidth="1" style="680" min="28" max="28"/>
    <col width="55" customWidth="1" style="680" min="29" max="29"/>
    <col width="55" customWidth="1" style="680" min="30" max="30"/>
  </cols>
  <sheetData>
    <row r="1" ht="20.1" customHeight="1" s="680">
      <c r="A1" s="335" t="inlineStr">
        <is>
          <t>涉嫌人通用</t>
        </is>
      </c>
      <c r="B1" s="336" t="inlineStr">
        <is>
          <t>過失傷害</t>
        </is>
      </c>
      <c r="C1" s="336" t="inlineStr">
        <is>
          <t>傷害</t>
        </is>
      </c>
      <c r="D1" s="336" t="inlineStr">
        <is>
          <t>竊盜</t>
        </is>
      </c>
      <c r="E1" s="336" t="inlineStr">
        <is>
          <t>侵占</t>
        </is>
      </c>
      <c r="F1" s="336" t="inlineStr">
        <is>
          <t>毀損</t>
        </is>
      </c>
      <c r="G1" s="336" t="inlineStr">
        <is>
          <t>妨害電腦使用</t>
        </is>
      </c>
      <c r="H1" s="336" t="inlineStr">
        <is>
          <t>妨害名譽</t>
        </is>
      </c>
      <c r="I1" s="336" t="inlineStr">
        <is>
          <t>恐嚇</t>
        </is>
      </c>
      <c r="J1" s="336" t="inlineStr">
        <is>
          <t>撤回告訴</t>
        </is>
      </c>
      <c r="K1" s="913" t="inlineStr">
        <is>
          <t>性騷擾防治法</t>
        </is>
      </c>
      <c r="L1" s="259" t="inlineStr">
        <is>
          <t>公共危險</t>
        </is>
      </c>
      <c r="M1" s="259" t="inlineStr">
        <is>
          <t>通緝</t>
        </is>
      </c>
      <c r="N1" s="259" t="inlineStr">
        <is>
          <t>毒品危害防制條例</t>
        </is>
      </c>
      <c r="O1" s="263" t="inlineStr">
        <is>
          <t>逃逸外勞</t>
        </is>
      </c>
      <c r="P1" s="259" t="inlineStr">
        <is>
          <t>妨害秩序</t>
        </is>
      </c>
      <c r="Q1" s="780" t="inlineStr">
        <is>
          <t>妨害自由</t>
        </is>
      </c>
      <c r="R1" s="780" t="inlineStr">
        <is>
          <t>偽造文書</t>
        </is>
      </c>
      <c r="S1" s="780" t="inlineStr">
        <is>
          <t>跟蹤騷擾</t>
        </is>
      </c>
      <c r="T1" s="780" t="inlineStr">
        <is>
          <t>誣告</t>
        </is>
      </c>
      <c r="U1" s="780" t="inlineStr">
        <is>
          <t>違反保護令</t>
        </is>
      </c>
      <c r="V1" s="780" t="inlineStr">
        <is>
          <t>詐欺</t>
        </is>
      </c>
      <c r="W1" s="780" t="inlineStr">
        <is>
          <t>性騷擾</t>
        </is>
      </c>
      <c r="X1" s="1337" t="inlineStr">
        <is>
          <t>AI_妨害性自主</t>
        </is>
      </c>
      <c r="Y1" s="1337" t="inlineStr">
        <is>
          <t>AI_兒少性剝削</t>
        </is>
      </c>
      <c r="Z1" s="1337" t="inlineStr">
        <is>
          <t>AI_圖利賄賂</t>
        </is>
      </c>
      <c r="AA1" s="1337" t="inlineStr">
        <is>
          <t>AI_少年事件</t>
        </is>
      </c>
      <c r="AB1" s="1337" t="inlineStr">
        <is>
          <t>AI_賭博</t>
        </is>
      </c>
      <c r="AC1" s="1337" t="inlineStr">
        <is>
          <t>AI_公然猥褻</t>
        </is>
      </c>
      <c r="AD1" s="1337" t="inlineStr">
        <is>
          <t>AI_槍砲</t>
        </is>
      </c>
    </row>
    <row r="2" ht="40.5" customHeight="1" s="680">
      <c r="A2" s="250" t="inlineStr">
        <is>
          <t>警方所告知之罪名及權利你是否清楚?你有無刑案紀錄？</t>
        </is>
      </c>
      <c r="B2" s="257" t="inlineStr">
        <is>
          <t>你於何時、何地與何人發生車禍？如何發生車禍(雙方所駕駛之車輛當時狀態？行進方向？當時發現對方車輛時雙方相距約幾公尺？採取何種反應措施？發生碰撞前時速約達每小時幾公里？發生碰撞前、時速度為何？交通號誌為何？)？</t>
        </is>
      </c>
      <c r="C2" s="257" t="inlineStr">
        <is>
          <t>你於何時、何地如何遭人傷害？因何事與對方起爭執？他為何要傷害你？請詳述案發經過。</t>
        </is>
      </c>
      <c r="D2" s="599">
        <f>CONCATENATE("經警方提供你觀看監視器，於",輸入!$C$5,"，拿取該物品是否為你本人？")</f>
        <v/>
      </c>
      <c r="E2" s="780" t="inlineStr">
        <is>
          <t>警方有無告知你的應告知事項及罪名？你有無前述具有原住民、低收入戶或心智障礙等身分？有無需要請親友或辯護人到場？</t>
        </is>
      </c>
      <c r="F2" s="780" t="inlineStr">
        <is>
          <t>上記年籍資料是否正確？是否有刑案紀錄？你現在精神狀況是否清楚？</t>
        </is>
      </c>
      <c r="G2" s="780" t="inlineStr">
        <is>
          <t>上記年籍資料是否正確？是否有刑案紀錄？你現在精神狀況是否清楚？</t>
        </is>
      </c>
      <c r="H2" s="780" t="inlineStr">
        <is>
          <t>上記年籍資料是否正確？是否有刑案紀錄？你現在精神狀況是否清楚？</t>
        </is>
      </c>
      <c r="I2" s="780" t="inlineStr">
        <is>
          <t>上記年籍資料是否正確？是否有刑案紀錄？你現在精神狀況是否清楚？</t>
        </is>
      </c>
      <c r="J2" s="257">
        <f>CONCATENATE("你於",LEFT(下拉用!$J$9,10),"所報",輸入!$C$2,"(案號：",輸入!C13,")並第一次警詢筆錄所陳述是否實在?")</f>
        <v/>
      </c>
      <c r="K2" s="592" t="inlineStr">
        <is>
          <t>是否領有身心障礙證明？</t>
        </is>
      </c>
      <c r="L2" s="261">
        <f>CONCATENATE("本所警方於",下拉用!$J$10,"許巡經",輸入!$C$7,"時，發現",word用!$Z$2,"(",word用!$AA$2,")",輸入!$H$3,"，遂攔停",word用!$Z$2,"(",word用!$AA$2,")，攔停過程時發現駕駛人",word用!$H$2,"身上有濃厚之酒味，詢問駕駛人",word用!$H$2,"坦承有飲酒，經你同意實施酒精測試，且由你本人親自吹試之酒精濃度值酒測值為",word用!$AD$2,"MG/L，是否屬實? 你對於該結果有無任何疑義？")</f>
        <v/>
      </c>
      <c r="M2" s="261">
        <f>CONCATENATE("本所警員於勤務中，於",下拉用!$J$5,"許巡經",輸入!$C$7,"時，發現該",word用!$R$2,"子行跡可疑，上前盤查，發現為",輸入!$H$6,"，通緝日期：",LEFT(下拉用!$J$6,10),"，所發布之通緝犯，姓名：",word用!$H$2,"（",word用!$R$2,"性、",word用!$L$2,"、",UPPER(word用!$I$2),")，通緝文號：",word用!$AD$2,"，通緝案號：",word用!$AE$2,"；案由：",word用!$E$2,"，是否為你本人？")</f>
        <v/>
      </c>
      <c r="N2" s="260" t="inlineStr">
        <is>
          <t>你是否為未滿12歲兒童之父母、監護人或其他實際照顧兒童之人？</t>
        </is>
      </c>
      <c r="O2" s="264" t="inlineStr">
        <is>
          <t>你是何時、何地逃逸？因何事逃逸？</t>
        </is>
      </c>
      <c r="P2" s="780" t="inlineStr">
        <is>
          <t>上記年籍資料是否正確？是否有刑案紀錄？你現在精神狀況是否清楚？</t>
        </is>
      </c>
      <c r="Q2" s="780" t="inlineStr">
        <is>
          <t>上記年籍資料是否正確？是否有刑案紀錄？你現在精神狀況是否清楚？</t>
        </is>
      </c>
      <c r="R2" s="780" t="inlineStr">
        <is>
          <t>上記年籍資料是否正確？是否有刑案紀錄？現在精神狀況是否清楚？</t>
        </is>
      </c>
      <c r="S2" s="780" t="inlineStr">
        <is>
          <t>上記年籍資料是否正確？是否有刑案紀錄？現在精神狀況是否清楚？</t>
        </is>
      </c>
      <c r="T2" s="780" t="inlineStr">
        <is>
          <t>上記年籍資料是否正確？是否有刑案紀錄？現在精神狀況是否清楚？</t>
        </is>
      </c>
      <c r="U2" s="780" t="inlineStr">
        <is>
          <t>上記年籍資料是否正確？是否有刑案紀錄？現在精神狀況是否清楚？</t>
        </is>
      </c>
      <c r="V2" s="780" t="inlineStr">
        <is>
          <t>意圖使公務員登載不實或誣告他人將負刑事責任，你是否清楚？</t>
        </is>
      </c>
      <c r="W2" s="780" t="inlineStr">
        <is>
          <t>真實姓名對照表內之資料是否正確？是否為你本人？</t>
        </is>
      </c>
    </row>
    <row r="3" ht="18.75" customHeight="1" s="680">
      <c r="A3" s="250" t="inlineStr">
        <is>
          <t>你是否具有低收入戶、中低收入戶、原住民或其他依法令得請求法律扶助者的身分？妳是否需要通知親屬、法扶或委任律師陪同到場？</t>
        </is>
      </c>
      <c r="B3" s="36" t="inlineStr">
        <is>
          <t>當時的天氣如何?視野如何視線是否有遭遮蔽?標誌標線是否清楚？</t>
        </is>
      </c>
      <c r="C3" s="256" t="inlineStr">
        <is>
          <t>你有無打（反擊）該名？是否有造成對方受傷？</t>
        </is>
      </c>
      <c r="D3" s="592" t="inlineStr">
        <is>
          <t>你為何要拿取該物品？</t>
        </is>
      </c>
      <c r="E3" s="780" t="inlineStr">
        <is>
          <t>現因警力不足，你是否同意警方一人為你製作筆錄？</t>
        </is>
      </c>
      <c r="F3" s="780" t="inlineStr">
        <is>
          <t>上述警方所告知涉嫌罪名及得行使之權利，你是否清楚？你是否具有身心障礙、低收入戶、中低收入戶及原住民等身分？是否需要請辯護人及親友到場陪同製作筆錄？</t>
        </is>
      </c>
      <c r="G3" s="780" t="inlineStr">
        <is>
          <t>警方所告知涉嫌罪名及得行使之權利，你是否清楚？你是否具有身心障礙、低收入戶、中低收入戶及原住民等身分？是否需要請辯護人及親友到場陪同製作筆錄？</t>
        </is>
      </c>
      <c r="H3" s="780" t="inlineStr">
        <is>
          <t>警方告知你涉嫌妨害名譽罪名及得行使之三項權利，你是否清楚？你是否具有身心障礙、低收入戶、中低收入戶及原住民等身分？是否需要請辯護人及親友到場陪同製作筆錄？</t>
        </is>
      </c>
      <c r="I3" s="780" t="inlineStr">
        <is>
          <t>警方告知你涉嫌恐嚇罪名及得行使之三項權利，你是否清楚？你是否具有身心障礙、低收入戶、中低收入戶及原住民等身分？是否需要請辯護人及親友到場陪同製作筆錄？</t>
        </is>
      </c>
      <c r="J3" s="256">
        <f>CONCATENATE("警方於",下拉用!$J$10,"在約談涉嫌人來所說明案情,筆錄期間涉嫌人主動交付贓證物,是否為妳遭",輸入!$C$2,"之物品？")</f>
        <v/>
      </c>
      <c r="K3" s="592" t="inlineStr">
        <is>
          <t>警方告知今(  )日因處理「代號：○○○」○○○年○○月○○日所提性騷擾申訴事件通知你到場製作詢問紀錄，是否清楚?</t>
        </is>
      </c>
      <c r="L3" s="599">
        <f>CONCATENATE("警方是否有在對你實施酒測酒精測試前，是否有提供呼氣酒精測試檢定合格證書（檢定合格單號碼：",word用!$AK$2,"、酒測器編號：",word用!$AL$2,"）供你檢視？之後對你告知拒測的相關事項？是否有讓你簽名？")</f>
        <v/>
      </c>
      <c r="M3" s="261" t="inlineStr">
        <is>
          <t>你目前居於何處？是否有收到法院或地方檢察署通知傳票？為何未出庭？</t>
        </is>
      </c>
      <c r="N3" s="261" t="inlineStr">
        <is>
          <t>未滿12歲之兒童現在是否有人照顧？未滿12歲兒童之現居地？由何人照顧？照顧人聯絡資料？是否有獲得適當之照顧？</t>
        </is>
      </c>
      <c r="O3" s="265" t="inlineStr">
        <is>
          <t>你逃逸期間有無打工？在何處打工？居住何處？</t>
        </is>
      </c>
      <c r="P3" s="780" t="inlineStr">
        <is>
          <t>警方告知你涉嫌妨害秩序罪名及得行使之三項權利，你是否清楚？你是否具有身心障礙、低收入戶、中低收入戶及原住民等身分？是否需要請辯護人及親友到場陪同製作筆錄？</t>
        </is>
      </c>
      <c r="Q3" s="780" t="inlineStr">
        <is>
          <t>警方告知你涉嫌妨害自由罪名及得行使之三項權利，你是否清楚？你是否具有低收入戶、中低收入戶及原住民等身分？是否需要請辯護人到場陪同製作筆錄？</t>
        </is>
      </c>
      <c r="R3" s="780" t="inlineStr">
        <is>
          <t>警方告知你涉嫌偽造文書、使公務員登載不實罪名及得行使之三項權利，你是否清楚？是否需要請辯護人到場？</t>
        </is>
      </c>
      <c r="S3" s="780" t="inlineStr">
        <is>
          <t>警方告知你涉嫌違反跟蹤騷擾防制法罪名及得行使之三項權利，你是否清楚？是否需要請辯護人到場？</t>
        </is>
      </c>
      <c r="T3" s="780" t="inlineStr">
        <is>
          <t>警方告知你涉嫌誣告罪名及得行使之三項權利，你是否清楚？是否需要請辯護人到場？</t>
        </is>
      </c>
      <c r="U3" s="780" t="inlineStr">
        <is>
          <t>警方告知你涉嫌違反保護令罪及得行使之三項權利，你是否清楚？是否需要請辯護人到場？</t>
        </is>
      </c>
      <c r="V3" s="780" t="inlineStr">
        <is>
          <t>你(29)日因何事至本所製作詢問筆錄？</t>
        </is>
      </c>
      <c r="W3" s="780" t="inlineStr">
        <is>
          <t>警方告知今(24)日因處理「〈代號〉-〈代號〉」115年03月23日所提性騷擾申訴及告訴事件通知你到場製作調查筆錄，是否清楚？</t>
        </is>
      </c>
    </row>
    <row r="4" ht="18.75" customHeight="1" s="680">
      <c r="A4" s="250" t="inlineStr">
        <is>
          <t>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t>
        </is>
      </c>
      <c r="B4" s="36" t="inlineStr">
        <is>
          <t>發生擦撞之撞擊部位為何？車輀受損狀況？是否有估價單？</t>
        </is>
      </c>
      <c r="C4" s="256" t="inlineStr">
        <is>
          <t>用何種器具傷害你身體何處？使你何處受傷，傷勢如何？在哪家醫院診斷？是否能提出診斷證明書？</t>
        </is>
      </c>
      <c r="D4" s="592" t="inlineStr">
        <is>
          <t>你拿取該物品時，有無結帳？</t>
        </is>
      </c>
      <c r="E4" s="780" t="inlineStr">
        <is>
          <t>上開年籍資料是否為你本人？是否正確？</t>
        </is>
      </c>
      <c r="F4" s="780" t="inlineStr">
        <is>
          <t>現因警力不足，是否同意由警方一人為你製作筆錄？</t>
        </is>
      </c>
      <c r="G4" s="780" t="inlineStr">
        <is>
          <t>現因警力不足，是否同意由警方一人為你製作筆錄？</t>
        </is>
      </c>
      <c r="H4" s="780" t="inlineStr">
        <is>
          <t>現因警力不足，是否同意由警方一人為你製作筆錄？</t>
        </is>
      </c>
      <c r="I4" s="780" t="inlineStr">
        <is>
          <t>現因警力不足，是否同意由警方一人為你製作筆錄？</t>
        </is>
      </c>
      <c r="J4" s="255">
        <f>CONCATENATE("警方於",下拉用!$J$10,"在",輸入!$H$13,"發現贓證物，是否為妳遭竊之物品？")</f>
        <v/>
      </c>
      <c r="K4" s="592" t="inlineStr">
        <is>
          <t>你現在精神狀況如何？是否可以製作詢問紀錄?</t>
        </is>
      </c>
      <c r="L4" s="261" t="inlineStr">
        <is>
          <t>你飲酒結束時間為何？且至警方將你攔停時間是否已經超過15分鐘以上？警方於現場施測前有無提供礦泉水讓你漱口或飲用？</t>
        </is>
      </c>
      <c r="M4" s="261" t="inlineStr">
        <is>
          <t>通緝期間你目前經濟來源為何？有無他人幫你藏匿，及再犯其他刑案？</t>
        </is>
      </c>
      <c r="N4" s="260" t="inlineStr">
        <is>
          <t>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t>
        </is>
      </c>
      <c r="O4" s="265" t="inlineStr">
        <is>
          <t>你逃逸期間經濟來源為何？</t>
        </is>
      </c>
      <c r="P4" s="780" t="inlineStr">
        <is>
          <t>現因警力不足，是否同意由警方一人為你製作筆錄？</t>
        </is>
      </c>
      <c r="Q4" s="780" t="inlineStr">
        <is>
          <t>現因警力不足，是否同意由警方一人為你製作筆錄？</t>
        </is>
      </c>
      <c r="R4" s="780" t="inlineStr">
        <is>
          <t>你是否為低收入戶、中低收入戶、原住民身分？是否領有身心障礙證明手冊？</t>
        </is>
      </c>
      <c r="S4" s="780" t="inlineStr">
        <is>
          <t>你是否為低收入戶、中低收入戶、原住民身分？是否領有身心障礙證明？現因警力不足，是否同意由警方一人為你製作筆錄？</t>
        </is>
      </c>
      <c r="T4" s="780" t="inlineStr">
        <is>
          <t>你是否為低收入戶、中低收入戶、原住民身分？是否領有身心障礙證明？現因警力不足，是否同意由警方一人為你製作筆錄？</t>
        </is>
      </c>
      <c r="U4" s="780" t="inlineStr">
        <is>
          <t>你是否為低收入戶、中低收入戶、原住民身分？是否領有身心障礙證明？現因警力不足，是否同意由警方一人為你製作筆錄？</t>
        </is>
      </c>
      <c r="V4" s="780" t="inlineStr">
        <is>
          <t>以上所言是否實在？有無其他補充陳述之意見？</t>
        </is>
      </c>
      <c r="W4" s="780" t="inlineStr">
        <is>
          <t>你今（6/19）因何事前來派出所製作調查筆錄？</t>
        </is>
      </c>
    </row>
    <row r="5" ht="18.75" customHeight="1" s="680">
      <c r="A5" s="250">
        <f>CONCATENATE("現在時間",LEFT(下拉用!$J$5,10),"時分許，依刑事訴訟法為夜間偵訊時間，你是否同意接受製作夜間警詢筆錄？目前精神狀況是否良好？意識是否清醒？")</f>
        <v/>
      </c>
      <c r="B5" s="256" t="inlineStr">
        <is>
          <t>當時為何人駕駛？車號車種為何？你車上共乘幾人？對方駕駛為何人？車號車種為何？對方車上共乘幾人？</t>
        </is>
      </c>
      <c r="C5" s="256" t="inlineStr">
        <is>
          <t>有無其他物品遭毀損？</t>
        </is>
      </c>
      <c r="D5" s="592">
        <f>CONCATENATE("該物品目前現於何處？",$A$13)</f>
        <v/>
      </c>
      <c r="E5" s="780" t="inlineStr">
        <is>
          <t>你今日因何事至派出所製作筆錄？</t>
        </is>
      </c>
      <c r="F5" s="780" t="inlineStr">
        <is>
          <t>依刑法第57條規定，犯案後之態度將作為檢察官及法官日後審案量刑之依據，你是否清楚？是否願意向警方據實陳述？</t>
        </is>
      </c>
      <c r="G5" s="780" t="inlineStr">
        <is>
          <t>你今日因何事至本所製作筆錄？</t>
        </is>
      </c>
      <c r="H5" s="780" t="inlineStr">
        <is>
          <t>你今日因何事至本所製作筆錄？</t>
        </is>
      </c>
      <c r="I5" s="780" t="inlineStr">
        <is>
          <t>你今日因何事至本所製作筆錄？</t>
        </is>
      </c>
      <c r="J5" s="256" t="inlineStr">
        <is>
          <t>贓物認領保管單是否為妳本人確認無誤後親自簽名?</t>
        </is>
      </c>
      <c r="K5" s="592" t="inlineStr">
        <is>
          <t>你現在任職單位為何?職稱(位)為何？任現職多久？工作內容為何?薪資由何人支應? （釐清性平三法之適用，並請詳加調查行為人所屬單位或是否為最高負責人）</t>
        </is>
      </c>
      <c r="L5" s="599">
        <f>CONCATENATE("警方對你實施酒測酒精測定值",word用!$AD$2,"mg/l,酒測單案號",word用!$AM$2,"號、酒測器編號",word用!$AL$2,",是否為你本人親自簽名的？是否為你本人親自吹測無誤？")</f>
        <v/>
      </c>
      <c r="M5" s="261" t="inlineStr">
        <is>
          <t>你於發布通緝日之後，有無再犯其他案件？</t>
        </is>
      </c>
      <c r="N5" s="260" t="inlineStr">
        <is>
          <t>你是否知道如主動供出毒品之上游來源，使警方因而破獲者，依法可獲得減刑？</t>
        </is>
      </c>
      <c r="O5" s="265" t="inlineStr">
        <is>
          <t>你是逃逸外勞依法須遣送離台有無意見？</t>
        </is>
      </c>
      <c r="P5" s="780" t="inlineStr">
        <is>
          <t>你今日因何事至本所製作筆錄？</t>
        </is>
      </c>
      <c r="Q5" s="780" t="inlineStr">
        <is>
          <t>依刑法第57條規定，犯案後之態度將作為日後檢察官及法官量刑之依據，你是否清楚？是否願意向警方據實陳述？</t>
        </is>
      </c>
      <c r="R5" s="780" t="inlineStr">
        <is>
          <t>現因警力不足，是否同意由警方一人為你製作筆錄？</t>
        </is>
      </c>
      <c r="S5" s="780" t="inlineStr">
        <is>
          <t>依刑法第57條規定，犯案後之態度將作為日後檢察官及法官量刑之依據，你是否清楚？是否願意向警方據實陳述？</t>
        </is>
      </c>
      <c r="T5" s="780" t="inlineStr">
        <is>
          <t>依刑法第57條規定，犯案後之態度將作為日後檢察官及法官量刑之依據，你是否清楚？是否願意向警方據實陳述？</t>
        </is>
      </c>
      <c r="U5" s="780" t="inlineStr">
        <is>
          <t>依刑法第57條規定，犯案後之態度將作為日後檢察官及法官量刑之依據，你是否清楚？是否願意向警方據實陳述？</t>
        </is>
      </c>
      <c r="W5" s="780" t="inlineStr">
        <is>
          <t>你現在精神狀況如何？是否可以製作詢問紀錄？</t>
        </is>
      </c>
    </row>
    <row r="6" ht="18.75" customHeight="1" s="680">
      <c r="A6" s="247">
        <f>CONCATENATE("現在時間",LEFT(下拉用!$J$5,10),"時分許，依刑事訴訟法為夜間偵訊時間，警方不得對你詢問製作筆錄，你是否知悉？")</f>
        <v/>
      </c>
      <c r="B6" s="256" t="inlineStr">
        <is>
          <t>車禍當時有無向警方報案？警方有無到場處理？對方是否有留在現場或逃逸？現場是否有移動？有無拍照或標繪？</t>
        </is>
      </c>
      <c r="C6" s="256" t="inlineStr">
        <is>
          <t>你還記得傷害你的那個男子的特徵、外貌？</t>
        </is>
      </c>
      <c r="D6" s="592" t="inlineStr">
        <is>
          <t>你拿取物品時有無使用工具？</t>
        </is>
      </c>
      <c r="E6" s="780" t="inlineStr">
        <is>
          <t>你於何時、何地、如何取得該物品？你取得該物品時，是否知悉該物品係他人所有？請詳述案發經過。</t>
        </is>
      </c>
      <c r="F6" s="780" t="inlineStr">
        <is>
          <t>你今日因何事至本所製作筆錄？</t>
        </is>
      </c>
      <c r="G6" s="780" t="inlineStr">
        <is>
          <t>你是否為該帳號之申請人或所有人？該帳號平時由何人使用？</t>
        </is>
      </c>
      <c r="H6" s="780" t="inlineStr">
        <is>
          <t>警方受理被害人報案稱你於何時、何地對渠發表何種言論或行為，你是否知悉此事？</t>
        </is>
      </c>
      <c r="I6" s="780" t="inlineStr">
        <is>
          <t>警方受理被害人報案稱你於何時、何地，以何種言語或行為使渠心生畏懼，你是否知悉此事？</t>
        </is>
      </c>
      <c r="J6" s="256" t="inlineStr">
        <is>
          <t>為何你要撤回告訴？請詳述原因。撤回告訴狀與和解書是否由你親自填寫？是否能提供給警方？</t>
        </is>
      </c>
      <c r="K6" s="592" t="inlineStr">
        <is>
          <t>你於○○○年○○月○○日○○時○○分（被害人指述之時間）人在何處?發生何事?請詳述?</t>
        </is>
      </c>
      <c r="L6" s="261">
        <f>CONCATENATE("因你觸犯刑法公共危險案，警方依法對你代保管車輛，",word用!$Z$2,"(",word用!$AA$2,")，該告發單 ",word用!$AN$2," 及移置車輛保管單號 ",word用!$AO$2," 是否都有交給你？")</f>
        <v/>
      </c>
      <c r="M6" s="260" t="n"/>
      <c r="N6" s="260" t="inlineStr">
        <is>
          <t>你於何時？何地？因何事為警方查獲？現場尚有何人？</t>
        </is>
      </c>
      <c r="O6" s="265" t="inlineStr">
        <is>
          <t>你目前身上有多少現金？你的護照目前在何處?</t>
        </is>
      </c>
      <c r="P6" s="780" t="inlineStr">
        <is>
          <t>警方受理被害人報案稱你於何時、何地，有無實施丟擲鞭炮、噴灑滅火器等足以妨害公共秩序之行為，你是否知悉此事？</t>
        </is>
      </c>
      <c r="Q6" s="780" t="inlineStr">
        <is>
          <t>你今日因何事至本所製作筆錄？</t>
        </is>
      </c>
      <c r="R6" s="780" t="inlineStr">
        <is>
          <t>依刑法第57條規定，犯案後之態度將作為日後檢察官及法官量刑之依據，你是否清楚？是否願意向警方據實陳述？</t>
        </is>
      </c>
      <c r="S6" s="780" t="inlineStr">
        <is>
          <t>你今日因何事至本所製作筆錄？</t>
        </is>
      </c>
      <c r="T6" s="780" t="inlineStr">
        <is>
          <t>你今日因何事至本所製作筆錄？</t>
        </is>
      </c>
      <c r="U6" s="780" t="inlineStr">
        <is>
          <t>你今日因何事至本所製作筆錄？</t>
        </is>
      </c>
      <c r="W6" s="780" t="inlineStr">
        <is>
          <t>請詳述案發過程。</t>
        </is>
      </c>
    </row>
    <row r="7" ht="18.75" customHeight="1" s="680">
      <c r="A7" s="250">
        <f>CONCATENATE("妳今(",MID(輸入!$C$11,6,2),")日因何事接受警方製作筆錄？")</f>
        <v/>
      </c>
      <c r="B7" s="256" t="inlineStr">
        <is>
          <t>車禍當時有無人員受傷？受傷情形為何？當時有沒有叫救護車？有無前往醫院就醫並開立診斷證明？</t>
        </is>
      </c>
      <c r="C7" s="256" t="n"/>
      <c r="D7" s="592" t="inlineStr">
        <is>
          <t>你拿取物品後往何處離開？有無使用交通工具？</t>
        </is>
      </c>
      <c r="E7" s="780" t="inlineStr">
        <is>
          <t>據被害人指稱渠於案發當日掉落該物品，與你所稱拾取該物品之經過是否相符？</t>
        </is>
      </c>
      <c r="F7" s="780" t="inlineStr">
        <is>
          <t>警方受理被害人報案稱渠所有之物品於案發時、地遭人毀損，你是否知悉此事？</t>
        </is>
      </c>
      <c r="G7" s="780" t="inlineStr">
        <is>
          <t>你是否曾將該帳號、密碼提供或借予他人使用？或告知他人帳號密碼？</t>
        </is>
      </c>
      <c r="H7" s="780" t="inlineStr">
        <is>
          <t>你是否有於網路上或公開場所發表上開言論？請說明該言論之內容及散布管道。</t>
        </is>
      </c>
      <c r="I7" s="780" t="inlineStr">
        <is>
          <t>你是否曾對被害人說出上開言語或做出上開行為？請說明當時情形。</t>
        </is>
      </c>
      <c r="J7" s="256" t="inlineStr">
        <is>
          <t>依刑事訴訟法第 238 條 告訴乃論之罪，告訴人於第一審辯論終結前，得撤回其告訴。撤回告訴之人，不得再為同一件事提出告訴。你是否確定要撤回告訴？</t>
        </is>
      </c>
      <c r="K7" s="592" t="inlineStr">
        <is>
          <t>被害人向警方指稱…（被害人對行為人之指訴內容），是否屬實?</t>
        </is>
      </c>
      <c r="L7" s="261" t="inlineStr">
        <is>
          <t>你於何時、何地與何人一同喝酒？是飲用何種酒？共喝多少？你於何時結束飲酒？飲酒後騎乘何駕駛工具？車號？該車主為何人？</t>
        </is>
      </c>
      <c r="M7" s="260" t="n"/>
      <c r="N7" s="260" t="inlineStr">
        <is>
          <t>你當場為警方查獲何物？係何人所有？有何用途？</t>
        </is>
      </c>
      <c r="O7" s="265" t="inlineStr">
        <is>
          <t>你是否可以備妥金錢、機票及護照？警方將把你移交內政部移民署遣返回國，是否清楚？</t>
        </is>
      </c>
      <c r="P7" s="780" t="inlineStr">
        <is>
          <t>你是否曾於上開時、地做出上開行為？請說明當時情形。</t>
        </is>
      </c>
      <c r="Q7" s="780" t="inlineStr">
        <is>
          <t>警方受理被害人報案稱你於何時、何地，有無以肢體、言語或其他方法妨害渠行動自由，你是否知悉此事？</t>
        </is>
      </c>
      <c r="R7" s="780" t="inlineStr">
        <is>
          <t>你今日因何事至本所製作筆錄？</t>
        </is>
      </c>
      <c r="S7" s="780" t="inlineStr">
        <is>
          <t>被害人報案稱你於何時、何地對渠實施監視、觀察、跟蹤、盯梢、守候或尾隨等行為，你是否知悉此事？</t>
        </is>
      </c>
      <c r="T7" s="780" t="inlineStr">
        <is>
          <t>被害人報案稱你明知虛偽仍向檢察官或警察機關提出刑事告訴，意圖使渠受刑事處分，你是否知悉此事？</t>
        </is>
      </c>
      <c r="U7" s="780" t="inlineStr">
        <is>
          <t>被害人指稱你於何時、何地違反法院核發之保護令，你是否知悉此事？</t>
        </is>
      </c>
      <c r="W7" s="780" t="inlineStr">
        <is>
          <t>你於何時、何地遭受行為人實施性騷擾行為？請詳述案發過程</t>
        </is>
      </c>
    </row>
    <row r="8" ht="18.75" customHeight="1" s="680">
      <c r="A8" s="250" t="inlineStr">
        <is>
          <t>你是否知悉於警詢筆錄中做不實陳述須負法律責任?</t>
        </is>
      </c>
      <c r="B8" s="256" t="inlineStr">
        <is>
          <t>有無開立交通事故登記聯單？有無核發交通事故初步分析研判表？肇事原因為何？有無申請鑑定？</t>
        </is>
      </c>
      <c r="C8" s="256" t="n"/>
      <c r="D8" s="592" t="inlineStr">
        <is>
          <t>你是否願意前往商家結帳？是否願意提供明細？</t>
        </is>
      </c>
      <c r="E8" s="780" t="inlineStr">
        <is>
          <t>你取得該物品後，將該物品放置於何處？</t>
        </is>
      </c>
      <c r="F8" s="780" t="inlineStr">
        <is>
          <t>警方出示監視器畫面供你辨識，畫面中之行為人是否為你本人？</t>
        </is>
      </c>
      <c r="G8" s="780" t="inlineStr">
        <is>
          <t>你於何時、何地、如何登入使用該帳號？最後一次登入使用該帳號是何時？</t>
        </is>
      </c>
      <c r="H8" s="780" t="inlineStr">
        <is>
          <t>你為何要發表上開言論？目的為何？</t>
        </is>
      </c>
      <c r="I8" s="780" t="inlineStr">
        <is>
          <t>經警方出示監視器畫面或對話紀錄，畫面（內容）中之人是否為你本人？</t>
        </is>
      </c>
      <c r="K8" s="592" t="inlineStr">
        <is>
          <t>你是否為被害人所指稱之行為人?</t>
        </is>
      </c>
      <c r="L8" s="261">
        <f>CONCATENATE("你從何時、何地開始駕駛",word用!$Z$2,"(",word用!$AA$2,")？行駛的距離？欲前往何處？")</f>
        <v/>
      </c>
      <c r="M8" s="260" t="n"/>
      <c r="N8" s="260">
        <f>CONCATENATE("你以何方式施用毒品",輸入!$H$7,"？有無以扣案之物品作為施用之器具？多久施用1次？數量為何？")</f>
        <v/>
      </c>
      <c r="O8" s="266" t="inlineStr">
        <is>
          <t>依就業服務法第60條規定，若查無非法容留、聘僱或媒介外國
人從事工作者及遣送事由可歸責之雇主者，其收容費用應由被
遣送之外國人負擔，你是否清楚？</t>
        </is>
      </c>
      <c r="P8" s="780" t="inlineStr">
        <is>
          <t>經警方出示監視器畫面供你辨識，畫面中之行為人是否為你本人？</t>
        </is>
      </c>
      <c r="Q8" s="780" t="inlineStr">
        <is>
          <t>經警方出示監視器（行車紀錄器）畫面供你辨識，畫面中之行為人是否為你本人？</t>
        </is>
      </c>
      <c r="R8" s="780" t="inlineStr">
        <is>
          <t>被害人報案稱你未經同意擅自使用渠身分資料、冒名簽署或行使偽造文書，你是否知悉此事？</t>
        </is>
      </c>
      <c r="S8" s="780" t="inlineStr">
        <is>
          <t>承上，你是否有以電話、簡訊、電子郵件、社群軟體或其他電子通訊設備，對被害人反覆或持續干擾？請說明具體內容。</t>
        </is>
      </c>
      <c r="T8" s="780" t="inlineStr">
        <is>
          <t>你是否曾向地檢署、法院或警察機關提出告訴、告發或申告？內容為何？請詳述。</t>
        </is>
      </c>
      <c r="U8" s="780" t="inlineStr">
        <is>
          <t>你是否知悉被害人已向法院聲請保護令並經核發？有無收到保護令之送達？</t>
        </is>
      </c>
      <c r="W8" s="780" t="inlineStr">
        <is>
          <t>你現在任職單位的職稱(位)為何？任現職多久？工作內容為何？薪資由何人支應？（釐清性平三法之適用）</t>
        </is>
      </c>
    </row>
    <row r="9" ht="18.75" customHeight="1" s="680">
      <c r="A9" s="250" t="inlineStr">
        <is>
          <t>你有無為自己或他人推卸刑責而向警方為不實陳述？</t>
        </is>
      </c>
      <c r="B9" s="256" t="inlineStr">
        <is>
          <t>你車禍發生時有無服用酒類或其他含有酒精成分之飲品或食品？有無實施酒精濃度測試？</t>
        </is>
      </c>
      <c r="C9" s="256" t="n"/>
      <c r="E9" s="780" t="inlineStr">
        <is>
          <t>該物品現於何處？是否可以當場交付予警方？</t>
        </is>
      </c>
      <c r="F9" s="780" t="inlineStr">
        <is>
          <t>經警方提示監視器畫面，你是否確有毀損他人之物品？請說明當時情形。</t>
        </is>
      </c>
      <c r="G9" s="780" t="inlineStr">
        <is>
          <t>該帳號之登入裝置、地點與時間為何？有無他人同時使用該帳號之情形？</t>
        </is>
      </c>
      <c r="H9" s="780" t="inlineStr">
        <is>
          <t>上開言論所述內容是否屬實？有無相當理由確信其為真實？你有無事前查證？</t>
        </is>
      </c>
      <c r="I9" s="780" t="inlineStr">
        <is>
          <t>你為何要對被害人說出上開言語或做出上開行為？目的為何？</t>
        </is>
      </c>
      <c r="J9" s="256" t="n"/>
      <c r="K9" s="592" t="inlineStr">
        <is>
          <t>○○網域虛擬代號「○○」是否為你本人使用?（網路性騷擾使用）</t>
        </is>
      </c>
      <c r="L9" s="261" t="inlineStr">
        <is>
          <t>你於108年7月1日酒駕新法上路後是否有因酒後駕車遭警方查獲？</t>
        </is>
      </c>
      <c r="M9" s="260" t="n"/>
      <c r="N9" s="260">
        <f>CONCATENATE("你(於前案後)於何時、何地施用毒品",輸入!$H$7,"？")</f>
        <v/>
      </c>
      <c r="O9" s="265" t="inlineStr">
        <is>
          <t>遭警方逮捕時有無受傷？逃逸期間有無遭人虐待？</t>
        </is>
      </c>
      <c r="P9" s="780" t="inlineStr">
        <is>
          <t>你為何要為上開行為？目的為何？</t>
        </is>
      </c>
      <c r="Q9" s="780" t="inlineStr">
        <is>
          <t>你是否曾阻止被害人離去、限制渠行動或強迫渠行無義務之事？請說明當時情形。</t>
        </is>
      </c>
      <c r="R9" s="780" t="inlineStr">
        <is>
          <t>你是如何取得被害人之身分證件、帳戶資料或印章等文件？請詳述來源。</t>
        </is>
      </c>
      <c r="S9" s="780" t="inlineStr">
        <is>
          <t>你是否曾對被害人為警告、威脅、嘲弄、辱罵、歧視或不當追求之言語、行動？</t>
        </is>
      </c>
      <c r="T9" s="780" t="inlineStr">
        <is>
          <t>你提告當時所陳述之事實是否屬實？有何根據或證據？</t>
        </is>
      </c>
      <c r="U9" s="780" t="inlineStr">
        <is>
          <t>你違反保護令之行為為何？（例如：接近被害人住居所、以電話或訊息騷擾、實施暴力等）請詳述。</t>
        </is>
      </c>
      <c r="W9" s="780" t="inlineStr">
        <is>
          <t>是否領有身心障礙證明？是否經醫囑使用精神藥物？身障類別、鑑定向度及障礙程度為何？</t>
        </is>
      </c>
    </row>
    <row r="10" ht="18.75" customHeight="1" s="680">
      <c r="A10" s="250" t="inlineStr">
        <is>
          <t>警方製作警詢筆錄時，有無全程錄音錄影？</t>
        </is>
      </c>
      <c r="B10" s="256" t="inlineStr">
        <is>
          <t>你當下行駛過程中是否有在車上使用行動電話或其他足以造成行車安全之行為?對方是否有使用？</t>
        </is>
      </c>
      <c r="C10" s="256" t="n"/>
      <c r="E10" s="780" t="inlineStr">
        <is>
          <t>你為何要侵占該物品？</t>
        </is>
      </c>
      <c r="F10" s="780" t="inlineStr">
        <is>
          <t>你為何要毀損該物品？目的為何？</t>
        </is>
      </c>
      <c r="G10" s="780" t="inlineStr">
        <is>
          <t>你是否知悉他人未經授權入侵、登入或使用該帳號？你如何知悉？</t>
        </is>
      </c>
      <c r="H10" s="780" t="inlineStr">
        <is>
          <t>你所發表之言論係指涉何人？是否知悉該言論會貶損他人名譽？</t>
        </is>
      </c>
      <c r="I10" s="780" t="inlineStr">
        <is>
          <t>你為上開行為時，有無其他人共同參與？有無受人指使、教唆？</t>
        </is>
      </c>
      <c r="J10" s="256" t="n"/>
      <c r="K10" s="592" t="inlineStr">
        <is>
          <t>你對被害人之指述作何主張?請詳加描述當時情況?</t>
        </is>
      </c>
      <c r="L10" s="261" t="inlineStr">
        <is>
          <t>店家是否有告知酒後不能駕車，或是提供勿酒後駕車之標語，標示?請問你為何會有酒後駕車的行為？</t>
        </is>
      </c>
      <c r="M10" s="260" t="n"/>
      <c r="N10" s="260">
        <f>CONCATENATE("你所施用之毒品",輸入!$H$7,"係於何時、何地、向何人取得？價格、數量為何？")</f>
        <v/>
      </c>
      <c r="O10" s="265" t="n"/>
      <c r="P10" s="780" t="inlineStr">
        <is>
          <t>你為上開行為時，有無其他人共同參與？有無受人指使、教唆？</t>
        </is>
      </c>
      <c r="Q10" s="780" t="inlineStr">
        <is>
          <t>你為何要為上開行為？目的為何？</t>
        </is>
      </c>
      <c r="R10" s="780" t="inlineStr">
        <is>
          <t>你於何時、何地、以何種方式冒用被害人名義製作或行使何種文書？請說明該文書之種類、內容及用途。</t>
        </is>
      </c>
      <c r="S10" s="780" t="inlineStr">
        <is>
          <t>經警方提示監視器畫面或被害人提供之對話紀錄供你辨識，畫面（紀錄）中之人是否為你本人？你承不承認？</t>
        </is>
      </c>
      <c r="T10" s="780" t="inlineStr">
        <is>
          <t>承上，經警方查明被害人所稱與事實不符，你有何解釋？是否有誤認、誤信或受人誤導之情形？</t>
        </is>
      </c>
      <c r="U10" s="780" t="inlineStr">
        <is>
          <t>被害人報案前你是否已知悉保護令之內容？保護令主文禁止你做何事？</t>
        </is>
      </c>
      <c r="W10" s="780" t="inlineStr">
        <is>
          <t>你是否認識被害人？是否曾有仇怨糾紛或借貸關係？</t>
        </is>
      </c>
    </row>
    <row r="11" ht="18.75" customHeight="1" s="680">
      <c r="A11" s="250" t="inlineStr">
        <is>
          <t>警方於偵訊時你所陳述之事實是否為你自由意識下所陳述？警方有無以強暴脅迫等不正方法對你取供？警方在逮捕你時，有無使你受傷？</t>
        </is>
      </c>
      <c r="B11" s="503" t="inlineStr">
        <is>
          <t>你是否有裝設行車紀錄器?是否知悉對方有無裝設?你是否清楚案發地有無監視器的設置?</t>
        </is>
      </c>
      <c r="C11" s="256" t="n"/>
      <c r="E11" s="780" t="inlineStr">
        <is>
          <t>你是如何侵占該物品？有無使用工具或遮掩？</t>
        </is>
      </c>
      <c r="F11" s="780" t="inlineStr">
        <is>
          <t>你是如何毀損該物品？有無使用工具？使用何種工具？</t>
        </is>
      </c>
      <c r="G11" s="780" t="inlineStr">
        <is>
          <t>你是否同意或授權他人使用該帳號？有無書面或其他證明？</t>
        </is>
      </c>
      <c r="H11" s="780" t="inlineStr">
        <is>
          <t>你發表上開言論時，現場有無其他人在場或見聞？</t>
        </is>
      </c>
      <c r="I11" s="780" t="inlineStr">
        <is>
          <t>你是否認識被害人？雙方有無仇恨、糾紛或其他利益衝突？</t>
        </is>
      </c>
      <c r="J11" s="256" t="n"/>
      <c r="K11" s="411" t="inlineStr">
        <is>
          <t>（就陳述之疑點反問）</t>
        </is>
      </c>
      <c r="L11" s="261" t="inlineStr">
        <is>
          <t>你酒後駕車期間是否有與人發生交通事故？</t>
        </is>
      </c>
      <c r="M11" s="260" t="n"/>
      <c r="N11" s="260" t="inlineStr">
        <is>
          <t>你最後一次施用毒品係於何時、何地、如何施用？</t>
        </is>
      </c>
      <c r="O11" s="36" t="n"/>
      <c r="P11" s="780" t="inlineStr">
        <is>
          <t>你是否認識被害人（報案人）？雙方有無仇恨、糾紛或嫌隙？</t>
        </is>
      </c>
      <c r="Q11" s="780" t="inlineStr">
        <is>
          <t>你為上開行為時，有無其他人共同參與？有無受人指使、教唆？</t>
        </is>
      </c>
      <c r="R11" s="780" t="inlineStr">
        <is>
          <t>經警方提示相關文書（契約、證件申請書、報稅資料等）供你辨識，其上簽名是否為你本人所簽？你承不承認？</t>
        </is>
      </c>
      <c r="S11" s="780" t="inlineStr">
        <is>
          <t>你為何要為上開行為？是否知悉被害人已明確表達不願與你往來或請你不要靠近？</t>
        </is>
      </c>
      <c r="T11" s="780" t="inlineStr">
        <is>
          <t>你提出上開告訴之目的為何？有無圖使被害人受刑事或懲戒處分之意圖？</t>
        </is>
      </c>
      <c r="U11" s="780" t="inlineStr">
        <is>
          <t>你為何要違反保護令之規定接近或騷擾被害人？目的為何？</t>
        </is>
      </c>
      <c r="W11" s="780" t="inlineStr">
        <is>
          <t>針對以上所述，是否可以提供警方相關佐證資料以證明之你所主張之真實性？</t>
        </is>
      </c>
    </row>
    <row r="12" ht="18.75" customHeight="1" s="680">
      <c r="A12" s="599" t="inlineStr">
        <is>
          <t>警方於偵訊時你所陳述之事實是否為你自由意識下所陳述？警方有無以強暴脅迫等不正方法對你取供？</t>
        </is>
      </c>
      <c r="B12" s="256" t="inlineStr">
        <is>
          <t>事後你與對方有無商談相關賠償事宜?是否有達成和解？</t>
        </is>
      </c>
      <c r="C12" s="255" t="n"/>
      <c r="E12" s="780" t="inlineStr">
        <is>
          <t>你侵占該物品時，有無其他共犯？有無受他人指使、教唆？</t>
        </is>
      </c>
      <c r="F12" s="780" t="inlineStr">
        <is>
          <t>你犯案時有無其他人陪同？是否共同實施？有無受人唆使？</t>
        </is>
      </c>
      <c r="G12" s="780" t="inlineStr">
        <is>
          <t>你有無點擊不明網站連結、釣魚郵件或提供驗證碼予他人？</t>
        </is>
      </c>
      <c r="H12" s="780" t="inlineStr">
        <is>
          <t>你發表上開言論時，有無其他人共同參與？有無受人指使、教唆？</t>
        </is>
      </c>
      <c r="I12" s="780" t="inlineStr">
        <is>
          <t>你是否知悉你所為之言語或行為足以使人心生畏懼？</t>
        </is>
      </c>
      <c r="J12" s="256" t="n"/>
      <c r="K12" s="592" t="inlineStr">
        <is>
          <t>你對被害人施以前揭行為時，被害人有何反應(反抗或制止行為)?</t>
        </is>
      </c>
      <c r="L12" s="261" t="inlineStr">
        <is>
          <t>警方於查獲你時，妳車上是否有附載未滿12歲之人或其他乘客？</t>
        </is>
      </c>
      <c r="M12" s="260" t="n"/>
      <c r="N12" s="260" t="inlineStr">
        <is>
          <t>你使用之電話號碼？其申登人為何？開機密碼？鎖屏密碼？</t>
        </is>
      </c>
      <c r="O12" s="252" t="n"/>
      <c r="P12" s="780" t="inlineStr">
        <is>
          <t>你是否知悉你所為之行為足以造成公眾或他人生命、身體、財產之危險或心生畏懼？</t>
        </is>
      </c>
      <c r="Q12" s="780" t="inlineStr">
        <is>
          <t>你是否認識被害人？雙方有無仇恨、糾紛或金錢借貸關係？</t>
        </is>
      </c>
      <c r="R12" s="780" t="inlineStr">
        <is>
          <t>你為上開偽造行為之目的為何？有無獲得任何利益？</t>
        </is>
      </c>
      <c r="S12" s="780" t="inlineStr">
        <is>
          <t>你與被害人為何種關係？雙方有無感情糾紛、金錢借貸或其他仇恨？</t>
        </is>
      </c>
      <c r="T12" s="780" t="inlineStr">
        <is>
          <t>你與被害人為何種關係？雙方有無糾紛、嫌隙或金錢債務關係？</t>
        </is>
      </c>
      <c r="U12" s="780" t="inlineStr">
        <is>
          <t>你與被害人為何種關係？雙方有無糾紛或誤會？</t>
        </is>
      </c>
      <c r="W12" s="780" t="inlineStr">
        <is>
          <t>以上所言是否屬實？有無其他補充意見？</t>
        </is>
      </c>
    </row>
    <row r="13" ht="18.75" customHeight="1" s="680">
      <c r="A13" s="592" t="inlineStr">
        <is>
          <t>物品是否為你同意並主動交付？且搜索扣押筆錄是否由你親自審視後，並簽名捺印？</t>
        </is>
      </c>
      <c r="B13" s="36" t="inlineStr">
        <is>
          <t>你有無向調解委員會聲請調解程序？調解情形為何？</t>
        </is>
      </c>
      <c r="C13" s="48" t="n"/>
      <c r="E13" s="780" t="inlineStr">
        <is>
          <t>你是否認識該物品之所有人？有無仇恨或糾紛？</t>
        </is>
      </c>
      <c r="F13" s="780" t="inlineStr">
        <is>
          <t>你是否認識該物品之所有人？雙方有無仇恨、糾紛或金錢借貸關係？</t>
        </is>
      </c>
      <c r="G13" s="780" t="inlineStr">
        <is>
          <t>經警方出示登入紀錄，畫面中所示之登入時間、IP位址是否為你所為？</t>
        </is>
      </c>
      <c r="H13" s="780" t="inlineStr">
        <is>
          <t>你是否認識被害人？雙方有無仇恨、糾紛或其他利益衝突？</t>
        </is>
      </c>
      <c r="I13" s="780" t="inlineStr">
        <is>
          <t>你是否知悉恐嚇他人屬違法行為？</t>
        </is>
      </c>
      <c r="J13" s="48" t="n"/>
      <c r="K13" s="592" t="inlineStr">
        <is>
          <t>為何要對被害人施予前揭行為?</t>
        </is>
      </c>
      <c r="L13" s="261" t="inlineStr">
        <is>
          <t>你身體有無任何不適之症狀?如發燒?你於駕車前是否有使用酒精成分物（食）品（如蜂膠、感冒糖漿、漱口水）等物？</t>
        </is>
      </c>
      <c r="M13" s="260" t="n"/>
      <c r="N13" s="262" t="inlineStr">
        <is>
          <t>你近日是否有服用其他藥品？</t>
        </is>
      </c>
      <c r="O13" s="249" t="n"/>
      <c r="P13" s="780" t="inlineStr">
        <is>
          <t>你是否知悉妨害秩序屬違法行為？</t>
        </is>
      </c>
      <c r="Q13" s="780" t="inlineStr">
        <is>
          <t>你是否知悉妨害他人行動自由屬違法行為？</t>
        </is>
      </c>
      <c r="R13" s="780" t="inlineStr">
        <is>
          <t>你為上開行為時，有無其他人共同參與？有無受人指使、教唆？</t>
        </is>
      </c>
      <c r="S13" s="780" t="inlineStr">
        <is>
          <t>你是否收到警方核發之書面告誡或法院核發之保護令？知悉其內容嗎？</t>
        </is>
      </c>
      <c r="T13" s="780" t="inlineStr">
        <is>
          <t>你提告時是否明知所述內容為虛偽不實？當時是否知悉誣告屬違法行為？</t>
        </is>
      </c>
      <c r="U13" s="780" t="inlineStr">
        <is>
          <t>經警方提示監視器畫面或被害人提供之對話紀錄，畫面（紀錄）中之人是否為你本人？你承不承認？</t>
        </is>
      </c>
      <c r="W13" s="780" t="inlineStr">
        <is>
          <t>以上內容是否為你自由意識下所為之陳述？</t>
        </is>
      </c>
    </row>
    <row r="14" ht="18.75" customHeight="1" s="680">
      <c r="A14" s="592" t="n"/>
      <c r="B14" s="36" t="inlineStr">
        <is>
          <t>你能提供何種資料(事故聯單、初判表、車鑑表、驗傷單)供警方後續偵辦使用?</t>
        </is>
      </c>
      <c r="C14" s="36" t="n"/>
      <c r="E14" s="780" t="inlineStr">
        <is>
          <t>你當時有無使用交通工具前來或離去？你是否為該車輛之車主？有無相關證明可供佐證？</t>
        </is>
      </c>
      <c r="F14" s="780" t="inlineStr">
        <is>
          <t>你毀損他人物品後，前往何處？做何事？</t>
        </is>
      </c>
      <c r="G14" s="780" t="inlineStr">
        <is>
          <t>你為何要入侵、盜用該帳號？目的為何？</t>
        </is>
      </c>
      <c r="H14" s="780" t="inlineStr">
        <is>
          <t>你是否知悉發表不實言論或公然侮辱屬違法行為？</t>
        </is>
      </c>
      <c r="I14" s="780" t="inlineStr">
        <is>
          <t>你有無相關對話紀錄、通聯紀錄或其他證據可提供警方？</t>
        </is>
      </c>
      <c r="J14" s="36" t="n"/>
      <c r="K14" s="592" t="inlineStr">
        <is>
          <t>針對以上所述，是否可以提供警方相關佐證資料以證明之你所主張之真實性？</t>
        </is>
      </c>
      <c r="L14" s="260" t="inlineStr">
        <is>
          <t>你是如何與對方發生車禍？對方車牌為何</t>
        </is>
      </c>
      <c r="M14" s="260" t="n"/>
      <c r="N14" s="260" t="inlineStr">
        <is>
          <t>你有無因施用毒品經緩起訴處分、觀察勒戒或強制戒治？</t>
        </is>
      </c>
      <c r="O14" s="592" t="n"/>
      <c r="P14" s="780" t="inlineStr">
        <is>
          <t>你有無相關監視器畫面、對話紀錄或其他證據可提供警方？</t>
        </is>
      </c>
      <c r="Q14" s="780" t="inlineStr">
        <is>
          <t>你有無相關行車紀錄器、監視器畫面、對話紀錄或其他證據可提供警方？</t>
        </is>
      </c>
      <c r="R14" s="780" t="inlineStr">
        <is>
          <t>你是否認識被害人？雙方有無仇恨、糾紛或金錢借貸關係？</t>
        </is>
      </c>
      <c r="S14" s="780" t="inlineStr">
        <is>
          <t>你是否知悉反覆或持續實施跟蹤騷擾行為，經被害人報案並令渠心生畏怖，屬違法行為？</t>
        </is>
      </c>
      <c r="T14" s="780" t="inlineStr">
        <is>
          <t>你為上開行為時，有無其他人共同參與？有無受人教唆、指使？</t>
        </is>
      </c>
      <c r="U14" s="780" t="inlineStr">
        <is>
          <t>你是否知悉違反保護令屬刑事犯罪，可處有期徒刑、拘役或罰金？</t>
        </is>
      </c>
    </row>
    <row r="15" ht="18.75" customHeight="1" s="680">
      <c r="E15" s="780" t="inlineStr">
        <is>
          <t>警方出示監視器畫面供你辨識，畫面中之男子是否為你本人？</t>
        </is>
      </c>
      <c r="F15" s="780" t="inlineStr">
        <is>
          <t>你是否知道毀損他人物品屬違法之行為？</t>
        </is>
      </c>
      <c r="G15" s="780" t="inlineStr">
        <is>
          <t>你入侵該帳號時，有無使用工具、程式或特殊技術？有無其他共犯或受人指使、教唆？</t>
        </is>
      </c>
      <c r="H15" s="780" t="inlineStr">
        <is>
          <t>你事後有無刪除該言論或向被害人道歉、澄清？</t>
        </is>
      </c>
      <c r="I15" s="780" t="inlineStr">
        <is>
          <t>因本案為告訴乃論之罪，你是否願意配合臺北地檢署進行調解？</t>
        </is>
      </c>
      <c r="K15" s="592" t="inlineStr">
        <is>
          <t>你是否認識被害人？是否曾有仇怨糾紛或借貸關係?</t>
        </is>
      </c>
      <c r="L15" s="260" t="inlineStr">
        <is>
          <t>你當時行駛之車道為何？車速為何？行經上述肇事路口時路口號誌為何？</t>
        </is>
      </c>
      <c r="M15" s="260" t="n"/>
      <c r="N15" s="260" t="inlineStr">
        <is>
          <t>你是否仍在緩起訴期間？(如答是，請續問在哪個地檢署?哪個醫療院所?)</t>
        </is>
      </c>
      <c r="O15" s="592" t="n"/>
      <c r="P15" s="780" t="inlineStr">
        <is>
          <t>你是否願意配合臺北地檢署進行調解？</t>
        </is>
      </c>
      <c r="Q15" s="780" t="inlineStr">
        <is>
          <t>你是否願意配合臺北地檢署進行調解或和解？</t>
        </is>
      </c>
      <c r="R15" s="780" t="inlineStr">
        <is>
          <t>你是否清楚未經他人同意冒用其身分、偽造或變造文書屬違法行為？</t>
        </is>
      </c>
      <c r="S15" s="780" t="inlineStr">
        <is>
          <t>你為上開行為時，有無其他人共同參與？有無受人指使、教唆？</t>
        </is>
      </c>
      <c r="T15" s="780" t="inlineStr">
        <is>
          <t>你有無相關事證可證明你提告時係出於合理懷疑或誤認？</t>
        </is>
      </c>
      <c r="U15" s="780" t="inlineStr">
        <is>
          <t>你為上開行為時，有無其他人共同參與？有無受人指使、教唆？</t>
        </is>
      </c>
    </row>
    <row r="16" ht="18.75" customHeight="1" s="680">
      <c r="E16" s="780" t="inlineStr">
        <is>
          <t>你有無有利之證據可提供警方，或有請求警方調查之處？</t>
        </is>
      </c>
      <c r="F16" s="780" t="inlineStr">
        <is>
          <t>因本案為告訴乃論之罪，你是否願意配合臺北地檢署進行調解？</t>
        </is>
      </c>
      <c r="G16" s="780" t="inlineStr">
        <is>
          <t>該帳號遭使用後，有無不明款項匯出、匯入或其他財務損失？</t>
        </is>
      </c>
      <c r="H16" s="780" t="inlineStr">
        <is>
          <t>因本案為告訴乃論之罪，你是否願意配合臺北地檢署進行調解？</t>
        </is>
      </c>
      <c r="I16" s="780" t="inlineStr">
        <is>
          <t>你事後有無向被害人道歉或採取補救措施？</t>
        </is>
      </c>
      <c r="K16" s="592" t="inlineStr">
        <is>
          <t>被害人任職(所屬)單位機構?職稱(職位)為何?與你係何關係?( 釐清性平三法之適用：有無共同作業(同事)或業務（商務）往來?雙方有無雇傭、從屬、監督及其他權力不對等之權勢關係)</t>
        </is>
      </c>
      <c r="L16" s="260" t="inlineStr">
        <is>
          <t>你是否知悉你碰撞自小客貨6N-5698車體何處？</t>
        </is>
      </c>
      <c r="M16" s="260" t="n"/>
      <c r="N16" s="260" t="inlineStr">
        <is>
          <t>你是否知道各地方政府毒品危害防制中心有連結社政、衛政、醫療等資源，為藥癮者本人或家屬提供諮詢服務，包含戒癮治療、愛滋病篩檢、心理輔導、醫療諮詢、社會扶助、職業訓練及就業協助等？</t>
        </is>
      </c>
      <c r="O16" s="36" t="n"/>
      <c r="P16" s="780" t="inlineStr">
        <is>
          <t>你事後有無向被害人道歉或採取補救措施？</t>
        </is>
      </c>
      <c r="Q16" s="780" t="inlineStr">
        <is>
          <t>你事後有無向被害人道歉或採取補救措施？</t>
        </is>
      </c>
      <c r="R16" s="780" t="inlineStr">
        <is>
          <t>你有無相關契約、簽名、影像或通訊紀錄等證據可提供警方？</t>
        </is>
      </c>
      <c r="S16" s="780" t="inlineStr">
        <is>
          <t>你有無相關通訊紀錄、影像或其他證據可提供警方？</t>
        </is>
      </c>
      <c r="T16" s="780" t="inlineStr">
        <is>
          <t>你是否願意配合臺北地檢署調解或與被害人達成和解？</t>
        </is>
      </c>
      <c r="U16" s="780" t="inlineStr">
        <is>
          <t>你事後有無停止騷擾行為或採取補救措施？是否願意配合調解或和解？</t>
        </is>
      </c>
    </row>
    <row r="17" ht="18.75" customHeight="1" s="680">
      <c r="E17" s="780" t="inlineStr">
        <is>
          <t>以上筆錄是否為你自由意識下之陳述？警方有無使用暴力、脅迫、威脅、利誘或其他不正方法向你取供？警方製作筆錄過程中有無全程錄音、錄影？</t>
        </is>
      </c>
      <c r="F17" s="780" t="inlineStr">
        <is>
          <t>上開筆錄是否為你自由意識下之陳述？警方有無以強暴、脅迫或其他不正方法向你取供？</t>
        </is>
      </c>
      <c r="G17" s="780" t="inlineStr">
        <is>
          <t>你有無相關登入紀錄、通聯紀錄或其他證據可提供警方？</t>
        </is>
      </c>
      <c r="H17" s="780" t="inlineStr">
        <is>
          <t>你有無相關對話紀錄、發文紀錄或其他證據可提供警方？</t>
        </is>
      </c>
      <c r="I17" s="780" t="inlineStr">
        <is>
          <t>警方在製作筆錄時，你的精神狀況如何？意識是否清楚？有無遭警方脅迫或威脅等違法情事？</t>
        </is>
      </c>
      <c r="K17" s="592" t="inlineStr">
        <is>
          <t>依性騷擾防治法第18條規定，因本案係權勢性騷擾以外之性騷擾事件，任一方當事人如有意願進行調解，得以書面或言詞向直轄市、縣（市）社政主管機關申請調解，你是否知悉?你是否有意願申請調解? (如非適用性騷擾防治法，或本案涉及權勢性騷擾，請刪除)</t>
        </is>
      </c>
      <c r="L17" s="260" t="inlineStr">
        <is>
          <t>你是否知悉你酒後駕車肇事後有無造成任何人受傷？</t>
        </is>
      </c>
      <c r="M17" s="260" t="n"/>
      <c r="N17" s="260" t="inlineStr">
        <is>
          <t>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t>
        </is>
      </c>
      <c r="O17" s="36" t="n"/>
      <c r="P17" s="780" t="inlineStr">
        <is>
          <t>警方在製作筆錄時，你的精神狀況如何？意識是否清楚？有無遭警方脅迫或威脅等違法情事？</t>
        </is>
      </c>
      <c r="Q17" s="780" t="inlineStr">
        <is>
          <t>警方在製作筆錄時，你的精神狀況如何？意識是否清楚？有無遭警方脅迫或威脅等違法情事？</t>
        </is>
      </c>
      <c r="R17" s="780" t="inlineStr">
        <is>
          <t>你事後有無歸還相關證件或採取補救措施？是否願意配合調解或和解？</t>
        </is>
      </c>
      <c r="S17" s="780" t="inlineStr">
        <is>
          <t>你事後有無停止騷擾行為或採取補救措施？是否願意配合調解或和解？</t>
        </is>
      </c>
      <c r="T17" s="780" t="inlineStr">
        <is>
          <t>你事後是否知悉警方查明事實後，有撤回告訴或更正陳述之意願？</t>
        </is>
      </c>
      <c r="U17" s="780" t="inlineStr">
        <is>
          <t>你目前是否有喝酒或施用毒品？精神狀況是否正常？有無需要協助之情形？</t>
        </is>
      </c>
    </row>
    <row r="18" ht="18.75" customHeight="1" s="680">
      <c r="E18" s="780" t="inlineStr">
        <is>
          <t>筆錄內容記載有無錯誤？有何意見補充？</t>
        </is>
      </c>
      <c r="F18" s="780" t="inlineStr">
        <is>
          <t>筆錄內容記載是否屬實正確？有無其他意見補充？</t>
        </is>
      </c>
      <c r="G18" s="780" t="inlineStr">
        <is>
          <t>以上筆錄是否為你自由意識下之陳述？警方有無使用強暴、脅迫或其他不正方法向你取供？筆錄內容記載是否屬實正確？有無其他意見補充？</t>
        </is>
      </c>
      <c r="H18" s="780" t="inlineStr">
        <is>
          <t>以上筆錄是否為你自由意識下之陳述？警方有無使用強暴、脅迫或其他不正方法向你取供？筆錄內容記載是否屬實正確？有無其他意見補充？</t>
        </is>
      </c>
      <c r="I18" s="780" t="inlineStr">
        <is>
          <t>以上筆錄所述登載是否屬實正確？有無其他意見補充？</t>
        </is>
      </c>
      <c r="K18" s="592" t="inlineStr">
        <is>
          <t>你的文書送達地址為何?</t>
        </is>
      </c>
      <c r="P18" s="780" t="inlineStr">
        <is>
          <t>以上筆錄所述登載是否屬實正確？有無其他意見補充？</t>
        </is>
      </c>
      <c r="Q18" s="780" t="inlineStr">
        <is>
          <t>以上筆錄所述登載是否屬實正確？有無其他意見補充？</t>
        </is>
      </c>
      <c r="R18" s="780" t="inlineStr">
        <is>
          <t>以上筆錄所述登載是否屬實正確？有無其他意見補充？</t>
        </is>
      </c>
      <c r="S18" s="780" t="inlineStr">
        <is>
          <t>以上筆錄所述登載是否屬實正確？有無其他意見補充？</t>
        </is>
      </c>
      <c r="T18" s="780" t="inlineStr">
        <is>
          <t>以上筆錄所述登載是否屬實正確？有無其他意見補充？</t>
        </is>
      </c>
      <c r="U18" s="780" t="inlineStr">
        <is>
          <t>以上筆錄所述登載是否屬實正確？有無其他意見補充？</t>
        </is>
      </c>
    </row>
    <row r="19">
      <c r="C19" s="33" t="inlineStr">
        <is>
          <t>你下手攻擊時，是否有想過對方可能會死？</t>
        </is>
      </c>
      <c r="D19" s="33" t="inlineStr">
        <is>
          <t>你在取得財物的過程中，是否有人發現你的行動？</t>
        </is>
      </c>
      <c r="E19" s="33" t="inlineStr">
        <is>
          <t>你當時在學校擔任什麼職務？開立支票這件事，是你職務範圍內本來就可以做的嗎？</t>
        </is>
      </c>
      <c r="F19" s="33" t="inlineStr">
        <is>
          <t>你破壞了 victim's vehicle window/lock with the purpose of entering to steal contents, or only to cause loss?</t>
        </is>
      </c>
      <c r="G19" s="33" t="inlineStr">
        <is>
          <t>你是怎麼拿到對方帳號密碼的？是對方自己告訴你的，還是你猜到的，還是用程式破解的？</t>
        </is>
      </c>
      <c r="H19" s="33" t="inlineStr">
        <is>
          <t>你所說的話是否指涉對方做過的特定具體事情？</t>
        </is>
      </c>
      <c r="I19" s="33" t="inlineStr">
        <is>
          <t>對方當時跟你說了什麼話或傳了什麼訊息，讓你相信不付錢就會有不好的事情發生？還記得內容嗎？</t>
        </is>
      </c>
      <c r="K19" s="33" t="inlineStr">
        <is>
          <t>對方觸碰你的時間很短暫一閃即逝，還是持續一段時間？</t>
        </is>
      </c>
      <c r="L19" s="1338">
        <f>CONCATENATE("你騎車出門之前喝了多少酒？最後一杯大概是",LEFT(輸入!$C$8,3)&amp;"年"&amp;MID(輸入!$C$8,4,2)&amp;"月"&amp;MID(輸入!$C$8,6,2)&amp;"日","喝的？")</f>
        <v/>
      </c>
      <c r="N19" s="33" t="inlineStr">
        <is>
          <t>你持有毒品之數量，是否超出個人短期施用量？</t>
        </is>
      </c>
      <c r="P19" s="33" t="inlineStr">
        <is>
          <t>你們當天是約好要去吃飯唱歌，還是約好要去找對方打架？</t>
        </is>
      </c>
      <c r="Q19" s="33" t="inlineStr">
        <is>
          <t>對方當時是否已無法自由離開或行動？</t>
        </is>
      </c>
      <c r="R19" s="33" t="inlineStr">
        <is>
          <t>你取得並使用的票據，是否屬於支票等具流通功能的有價證券？</t>
        </is>
      </c>
      <c r="S19" s="33" t="inlineStr">
        <is>
          <t>對方行為是否反覆持續發生？</t>
        </is>
      </c>
      <c r="T19" s="33" t="inlineStr">
        <is>
          <t>你第一次講這些事情的時候，地點是在警察局、地檢署，還是跟親友鄰居聊天或在網路上發文？</t>
        </is>
      </c>
      <c r="V19" s="33" t="inlineStr">
        <is>
          <t>你取得該財物時，原持有人是否因為你的言語、行為或 devices而 believed 你已付款或有權取得，並由此主動將物品交給你？</t>
        </is>
      </c>
      <c r="X19" s="33" t="inlineStr">
        <is>
          <t>對方對你所為之行為，是否涉及性器進入身體？</t>
        </is>
      </c>
      <c r="Y19" s="33" t="inlineStr">
        <is>
          <t>照片或影片裡的孩子大約幾歲？是怎麼認識對方的？</t>
        </is>
      </c>
      <c r="Z19" s="33" t="inlineStr">
        <is>
          <t>你收受財物時是否具有公務員身分及相關職務權限？</t>
        </is>
      </c>
      <c r="AA19" s="33" t="inlineStr">
        <is>
          <t>行為人行為時是否滿18歲？</t>
        </is>
      </c>
      <c r="AB19" s="1338">
        <f>CONCATENATE("你們玩牌或玩遊戲的地方",輸入!$C$7,"？是自己家裡、店面，還是路邊、公園這種誰都可以走進來的地方？")</f>
        <v/>
      </c>
      <c r="AC19" s="1338">
        <f>CONCATENATE("事情發生的地點",輸入!$C$7,"？當時旁邊有沒有不認識的人會看到或聽到，大概有幾個？")</f>
        <v/>
      </c>
      <c r="AD19" s="1338">
        <f>CONCATENATE("你帶的這把槍是什麼槍？",輸入!$C$7,"買的？買的時候店家有沒有說需不需要證照？")</f>
        <v/>
      </c>
    </row>
    <row r="20">
      <c r="C20" s="33" t="inlineStr">
        <is>
          <t>你攻擊的部位是否為人體要害？</t>
        </is>
      </c>
      <c r="D20" s="33" t="inlineStr">
        <is>
          <t>之後是否使用 force, threat, or equipment 封鎖 others to keep going, 或 merely to escape?</t>
        </is>
      </c>
      <c r="E20" s="1338">
        <f>CONCATENATE("你開出去的這張支票，錢最後是流向哪一個特定的對象或帳戶？這筆錢原本應該用在",輸入!$C$7,"？")</f>
        <v/>
      </c>
      <c r="F20" s="33" t="inlineStr">
        <is>
          <t>Did you take any property from the vehicle after breaking it in? If so, what and approximate value?</t>
        </is>
      </c>
      <c r="G20" s="33" t="inlineStr">
        <is>
          <t>你操作轉帳或付款的時候，是拿對方的手機，還是用你自己的電腦登入？</t>
        </is>
      </c>
      <c r="H20" s="1338">
        <f>CONCATENATE("你能否說出對方",LEFT(輸入!$C$8,3)&amp;"年"&amp;MID(輸入!$C$8,4,2)&amp;"月"&amp;MID(輸入!$C$8,6,2)&amp;"日","、何地、做了什麼具體行為？")</f>
        <v/>
      </c>
      <c r="I20" s="33" t="inlineStr">
        <is>
          <t>你去超商付錢的時候，心裡比較相信對方說的是真的，還是比較害怕對方會把你的事情公開？</t>
        </is>
      </c>
      <c r="K20" s="33" t="inlineStr">
        <is>
          <t>對方是否使用拉扯、壓制等強制力使你無法反抗或離開？</t>
        </is>
      </c>
      <c r="L20" s="33" t="inlineStr">
        <is>
          <t>你的機車駕照目前是有效的嗎？如果沒有，是從來沒考過還是被吊扣了？</t>
        </is>
      </c>
      <c r="N20" s="33" t="inlineStr">
        <is>
          <t>你有無施用毒品習慣，尿液檢驗結果為何？</t>
        </is>
      </c>
      <c r="P20" s="33" t="inlineStr">
        <is>
          <t>去之前有沒有人準備棍棒刀械，或打電話叫更多人來？</t>
        </is>
      </c>
      <c r="Q20" s="33" t="inlineStr">
        <is>
          <t>你使用之手段是否已達剝奪對方行動自由之程度？</t>
        </is>
      </c>
      <c r="R20" s="33" t="inlineStr">
        <is>
          <t>你簽發或使用票據時，是否有合法且未逾範圍的授權？</t>
        </is>
      </c>
      <c r="S20" s="33" t="inlineStr">
        <is>
          <t>行為是否與性或性別有關？</t>
        </is>
      </c>
      <c r="T20" s="33" t="inlineStr">
        <is>
          <t>當時跟你說話或收你書狀的人，是警察、檢察官、法官，還是一般的親友或網友？</t>
        </is>
      </c>
      <c r="V20" s="33" t="inlineStr">
        <is>
          <t>原持有人在交付時是否知道也理解自己的願意、是否能自由拒絕？</t>
        </is>
      </c>
      <c r="X20" s="33" t="inlineStr">
        <is>
          <t>若無性器進入，行為是否屬足以興奮或滿足性慾之身體接觸？</t>
        </is>
      </c>
      <c r="Y20" s="33" t="inlineStr">
        <is>
          <t>拍攝的時候，孩子知不知道有人在拍？有沒有人用打罵、威脅或騙的方式叫孩子配合？</t>
        </is>
      </c>
      <c r="Z20" s="33" t="inlineStr">
        <is>
          <t>對方交付財物是否冀求你為特定職務行為？</t>
        </is>
      </c>
      <c r="AA20" s="33" t="inlineStr">
        <is>
          <t>行為是否已觸犯刑罰法律，抑或僅有曝險之虞？</t>
        </is>
      </c>
      <c r="AB20" s="33" t="inlineStr">
        <is>
          <t>當天玩的是什麼？一局輸贏大概多少錢？這些錢對你們來說是零用錢等級，還是很大的數目？</t>
        </is>
      </c>
      <c r="AC20" s="33" t="inlineStr">
        <is>
          <t>你當時具體做了什麼動作？衣服有沒有穿好？持續了多久？</t>
        </is>
      </c>
      <c r="AD20" s="33" t="inlineStr">
        <is>
          <t>這把槍有沒有拿去鑑定？鑑定結果能不能打穿東西？</t>
        </is>
      </c>
    </row>
    <row r="21">
      <c r="C21" s="33" t="inlineStr">
        <is>
          <t>你使用的兇器、力道、次數是否足以致命？</t>
        </is>
      </c>
      <c r="D21" s="33" t="inlineStr">
        <is>
          <t>try 的 threat sufficient to make them unable to resist  during the taking?</t>
        </is>
      </c>
      <c r="E21" s="33" t="inlineStr">
        <is>
          <t>除了這張支票之外，學校整體的錢財或帳目是否也因此出現短缺或混亂？</t>
        </is>
      </c>
      <c r="F21" s="33" t="inlineStr">
        <is>
          <t>If you found nothing valuable inside and left, were the damage done only as a incidental consequence without intent to take anything?</t>
        </is>
      </c>
      <c r="G21" s="33" t="inlineStr">
        <is>
          <t>對方知不知道你拿他的手機去付錢？他有沒有答應？</t>
        </is>
      </c>
      <c r="H21" s="33" t="inlineStr">
        <is>
          <t>你是在陳述可驗證真假的事實，還是在表達情緒或評價？</t>
        </is>
      </c>
      <c r="I21" s="33" t="inlineStr">
        <is>
          <t>如果對方從頭到尾都沒有威脅你，你還會去超商付這筆錢嗎？</t>
        </is>
      </c>
      <c r="K21" s="33" t="inlineStr">
        <is>
          <t>事發後你是否因被控制而無法決定自己的行動？</t>
        </is>
      </c>
      <c r="L21" s="33" t="inlineStr">
        <is>
          <t>撞到人之前，你有沒有看到對方？當時你的車速大約多少，有沒有煞車或閃避？</t>
        </is>
      </c>
      <c r="N21" s="33" t="inlineStr">
        <is>
          <t>有無分裝、磅秤、帳冊、交易紀錄等販賣跡象？</t>
        </is>
      </c>
      <c r="P21" s="33" t="inlineStr">
        <is>
          <t>打起來之前，你們跟對方是第一次見面吵起來，還是早就約好時間地點？</t>
        </is>
      </c>
      <c r="Q21" s="33" t="inlineStr">
        <is>
          <t>你是為使對方做某件事，還是為限制其行動本身？</t>
        </is>
      </c>
      <c r="R21" s="33" t="inlineStr">
        <is>
          <t>若授權已被撤回，你是否仍在以他人名義簽發或處分該票據？</t>
        </is>
      </c>
      <c r="S21" s="33" t="inlineStr">
        <is>
          <t>是否已影響你的日常生活或社會活動？</t>
        </is>
      </c>
      <c r="T21" s="33" t="inlineStr">
        <is>
          <t>你去講這些事情，是希望對方被警察抓去辦，還是只想讓周圍的人知道這件事？</t>
        </is>
      </c>
      <c r="V21" s="33" t="inlineStr">
        <is>
          <t>你是否在取財後立刻離開而未讓原持有人事後有機會澄清？</t>
        </is>
      </c>
      <c r="X21" s="33" t="inlineStr">
        <is>
          <t>你能否具體描述行為之態樣、部位及過程？</t>
        </is>
      </c>
      <c r="Y21" s="33" t="inlineStr">
        <is>
          <t>這些照片影片後來有沒有傳給別人、放到網路上，或拿去賣錢？</t>
        </is>
      </c>
      <c r="Z21" s="33" t="inlineStr">
        <is>
          <t>你是否明示或默許允為對方所冀求之職務行為？</t>
        </is>
      </c>
      <c r="AA21" s="33" t="inlineStr">
        <is>
          <t>案件是否經少年法院先議權調查處理？</t>
        </is>
      </c>
      <c r="AB21" s="33" t="inlineStr">
        <is>
          <t>現場有沒有人向贏的人抽錢、收場地費，或有人專門發牌、記帳？</t>
        </is>
      </c>
      <c r="AC21" s="33" t="inlineStr">
        <is>
          <t>在場的人看到之後有什麼反應？有沒有人罵你、報警或帶小孩離開？</t>
        </is>
      </c>
      <c r="AD21" s="33" t="inlineStr">
        <is>
          <t>你帶著它出門是要做什麼？當時有沒有拿出來把玩或擊發？</t>
        </is>
      </c>
    </row>
    <row r="22">
      <c r="C22" s="33" t="inlineStr">
        <is>
          <t>事發當時是否因情緒失控、一時氣憤而行為，而非預謀？</t>
        </is>
      </c>
      <c r="D22" s="1338">
        <f>CONCATENATE("你把這台機車騎走之前，有沒有先問過車主能不能借用？當時車主人",輸入!$C$7,"？")</f>
        <v/>
      </c>
      <c r="E22" s="33" t="inlineStr">
        <is>
          <t>你做這件事之前，有沒有跟學校其他有權決定的人商量或取得同意？</t>
        </is>
      </c>
      <c r="F22" s="33" t="inlineStr">
        <is>
          <t>東西被弄髒或弄壞之後，還能不能正常使用？要修的話大概要花多少錢？</t>
        </is>
      </c>
      <c r="G22" s="33" t="inlineStr">
        <is>
          <t>付錢的簡訊或通知是傳到誰的手機？你有沒有把通知刪掉？</t>
        </is>
      </c>
      <c r="H22" s="33" t="inlineStr">
        <is>
          <t>旁人聽到你的話，能否得知具體事件內容，抑或僅感受到謾罵？</t>
        </is>
      </c>
      <c r="I22" s="33" t="inlineStr">
        <is>
          <t>付錢之前，對方有沒有給你時間考慮或跟家人商量？有的話大約多久？</t>
        </is>
      </c>
      <c r="K22" s="33" t="inlineStr">
        <is>
          <t>對方行為是否僅為短暫觸摸，抑或包含親吻、拍攝等多重舉動？</t>
        </is>
      </c>
      <c r="L22" s="33" t="inlineStr">
        <is>
          <t>對方騎的是什麼車？事發路段有沒有紅綠燈或讓路的標誌？</t>
        </is>
      </c>
      <c r="N22" s="33" t="inlineStr">
        <is>
          <t>你持有毒品之目的是自用還是販賣？</t>
        </is>
      </c>
      <c r="P22" s="33" t="inlineStr">
        <is>
          <t>現場總共有多少人動手？有沒有人只是在旁邊看？</t>
        </is>
      </c>
      <c r="Q22" s="33" t="inlineStr">
        <is>
          <t>對方若不從，是否仍可自由離開現場？</t>
        </is>
      </c>
      <c r="R22" s="33" t="inlineStr">
        <is>
          <t>這份文件上面的簽名或印章，是你自己簽的、蓋的嗎？如果不是，是誰弄上去的？</t>
        </is>
      </c>
      <c r="S22" s="33" t="inlineStr">
        <is>
          <t>對方有無以加害生命身體等事威脅你？</t>
        </is>
      </c>
      <c r="T22" s="33" t="inlineStr">
        <is>
          <t>你講的內容，是你自己親眼看到的，還是聽別人說的？有沒有照片或文件可以證明？</t>
        </is>
      </c>
      <c r="V22" s="33" t="inlineStr">
        <is>
          <t>在交付財物前，你是否相信對方陳述的事項為真？</t>
        </is>
      </c>
      <c r="X22" s="33" t="inlineStr">
        <is>
          <t>有無客觀證據可補強你的指訴？</t>
        </is>
      </c>
      <c r="Y22" s="33" t="inlineStr">
        <is>
          <t>孩子當時有沒有表示願意被拍？如果不確定，是哪些部分記不清楚？</t>
        </is>
      </c>
      <c r="Z22" s="33" t="inlineStr">
        <is>
          <t>該財物僅為年節人情交誼，抑或與職務有對應關係？</t>
        </is>
      </c>
      <c r="AA22" s="33" t="inlineStr">
        <is>
          <t>以保護處分為適當，還是以刑事處分為適當？</t>
        </is>
      </c>
      <c r="AB22" s="33" t="inlineStr">
        <is>
          <t>你們這群人是偶爾聚一次玩好玩的，還是幾乎每天都聚在同一個地方玩？</t>
        </is>
      </c>
      <c r="AC22" s="33" t="inlineStr">
        <is>
          <t>那個地方平常人多不多？是白天還是深夜？</t>
        </is>
      </c>
      <c r="AD22" s="33" t="inlineStr">
        <is>
          <t>你知不知道這把槍跟真槍長得很像？一般人看得出來是假的嗎？</t>
        </is>
      </c>
    </row>
    <row r="23">
      <c r="C23" s="33" t="inlineStr">
        <is>
          <t>你開車接近路口時，有沒有看到前面是紅燈、前面有車子停著？當時車速大概多快？</t>
        </is>
      </c>
      <c r="D23" s="33" t="inlineStr">
        <is>
          <t>你騎走機車時，心裡原本打算用多久？是打算當天就還回去，還是沒有想過歸還的事？</t>
        </is>
      </c>
      <c r="E23" s="33" t="inlineStr">
        <is>
          <t>你是否受委託管理不屬於你的財務資源或特定財產？</t>
        </is>
      </c>
      <c r="F23" s="33" t="inlineStr">
        <is>
          <t>髒污的部分用水洗一洗、擦一擦能不能恢復原狀？還是已經破掉碎掉？</t>
        </is>
      </c>
      <c r="H23" s="33" t="inlineStr">
        <is>
          <t>這支影片你是只傳給某一個特定的人，還是放到很多人都看得到的地方，例如公開社團或動態？</t>
        </is>
      </c>
      <c r="I23" s="33" t="inlineStr">
        <is>
          <t>在付款前，你是否因為相信對方所說的某項主張，而後來發現該主張是虛假的？</t>
        </is>
      </c>
      <c r="K23" s="33" t="inlineStr">
        <is>
          <t>對方觸碰你持續多久，是瞬間還是數分鐘？</t>
        </is>
      </c>
      <c r="Q23" s="33" t="inlineStr">
        <is>
          <t>事發當時，對方穿著制服或配戴識別證嗎？你怎麼知道他是在上班？</t>
        </is>
      </c>
      <c r="R23" s="33" t="inlineStr">
        <is>
          <t>你在簽名或蓋章之前，有沒有問過本人同不同意？對方是當面答應，還是你事後才告知的？</t>
        </is>
      </c>
      <c r="T23" s="33" t="inlineStr">
        <is>
          <t>你講這些話的時候，有沒有先在書面上簽名或念出保證說實話的誓詞？當時檢察官或法官有沒有提醒你說謊會有刑責？</t>
        </is>
      </c>
      <c r="V23" s="33" t="inlineStr">
        <is>
          <t>你交付財物時，主要動機是相信對方說法，還是主要處於交易磋商中的壓力？</t>
        </is>
      </c>
      <c r="X23" s="33" t="inlineStr">
        <is>
          <t>行為是否涉及性器進入？</t>
        </is>
      </c>
      <c r="Y23" s="33" t="inlineStr">
        <is>
          <t>這些孩子大約幾歲？你是用什麼方式認識他們的，例如網路徵人或朋友介紹？</t>
        </is>
      </c>
      <c r="AD23" s="33" t="inlineStr">
        <is>
          <t>這把槍你是直接買現成的，還是買來之後自己有動手改裝過？</t>
        </is>
      </c>
    </row>
    <row r="24">
      <c r="C24" s="33" t="inlineStr">
        <is>
          <t>撞上去之前，你有沒有踩煞車、按喇叭或轉方向盤閃避？如果沒有，是來不及還是不想閃？</t>
        </is>
      </c>
      <c r="D24" s="33" t="inlineStr">
        <is>
          <t>你把機車還回去的時候，車子跟騎走時相比有沒有損傷、缺油或多出里程？</t>
        </is>
      </c>
      <c r="E24" s="33" t="inlineStr">
        <is>
          <t>你的行為是僅涉及單一特定財產的處分，還是涉及更廣泛的整體財務運作？</t>
        </is>
      </c>
      <c r="F24" s="33" t="inlineStr">
        <is>
          <t>你用的是什麼東西去弄的？丟雞蛋潑漆，還是拿磚頭棍棒去砸？</t>
        </is>
      </c>
      <c r="H24" s="33" t="inlineStr">
        <is>
          <t>如果是放到網路上，是放在哪個平台？大約有多少人可以看到？</t>
        </is>
      </c>
      <c r="I24" s="33" t="inlineStr">
        <is>
          <t>在付款時，你是否主要是因為擔心名譽受損或面臨對方威脅的後果，才不得不付款？</t>
        </is>
      </c>
      <c r="K24" s="33" t="inlineStr">
        <is>
          <t>對方是否刻意遮擋行為避免他人看見？</t>
        </is>
      </c>
      <c r="Q24" s="33" t="inlineStr">
        <is>
          <t>對方當時是在門口攔人、巡視設備，還是在做其他事情？你有看到嗎？</t>
        </is>
      </c>
      <c r="R24" s="33" t="inlineStr">
        <is>
          <t>這份文件是做什麼用的？你把它交給了誰，對方拿去辦了什麼事？</t>
        </is>
      </c>
      <c r="T24" s="33" t="inlineStr">
        <is>
          <t>那一次你是坐在證人的位置回答問題，還是以提告的人的身分去告發對方？</t>
        </is>
      </c>
      <c r="V24" s="33" t="inlineStr">
        <is>
          <t>對方所說內容是否存在明顯虛假，還是僅是在利用你的處境提出較不利條件？</t>
        </is>
      </c>
      <c r="X24" s="33" t="inlineStr">
        <is>
          <t>行為之具體態樣為何，接觸之身體部位為何？</t>
        </is>
      </c>
      <c r="Y24" s="33" t="inlineStr">
        <is>
          <t>孩子是自己拿手機拍好傳給你，還是你跟孩子面對面碰過面？</t>
        </is>
      </c>
      <c r="AD24" s="33" t="inlineStr">
        <is>
          <t>你有沒有換過槍管、撞針，或用工具磨過、車過零件？</t>
        </is>
      </c>
    </row>
    <row r="25">
      <c r="C25" s="33" t="inlineStr">
        <is>
          <t>車子撞上之後失控衝到對向車道時，你有沒有想到可能會撞到旁邊騎車或走路的人？</t>
        </is>
      </c>
      <c r="D25" s="33" t="inlineStr">
        <is>
          <t>你騎走這台機車，是為了解決什麼急事？事後你是主動還車，還是被找到才交出來？</t>
        </is>
      </c>
      <c r="E25" s="33" t="inlineStr">
        <is>
          <t>該行為是否導致整體企業或委託人遭受財產上的損害，而不僅僅是單一物品的遺失？</t>
        </is>
      </c>
      <c r="F25" s="33" t="inlineStr">
        <is>
          <t>弄完之後，對方有沒有辦法馬上繼續使用那個東西？</t>
        </is>
      </c>
      <c r="H25" s="33" t="inlineStr">
        <is>
          <t>影片裡的人是誰？拍攝的時候對方知不知道、答不答應？</t>
        </is>
      </c>
      <c r="I25" s="33" t="inlineStr">
        <is>
          <t>你轉移財產價值，是為了避免遭受損害，還是因為你相信對方的說法是真的？</t>
        </is>
      </c>
      <c r="K25" s="33" t="inlineStr">
        <is>
          <t>有人靠近時對方是否立即停止或躲避？</t>
        </is>
      </c>
      <c r="Q25" s="33" t="inlineStr">
        <is>
          <t>你動手之前，對方跟你說了什麼？你是因為被攔下來生氣，還是之前就有私人恩怨？</t>
        </is>
      </c>
      <c r="R25" s="33" t="inlineStr">
        <is>
          <t>文件上面的名字、金額或日期，有沒有哪些是你自己加上去或改過的？</t>
        </is>
      </c>
      <c r="T25" s="33" t="inlineStr">
        <is>
          <t>你是自己走進地檢署或警察局提告，還是被通知去作證才去的？</t>
        </is>
      </c>
      <c r="V25" s="33" t="inlineStr">
        <is>
          <t>對方跟你要帳戶的時候，有沒有說這些錢是怎麼來的？你當時怎麼理解的？</t>
        </is>
      </c>
      <c r="X25" s="33" t="inlineStr">
        <is>
          <t>行為人是否利用權勢、年幼或其他使人不能抗拒之情狀？</t>
        </is>
      </c>
      <c r="Y25" s="33" t="inlineStr">
        <is>
          <t>你有沒有跟孩子說，不照做就會有不好的後果，或答應給好處？</t>
        </is>
      </c>
      <c r="AD25" s="33" t="inlineStr">
        <is>
          <t>你買槍的時候，它本來能不能打？是你改完之後才變得有殺傷力嗎？</t>
        </is>
      </c>
    </row>
    <row r="26">
      <c r="C26" s="33" t="inlineStr">
        <is>
          <t>事發前你有多久沒睡覺？當時身體或精神狀況有沒有什麼異常，例如吃藥或生病？</t>
        </is>
      </c>
      <c r="D26" s="33" t="inlineStr">
        <is>
          <t>你在取得該物品時，是否已經知道未經所有者同意，仍決定將其取走使用？</t>
        </is>
      </c>
      <c r="H26" s="33" t="inlineStr">
        <is>
          <t>你把影片傳出去，是想給特定的人看，還是希望越多人看到越好？</t>
        </is>
      </c>
      <c r="I26" s="33" t="inlineStr">
        <is>
          <t>你恐嚇對方時，是否意在取得財物或財產上利益歸自己或第三人所有？</t>
        </is>
      </c>
      <c r="K26" s="33" t="inlineStr">
        <is>
          <t>你當時年齡為何，是否有能力反抗或求助？</t>
        </is>
      </c>
      <c r="Q26" s="33" t="inlineStr">
        <is>
          <t>你打了對方哪些部位？打了幾下？事後有沒有看到對方流血或需要就醫？</t>
        </is>
      </c>
      <c r="T26" s="33" t="inlineStr">
        <is>
          <t>你講的內容，是你親身經歷看到的，還是事後聽說或自己推測的？如果記不清楚，哪些部分是你不確定的？</t>
        </is>
      </c>
      <c r="V26" s="33" t="inlineStr">
        <is>
          <t>除了交出帳戶，你還有沒有幫忙收別人的帳戶、叫別人去領錢，或把領到的錢再交上去？</t>
        </is>
      </c>
      <c r="X26" s="33" t="inlineStr">
        <is>
          <t>被害人當時之年齡及心智狀態為何？</t>
        </is>
      </c>
      <c r="Y26" s="33" t="inlineStr">
        <is>
          <t>孩子傳來的照片影片，內容大概是什麼樣子？有沒有露身體？</t>
        </is>
      </c>
      <c r="AD26" s="33" t="inlineStr">
        <is>
          <t>除了這把槍，你還有沒有藏子彈、散彈或其他零件放在別的地方？</t>
        </is>
      </c>
    </row>
    <row r="27">
      <c r="C27" s="33" t="inlineStr">
        <is>
          <t>你跟這個孩子是什麼關係？平常是誰在照顧他的生活起居？</t>
        </is>
      </c>
      <c r="D27" s="33" t="inlineStr">
        <is>
          <t>你取得該物品時，目的是否僅為短暫使用，並計畫事後歸還？</t>
        </is>
      </c>
      <c r="H27" s="33" t="inlineStr">
        <is>
          <t>這些照片當初拍的時候，對方有沒有親口答應讓你拍？</t>
        </is>
      </c>
      <c r="I27" s="33" t="inlineStr">
        <is>
          <t>你與對方間是否存在債務或其他財產關係，你主張有何依據？</t>
        </is>
      </c>
      <c r="K27" s="33" t="inlineStr">
        <is>
          <t>行為發生在職場、校園還是一般場域？</t>
        </is>
      </c>
      <c r="Q27" s="33" t="inlineStr">
        <is>
          <t>你是否利用對方弱勢處境使其為你工作？</t>
        </is>
      </c>
      <c r="T27" s="33" t="inlineStr">
        <is>
          <t>你申告或作證時，是否明知內容與事實不符？</t>
        </is>
      </c>
      <c r="V27" s="33" t="inlineStr">
        <is>
          <t>你跟對方認識多久？平常都用什麼方式聯絡，見過面嗎？</t>
        </is>
      </c>
      <c r="X27" s="33" t="inlineStr">
        <is>
          <t>對方今年幾歲？還在唸書嗎？他知不知道你對他做的這些事情代表什麼意思？</t>
        </is>
      </c>
    </row>
    <row r="28">
      <c r="C28" s="33" t="inlineStr">
        <is>
          <t>孩子燙傷當時，傷勢看起來有多嚴重？你有沒有看到起水泡、脫皮或大面積發紅？</t>
        </is>
      </c>
      <c r="D28" s="33" t="inlineStr">
        <is>
          <t>在使用期間，該物品是否發生損耗或價值下降的情形？</t>
        </is>
      </c>
      <c r="H28" s="33" t="inlineStr">
        <is>
          <t>後來你把照片放到臉書或IG之前，有沒有再問過對方同不同意公開？</t>
        </is>
      </c>
      <c r="I28" s="33" t="inlineStr">
        <is>
          <t>你是為催促對方履行債務，還是為取得超出債權範圍之不法利益？</t>
        </is>
      </c>
      <c r="K28" s="33" t="inlineStr">
        <is>
          <t>行為人與被害人間有無雇主勞工、師生等權力關係？</t>
        </is>
      </c>
      <c r="Q28" s="33" t="inlineStr">
        <is>
          <t>給付之報酬與勞動是否顯不相當？</t>
        </is>
      </c>
      <c r="T28" s="33" t="inlineStr">
        <is>
          <t>你是基於親身見聞，還是出於懷疑、推測或誤會？</t>
        </is>
      </c>
      <c r="V28" s="33" t="inlineStr">
        <is>
          <t>你從這件事裡面有沒有拿到錢？大約多少，是固定的還是按次給的？</t>
        </is>
      </c>
      <c r="X28" s="33" t="inlineStr">
        <is>
          <t>事情發生的時候，對方有沒有說不要，或用手推開你、哭、跑開？</t>
        </is>
      </c>
    </row>
    <row r="29">
      <c r="C29" s="33" t="inlineStr">
        <is>
          <t>從發現燙傷到孩子過世之間大約隔了多久？這段時間你們做了哪些處理，有沒有打電話求助或送醫院？</t>
        </is>
      </c>
      <c r="D29" s="33" t="inlineStr">
        <is>
          <t>即使事後歸還，你是否在使用期間進行了影響該物品權利或價值的行為？</t>
        </is>
      </c>
      <c r="H29" s="33" t="inlineStr">
        <is>
          <t>照片放在公開的地方大約多久？有多少人看過或留言？</t>
        </is>
      </c>
      <c r="I29" s="33" t="inlineStr">
        <is>
          <t>對方交付財物後，你是否將之作為清償或擔保，而非任意處分花用？</t>
        </is>
      </c>
      <c r="K29" s="33" t="inlineStr">
        <is>
          <t>行為是否達強制觸摸之刑事程度，抑或僅敵意環境交換條件？</t>
        </is>
      </c>
      <c r="Q29" s="33" t="inlineStr">
        <is>
          <t>你的目的在榨取勞力價值，還是單純限制其行動或騙取財物？</t>
        </is>
      </c>
      <c r="T29" s="33" t="inlineStr">
        <is>
          <t>你具結作證前，是否了解具結之意義及偽證之後果？</t>
        </is>
      </c>
      <c r="V29" s="33" t="inlineStr">
        <is>
          <t>你拿到這筆錢之後，是直接拿去買東西繳錢，還是先轉給別人再轉回來？</t>
        </is>
      </c>
      <c r="X29" s="33" t="inlineStr">
        <is>
          <t>對方完全沒有反抗，是因為他願意，還是因為他年紀太小不懂、不敢出聲？</t>
        </is>
      </c>
    </row>
    <row r="30">
      <c r="C30" s="33" t="inlineStr">
        <is>
          <t>當時為什麼沒有把孩子送去醫院？是沒有錢、沒有交通工具，還是有其他原因？</t>
        </is>
      </c>
      <c r="D30" s="33" t="inlineStr">
        <is>
          <t>該物品是否為他人犯罪所得之贓物？</t>
        </is>
      </c>
      <c r="H30" s="33" t="inlineStr">
        <is>
          <t>對方後來有沒有要求你刪掉？你是自己刪的還是對方動手刪的？</t>
        </is>
      </c>
      <c r="I30" s="33" t="inlineStr">
        <is>
          <t>對方當時是否已完全無法反抗、無法求救或逃離？</t>
        </is>
      </c>
      <c r="K30" s="33" t="inlineStr">
        <is>
          <t>是否已循申訴調查程序處理？</t>
        </is>
      </c>
      <c r="Q30" s="33" t="inlineStr">
        <is>
          <t>對方是否因非法居留語言不通而不敢求助？</t>
        </is>
      </c>
      <c r="T30" s="33" t="inlineStr">
        <is>
          <t>有無客觀證據可證明你所申告或證述之事為真實？</t>
        </is>
      </c>
      <c r="V30" s="33" t="inlineStr">
        <is>
          <t>錢轉出去的時候，是用你自己的名字匯款，還是用別人的名字或領現金？</t>
        </is>
      </c>
      <c r="X30" s="33" t="inlineStr">
        <is>
          <t>你跟對方是什麼關係？你們認識多久了？</t>
        </is>
      </c>
    </row>
    <row r="31">
      <c r="C31" s="33" t="inlineStr">
        <is>
          <t>你把提款卡交給對方或弄丟之前，有沒有想過對方可能拿去做壞事？當時心裡是怎麼想的？</t>
        </is>
      </c>
      <c r="D31" s="33" t="inlineStr">
        <is>
          <t>你取得物品時是否明知其為贓物？</t>
        </is>
      </c>
      <c r="H31" s="1338">
        <f>CONCATENATE("你罵人或講那些話的時候，地點",輸入!$C$7,"？當時旁邊有幾個人在場，他們跟你們認不認識？")</f>
        <v/>
      </c>
      <c r="I31" s="33" t="inlineStr">
        <is>
          <t>你使用之強暴脅迫手段，是否已壓制對方至不能抗拒？</t>
        </is>
      </c>
      <c r="Q31" s="33" t="inlineStr">
        <is>
          <t>你當時對警察做了什麼動作？有推、打、踢，還是只有用說的？</t>
        </is>
      </c>
      <c r="V31" s="1338">
        <f>CONCATENATE("你這樣轉來轉去，是為了讓人查不到錢從",輸入!$C$7,"來，還是只是方便付款？")</f>
        <v/>
      </c>
      <c r="X31" s="33" t="inlineStr">
        <is>
          <t>行為當時對方是否明確表示不要或反抗？</t>
        </is>
      </c>
    </row>
    <row r="32">
      <c r="C32" s="33" t="inlineStr">
        <is>
          <t>這本存摺是不是你每個月領補助錢、維持生活最重要的帳戶？你平常多久去領一次錢？</t>
        </is>
      </c>
      <c r="D32" s="33" t="inlineStr">
        <is>
          <t>你是親自竊取該物品，還是從他人手中收受？</t>
        </is>
      </c>
      <c r="H32" s="1338">
        <f>CONCATENATE("你講的話裡面，有沒有提到對方具體做過哪一件事，例如",LEFT(輸入!$C$8,3)&amp;"年"&amp;MID(輸入!$C$8,4,2)&amp;"月"&amp;MID(輸入!$C$8,6,2)&amp;"日","、",輸入!$C$7,"、做了什麼？")</f>
        <v/>
      </c>
      <c r="I32" s="33" t="inlineStr">
        <is>
          <t>你取走財物是為自己所有，還是為阻止對方求救或另有目的？</t>
        </is>
      </c>
      <c r="Q32" s="33" t="inlineStr">
        <is>
          <t>你的動作有沒有讓警察無法繼續執行工作，例如把人推開或搶東西？</t>
        </is>
      </c>
      <c r="V32" s="33" t="inlineStr">
        <is>
          <t>你轉錢的時候，知不知道這筆錢是從犯罪來的？</t>
        </is>
      </c>
      <c r="X32" s="33" t="inlineStr">
        <is>
          <t>你是否使用拉扯、壓制、掐脖等物理強制手段？</t>
        </is>
      </c>
    </row>
    <row r="33">
      <c r="C33" s="33" t="inlineStr">
        <is>
          <t>你的記性不好這件事，有沒有去醫院看過？醫生有沒有說會影響記憶或判斷？</t>
        </is>
      </c>
      <c r="D33" s="33" t="inlineStr">
        <is>
          <t>你收受後是否據為己有或攜回住處？</t>
        </is>
      </c>
      <c r="H33" s="33" t="inlineStr">
        <is>
          <t>對方聽到之後有什麼反應？有沒有當場表示要告你，還是只是走開？</t>
        </is>
      </c>
      <c r="I33" s="33" t="inlineStr">
        <is>
          <t>對方是出於畏懼而交付，還是已喪失反抗能力任你取走？</t>
        </is>
      </c>
      <c r="Q33" s="33" t="inlineStr">
        <is>
          <t>當時有沒有監視器或密錄器拍到過程？畫面裡你做了什麼？</t>
        </is>
      </c>
      <c r="V33" s="33" t="inlineStr">
        <is>
          <t>對方請你幫忙處理事情的時候，有沒有說好你可以做哪些事、不能做哪些事？</t>
        </is>
      </c>
      <c r="X33" s="33" t="inlineStr">
        <is>
          <t>對方當時幾歲，是否滿16歲？</t>
        </is>
      </c>
    </row>
    <row r="34">
      <c r="C34" s="1338">
        <f>CONCATENATE("密碼紙條是從",LEFT(輸入!$C$8,3)&amp;"年"&amp;MID(輸入!$C$8,4,2)&amp;"月"&amp;MID(輸入!$C$8,6,2)&amp;"日","開始跟提款卡放在一起的？你有沒有想過分開保管？")</f>
        <v/>
      </c>
      <c r="D34" s="33" t="inlineStr">
        <is>
          <t>在你接觸或取得該物品之前，該物品是由誰保管或放置在什麼位置？</t>
        </is>
      </c>
      <c r="H34" s="33" t="inlineStr">
        <is>
          <t>你跟對方之前認不認識？是第一次吵架，還是已經吵過很多次了？</t>
        </is>
      </c>
      <c r="I34" s="33" t="inlineStr">
        <is>
          <t>你當時對對方說了什麼話，或做了什麼動作？原話還記得嗎？</t>
        </is>
      </c>
      <c r="Q34" s="33" t="inlineStr">
        <is>
          <t>你是因為不滿警察的作法一時生氣，還是故意要讓他不能辦事？</t>
        </is>
      </c>
      <c r="V34" s="33" t="inlineStr">
        <is>
          <t>那些錢本來應該交給誰？你後來把錢拿去做了什麼用？</t>
        </is>
      </c>
      <c r="X34" s="33" t="inlineStr">
        <is>
          <t>若無強制手段，是否仍因對方未滿16歲而成立犯罪？</t>
        </is>
      </c>
    </row>
    <row r="35">
      <c r="C35" s="33" t="inlineStr">
        <is>
          <t>你與對方是否具有配偶、親屬、同住等家庭成員關係？</t>
        </is>
      </c>
      <c r="D35" s="33" t="inlineStr">
        <is>
          <t>原持有人當時是否離開現場？離開的距離與時間為何？</t>
        </is>
      </c>
      <c r="I35" s="33" t="inlineStr">
        <is>
          <t>你是當面講的、打電話講的，還是用訊息、網路留言傳的？</t>
        </is>
      </c>
      <c r="V35" s="33" t="inlineStr">
        <is>
          <t>你是騙對方把錢交給你，還是對方本來就把錢放在你這裡請你轉交？</t>
        </is>
      </c>
    </row>
    <row r="36">
      <c r="C36" s="33" t="inlineStr">
        <is>
          <t>行為發生在家庭場域或因家庭糾紛而起？</t>
        </is>
      </c>
      <c r="D36" s="33" t="inlineStr">
        <is>
          <t>你取得該物品時，原持有人是否仍隨時可以主張對該物品的控制權？</t>
        </is>
      </c>
      <c r="I36" s="33" t="inlineStr">
        <is>
          <t>對方聽到之後有什麼反應？有沒有哭、發抖、報警，或跟你說他很害怕？</t>
        </is>
      </c>
      <c r="V36" s="33" t="inlineStr">
        <is>
          <t>你拿這些錢去還自己的債之前，有沒有先問過對方同不同意？</t>
        </is>
      </c>
    </row>
    <row r="37">
      <c r="C37" s="33" t="inlineStr">
        <is>
          <t>對方身體是否因此受傷？</t>
        </is>
      </c>
      <c r="D37" s="33" t="inlineStr">
        <is>
          <t>你與原持有人之間，是否有委託保管、租賃或借用該物品的契約或約定？</t>
        </is>
      </c>
      <c r="I37" s="33" t="inlineStr">
        <is>
          <t>你講這些話，是因為跟對方有什麼糾紛？你們之前認不認識？</t>
        </is>
      </c>
    </row>
    <row r="38">
      <c r="C38" s="33" t="inlineStr">
        <is>
          <t>是否曾聲請保護令或有家暴前科？</t>
        </is>
      </c>
      <c r="D38" s="33" t="inlineStr">
        <is>
          <t>原持有人將物品放下或暫時離開時，是否有明确表示放棄控制或交由你保管？</t>
        </is>
      </c>
    </row>
    <row r="39">
      <c r="C39" s="33" t="inlineStr">
        <is>
          <t>對方動手之前，你有沒有先被打、被推或被威脅？當時情況是怎麼開始的？</t>
        </is>
      </c>
      <c r="D39" s="33" t="inlineStr">
        <is>
          <t>你取得物品時，原持有人是否只是暫時不注意或短暫離開？</t>
        </is>
      </c>
    </row>
    <row r="40">
      <c r="C40" s="33" t="inlineStr">
        <is>
          <t>你還手的時候，對方有沒有停下來？還是還在繼續打你？</t>
        </is>
      </c>
      <c r="D40" s="33" t="inlineStr">
        <is>
          <t>你使用的這塊土地或房間，是你自己的還是別人的？有沒有租約或權狀可以證明？</t>
        </is>
      </c>
    </row>
    <row r="41">
      <c r="C41" s="33" t="inlineStr">
        <is>
          <t>對方手上有沒有拿東西？你手上有沒有拿東西？你打了幾下就停了？</t>
        </is>
      </c>
      <c r="D41" s="1338">
        <f>CONCATENATE("你在上面鋪水泥、蓋東西之前，有沒有先量過界線或問過地政？知不知道界線",輸入!$C$7,"？")</f>
        <v/>
      </c>
    </row>
    <row r="42">
      <c r="C42" s="33" t="inlineStr">
        <is>
          <t>對方倒地或跑開之後，你還有沒有繼續追打？</t>
        </is>
      </c>
      <c r="D42" s="33" t="inlineStr">
        <is>
          <t>你蓋好之後，原來的人還進得去、用得到那塊地方嗎？</t>
        </is>
      </c>
    </row>
    <row r="43">
      <c r="C43" s="33" t="inlineStr">
        <is>
          <t>當時情況有多緊急？對方做了什麼讓你覺得不馬上走會有危險？</t>
        </is>
      </c>
      <c r="D43" s="33" t="inlineStr">
        <is>
          <t>你是把東西搬走帶回家，還是直接在別人的地上蓋、鋪、種東西自己用？</t>
        </is>
      </c>
    </row>
    <row r="44">
      <c r="C44" s="33" t="inlineStr">
        <is>
          <t>除了開車離開，你還有沒有其他方法可以走，例如打電話報警或等人來？</t>
        </is>
      </c>
      <c r="D44" s="1338">
        <f>CONCATENATE("你是在",LEFT(輸入!$C$8,3)&amp;"年"&amp;MID(輸入!$C$8,4,2)&amp;"月"&amp;MID(輸入!$C$8,6,2)&amp;"日","、",輸入!$C$7,"拿走這個東西的？當時東西是放",輸入!$C$7,"？")</f>
        <v/>
      </c>
    </row>
    <row r="45">
      <c r="C45" s="33" t="inlineStr">
        <is>
          <t>你開車之前，有沒有先按喇叭、倒車或停下來給對方讓開的機會？</t>
        </is>
      </c>
      <c r="D45" s="33" t="inlineStr">
        <is>
          <t>你拿走之前，有沒有問過東西的主人？主人當時知不知道你要拿？</t>
        </is>
      </c>
    </row>
    <row r="46">
      <c r="C46" s="33" t="inlineStr">
        <is>
          <t>對方受傷，是你撞到的，還是他自己拉著車不放跌倒的？</t>
        </is>
      </c>
      <c r="D46" s="1338">
        <f>CONCATENATE("你拿的時候有沒有用工具，例如撬開、剪斷或翻牆？東西後來被你放到",輸入!$C$7,"去了？")</f>
        <v/>
      </c>
    </row>
    <row r="47">
      <c r="C47" s="33" t="inlineStr">
        <is>
          <t>你們是為了什麼事情吵起來的？是誰先動手的？</t>
        </is>
      </c>
      <c r="D47" s="33" t="inlineStr">
        <is>
          <t>你為什麼要拿這個東西？是自己要用、拿去賣，還是其他原因？</t>
        </is>
      </c>
    </row>
    <row r="48">
      <c r="C48" s="33" t="inlineStr">
        <is>
          <t>你動手的時候，手上有沒有拿東西？如果有，是什麼，是隨手拿的還是事先準備的？</t>
        </is>
      </c>
    </row>
    <row r="49">
      <c r="C49" s="33" t="inlineStr">
        <is>
          <t>你打到對方身體的哪些地方？打了幾下？</t>
        </is>
      </c>
    </row>
    <row r="50">
      <c r="C50" s="1338">
        <f>CONCATENATE("對方受傷之後有沒有去醫院？傷",輸入!$C$7,"，有沒有開診斷證明？")</f>
        <v/>
      </c>
    </row>
    <row r="51">
      <c r="C51" s="33" t="inlineStr">
        <is>
          <t>對方身上有沒有受傷？有沒有去醫院開診斷證明？傷到什麼部位？</t>
        </is>
      </c>
    </row>
    <row r="52">
      <c r="C52" s="33" t="inlineStr">
        <is>
          <t>打架持續了多久？警察來的時候還在打，還是已經停了？</t>
        </is>
      </c>
    </row>
    <row r="53">
      <c r="C53" s="33" t="inlineStr">
        <is>
          <t>除了你們雙方，還有沒有路人或其他人被波及或嚇到？</t>
        </is>
      </c>
    </row>
    <row r="54">
      <c r="C54" s="33" t="inlineStr">
        <is>
          <t>你們是本來約好要去打架，還是一開始在做別的事臨時吵起來？</t>
        </is>
      </c>
    </row>
    <row r="55">
      <c r="A55" s="33" t="inlineStr">
        <is>
          <t>你上述年籍資料是否正確？是否為你本人？有無攜帶身分證明文件?</t>
        </is>
      </c>
      <c r="B55" s="33" t="inlineStr">
        <is>
          <t>你把提款卡交給對方或弄丟之前，有沒有想過對方可能拿去做壞事？當時心裡是怎麼想的？</t>
        </is>
      </c>
      <c r="J55" s="33" t="inlineStr">
        <is>
          <t>你是否確定要撤回告訴？是什麼原因讓你這樣決定？</t>
        </is>
      </c>
      <c r="U55" s="33" t="inlineStr">
        <is>
          <t>你與對方是否具有配偶、親屬、同住等家庭成員關係？</t>
        </is>
      </c>
      <c r="W55" s="33" t="inlineStr">
        <is>
          <t>對方觸碰你的時間很短暫一閃即逝，還是持續一段時間？</t>
        </is>
      </c>
    </row>
    <row r="56">
      <c r="A56" s="33" t="inlineStr">
        <is>
          <t>警方所告知之罪名及權利你是否清楚？你有無刑案紀錄？</t>
        </is>
      </c>
      <c r="B56" s="33" t="inlineStr">
        <is>
          <t>這本存摺是不是你每個月領補助錢、維持生活最重要的帳戶？你平常多久去領一次錢？</t>
        </is>
      </c>
      <c r="J56" s="33" t="inlineStr">
        <is>
          <t>如果對方願意和解或接受調解，你願不願意接受？</t>
        </is>
      </c>
      <c r="U56" s="33" t="inlineStr">
        <is>
          <t>行為發生在家庭場域或因家庭糾紛而起？</t>
        </is>
      </c>
      <c r="W56" s="33" t="inlineStr">
        <is>
          <t>對方是否使用拉扯、壓制等強制力使你無法反抗或離開？</t>
        </is>
      </c>
    </row>
    <row r="57">
      <c r="A57" s="33" t="n"/>
      <c r="B57" s="33" t="inlineStr">
        <is>
          <t>你的記性不好這件事，有沒有去醫院看過？醫生有沒有說會影響記憶或判斷？</t>
        </is>
      </c>
      <c r="U57" s="33" t="inlineStr">
        <is>
          <t>對方身體是否因此受傷？</t>
        </is>
      </c>
      <c r="W57" s="33" t="inlineStr">
        <is>
          <t>事發後你是否因被控制而無法決定自己的行動？</t>
        </is>
      </c>
    </row>
    <row r="58">
      <c r="B58" s="33" t="inlineStr">
        <is>
          <t>密碼紙條是從什麼時候開始跟提款卡放在一起的？你有沒有想過分開保管？</t>
        </is>
      </c>
      <c r="U58" s="33" t="inlineStr">
        <is>
          <t>是否曾聲請保護令或有家暴前科？</t>
        </is>
      </c>
      <c r="W58" s="33" t="inlineStr">
        <is>
          <t>對方行為是否僅為短暫觸摸，抑或包含親吻、拍攝等多重舉動？</t>
        </is>
      </c>
    </row>
    <row r="59">
      <c r="W59" s="33" t="inlineStr">
        <is>
          <t>對方觸碰你持續多久，是瞬間還是數分鐘？</t>
        </is>
      </c>
    </row>
    <row r="60">
      <c r="W60" s="33" t="inlineStr">
        <is>
          <t>對方是否刻意遮擋行為避免他人看見？</t>
        </is>
      </c>
    </row>
    <row r="61">
      <c r="W61" s="33" t="inlineStr">
        <is>
          <t>有人靠近時對方是否立即停止或躲避？</t>
        </is>
      </c>
    </row>
    <row r="62">
      <c r="W62" s="33" t="inlineStr">
        <is>
          <t>你當時年齡為何，是否有能力反抗或求助？</t>
        </is>
      </c>
    </row>
  </sheetData>
  <pageMargins left="0.7" right="0.7" top="0.75" bottom="0.75" header="0.3" footer="0.3"/>
</worksheet>
</file>

<file path=xl/worksheets/sheet49.xml><?xml version="1.0" encoding="utf-8"?>
<worksheet xmlns="http://schemas.openxmlformats.org/spreadsheetml/2006/main">
  <sheetPr codeName="工作表53">
    <outlinePr summaryBelow="1" summaryRight="1"/>
    <pageSetUpPr/>
  </sheetPr>
  <dimension ref="A1:AG26"/>
  <sheetViews>
    <sheetView workbookViewId="0">
      <selection activeCell="A8" sqref="A8"/>
    </sheetView>
  </sheetViews>
  <sheetFormatPr baseColWidth="8" defaultRowHeight="16.5"/>
  <cols>
    <col width="55" customWidth="1" style="680" min="6" max="6"/>
    <col width="55" customWidth="1" style="680" min="7" max="7"/>
    <col width="55" customWidth="1" style="680" min="8" max="8"/>
    <col width="55" customWidth="1" style="680" min="9" max="9"/>
    <col width="55" customWidth="1" style="680" min="10" max="10"/>
    <col width="55" customWidth="1" style="680" min="11" max="11"/>
    <col width="55" customWidth="1" style="680" min="12" max="12"/>
    <col width="55" customWidth="1" style="680" min="13" max="13"/>
    <col width="55" customWidth="1" style="680" min="14" max="14"/>
    <col width="55" customWidth="1" style="680" min="15" max="15"/>
    <col width="55" customWidth="1" style="680" min="16" max="16"/>
    <col width="55" customWidth="1" style="680" min="17" max="17"/>
    <col width="55" customWidth="1" style="680" min="18" max="18"/>
    <col width="55" customWidth="1" style="680" min="19" max="19"/>
    <col width="55" customWidth="1" style="680" min="20" max="20"/>
    <col width="55" customWidth="1" style="680" min="21" max="21"/>
    <col width="55" customWidth="1" style="680" min="22" max="22"/>
    <col width="55" customWidth="1" style="680" min="23" max="23"/>
    <col width="55" customWidth="1" style="680" min="24" max="24"/>
    <col width="55" customWidth="1" style="680" min="25" max="25"/>
    <col width="55" customWidth="1" style="680" min="26" max="26"/>
    <col width="55" customWidth="1" style="680" min="27" max="27"/>
    <col width="55" customWidth="1" style="680" min="28" max="28"/>
    <col width="55" customWidth="1" style="680" min="29" max="29"/>
    <col width="55" customWidth="1" style="680" min="30" max="30"/>
    <col width="55" customWidth="1" style="680" min="31" max="31"/>
    <col width="55" customWidth="1" style="680" min="32" max="32"/>
    <col width="55" customWidth="1" style="680" min="33" max="33"/>
  </cols>
  <sheetData>
    <row r="1" ht="19.5" customHeight="1" s="680">
      <c r="A1" s="335" t="inlineStr">
        <is>
          <t>通用</t>
        </is>
      </c>
      <c r="B1" s="335" t="inlineStr">
        <is>
          <t>證人通用</t>
        </is>
      </c>
      <c r="C1" s="913" t="inlineStr">
        <is>
          <t>刑事相驗</t>
        </is>
      </c>
      <c r="D1" s="780" t="inlineStr">
        <is>
          <t>詐欺</t>
        </is>
      </c>
      <c r="E1" s="780" t="inlineStr">
        <is>
          <t>性騷擾</t>
        </is>
      </c>
      <c r="F1" s="1337" t="inlineStr">
        <is>
          <t>竊盜</t>
        </is>
      </c>
      <c r="G1" s="1337" t="inlineStr">
        <is>
          <t>傷害</t>
        </is>
      </c>
      <c r="H1" s="1337" t="inlineStr">
        <is>
          <t>恐嚇</t>
        </is>
      </c>
      <c r="I1" s="1337" t="inlineStr">
        <is>
          <t>侵占</t>
        </is>
      </c>
      <c r="J1" s="1337" t="inlineStr">
        <is>
          <t>毀損</t>
        </is>
      </c>
      <c r="K1" s="1337" t="inlineStr">
        <is>
          <t>妨害電腦使用</t>
        </is>
      </c>
      <c r="L1" s="1337" t="inlineStr">
        <is>
          <t>妨害名譽</t>
        </is>
      </c>
      <c r="M1" s="1337" t="inlineStr">
        <is>
          <t>妨害自由</t>
        </is>
      </c>
      <c r="N1" s="1337" t="inlineStr">
        <is>
          <t>偽造文書</t>
        </is>
      </c>
      <c r="O1" s="1337" t="inlineStr">
        <is>
          <t>毒品危害防制條例</t>
        </is>
      </c>
      <c r="P1" s="1337" t="inlineStr">
        <is>
          <t>妨害秩序</t>
        </is>
      </c>
      <c r="Q1" s="1337" t="inlineStr">
        <is>
          <t>跟蹤騷擾</t>
        </is>
      </c>
      <c r="R1" s="1337" t="inlineStr">
        <is>
          <t>誣告</t>
        </is>
      </c>
      <c r="S1" s="1337" t="inlineStr">
        <is>
          <t>性騷擾防治法</t>
        </is>
      </c>
      <c r="T1" s="1337" t="inlineStr">
        <is>
          <t>公共危險</t>
        </is>
      </c>
      <c r="U1" s="1337" t="inlineStr">
        <is>
          <t>通緝</t>
        </is>
      </c>
      <c r="V1" s="1337" t="inlineStr">
        <is>
          <t>逃逸外勞</t>
        </is>
      </c>
      <c r="W1" s="1337" t="inlineStr">
        <is>
          <t>違反保護令</t>
        </is>
      </c>
      <c r="X1" s="1337" t="inlineStr">
        <is>
          <t>AI_妨害性自主</t>
        </is>
      </c>
      <c r="Y1" s="1337" t="inlineStr">
        <is>
          <t>AI_兒少性剝削</t>
        </is>
      </c>
      <c r="Z1" s="1337" t="inlineStr">
        <is>
          <t>AI_圖利賄賂</t>
        </is>
      </c>
      <c r="AA1" s="1337" t="inlineStr">
        <is>
          <t>AI_少年事件</t>
        </is>
      </c>
      <c r="AB1" s="1337" t="inlineStr">
        <is>
          <t>AI_賭博</t>
        </is>
      </c>
      <c r="AC1" s="1337" t="inlineStr">
        <is>
          <t>AI_公然猥褻</t>
        </is>
      </c>
      <c r="AD1" s="1337" t="inlineStr">
        <is>
          <t>AI_槍砲</t>
        </is>
      </c>
      <c r="AE1" s="1337" t="inlineStr">
        <is>
          <t>過失傷害</t>
        </is>
      </c>
      <c r="AF1" s="1337" t="inlineStr">
        <is>
          <t>AI_毒品危害</t>
        </is>
      </c>
      <c r="AG1" s="1337" t="inlineStr">
        <is>
          <t>AI_妨害公務</t>
        </is>
      </c>
    </row>
    <row r="2" ht="17.25" customHeight="1" s="680">
      <c r="A2" s="250" t="inlineStr">
        <is>
          <t>你向警方表示你係為美國人士，請問你的中文聽、說、讀、寫能力如何？</t>
        </is>
      </c>
      <c r="B2" s="247" t="inlineStr">
        <is>
          <t>你與被害人為何種關係？如何認識？</t>
        </is>
      </c>
      <c r="C2" s="592" t="inlineStr">
        <is>
          <t>你上述年籍資料是否正確？是否為你本人？有無攜帶身分證明文件?</t>
        </is>
      </c>
      <c r="E2" s="780" t="inlineStr">
        <is>
          <t>真實姓名對照表內之資料是否正確？是否為你本人？</t>
        </is>
      </c>
    </row>
    <row r="3">
      <c r="A3" s="247" t="inlineStr">
        <is>
          <t>你上述年籍資料是否正確？是否為你本人？有無攜帶身分證明文件?</t>
        </is>
      </c>
      <c r="B3" s="247">
        <f>CONCATENATE("當被害人遭",呈報單!$G$15,"時，你是否在場？請說明事情過程？")</f>
        <v/>
      </c>
      <c r="C3" s="592">
        <f>CONCATENATE("你今(",MID(輸入!$C$10,6,2),")日因何事接受警方製作筆錄？")</f>
        <v/>
      </c>
      <c r="E3" s="780" t="inlineStr">
        <is>
          <t>你的文書送達地址為何？</t>
        </is>
      </c>
    </row>
    <row r="4">
      <c r="A4" s="247" t="inlineStr">
        <is>
          <t>是否知道對方年籍資料、聯絡方式？與對方是否認識？有無仇恨或糾紛？</t>
        </is>
      </c>
      <c r="B4" s="247">
        <f>CONCATENATE("你今(",MID(輸入!$C$10,6,2),")日因何事接受警方製作筆錄？")</f>
        <v/>
      </c>
      <c r="C4" s="592">
        <f>CONCATENATE("你於何時、何地、如何發現",輸入!$B$17,"狀況？過程為何？請詳述之。")</f>
        <v/>
      </c>
      <c r="E4" s="780" t="inlineStr">
        <is>
          <t>〈代號〉-〈代號〉號姓名對照表(彌封)之年籍資料是否正確？是否為你本人？</t>
        </is>
      </c>
    </row>
    <row r="5" ht="20.25" customHeight="1" s="680">
      <c r="A5" s="250" t="inlineStr">
        <is>
          <t>上述所說是否實在？有無其他意見補充？</t>
        </is>
      </c>
      <c r="B5" s="247" t="inlineStr">
        <is>
          <t>妳與涉嫌人是否認識？何種關係？有無任何仇恨、糾紛？</t>
        </is>
      </c>
      <c r="C5" s="592">
        <f>CONCATENATE("經該",輸入!$L$17,"子送台北馬偕醫院，經醫生於113年1月10日8時30分宣告不治死亡，你是否為真?")</f>
        <v/>
      </c>
      <c r="E5" s="780" t="inlineStr">
        <is>
          <t>本事件發生地的場所主人（管理人）為何人？事件發生後你有無告知該人？該場所主人（管理人）作何處置？（發生在營造物或一般商場之案件，以利調閱相關資料）</t>
        </is>
      </c>
    </row>
    <row r="6">
      <c r="A6" s="247" t="inlineStr">
        <is>
          <t>公司地址為何？現任何職？是否有公司授權委託書？</t>
        </is>
      </c>
      <c r="B6" s="247" t="inlineStr">
        <is>
          <t>你是否知悉使公務員登載不實須負相關責任?</t>
        </is>
      </c>
      <c r="C6" s="592" t="inlineStr">
        <is>
          <t>現場是否留有凶器或打鬥之痕跡？死者身上及現場周遭是否有外傷等明顯非自然痕跡（身上勒痕、環境鞋痕、車痕等）？有無遭翻動財物痕跡？現場是否有監視器？</t>
        </is>
      </c>
      <c r="E6" s="780" t="inlineStr">
        <is>
          <t>你今（6/19）因何事前來派出所製作調查筆錄？</t>
        </is>
      </c>
    </row>
    <row r="7">
      <c r="A7" s="247">
        <f>CONCATENATE("你於",LEFT(下拉用!$J$4,10),"第一次警詢筆錄的陳述是否實在?")</f>
        <v/>
      </c>
      <c r="B7" s="247" t="inlineStr">
        <is>
          <t>對於特定或不特定人士做不實指控或謊報、隱匿實情，致使公務人員於文書登載不實必須擔負法律責任，是否清楚？</t>
        </is>
      </c>
      <c r="C7" s="592">
        <f>CONCATENATE("你與",輸入!$B$17,"是什麼關係？",輸入!$B$17,"之年籍資料、聯絡方式為何？",輸入!$B$17,"有無使用交通工具？使用何交通工具？你瞭解",輸入!$B$17,"生活狀況如何？最近生活有無異常？交友狀況如何？有無與人糾紛或結怨？你瞭解",輸入!$B$17,"家庭狀況如何？")</f>
        <v/>
      </c>
      <c r="E7" s="780" t="inlineStr">
        <is>
          <t>你是否要提出申訴？對何人提出？（如為性別平等工作法可對雇主提出申訴）</t>
        </is>
      </c>
    </row>
    <row r="8">
      <c r="A8" s="247" t="n"/>
      <c r="B8" s="247" t="inlineStr">
        <is>
          <t>請問你是否現為或曾為犯罪嫌疑人之配偶、直系血親、三親等內之旁系血親、二親等內之姻親或家長、家屬者？</t>
        </is>
      </c>
      <c r="C8" s="592">
        <f>CONCATENATE("是否知悉",輸入!$B$17,"有無投保保險？",輸入!$B$17,"經濟來源為何？有無工作？")</f>
        <v/>
      </c>
      <c r="E8" s="780" t="inlineStr">
        <is>
          <t>你於何時、何地遭受行為人實施性騷擾行為？請詳述案發過程</t>
        </is>
      </c>
    </row>
    <row r="9">
      <c r="A9" s="247" t="n"/>
      <c r="B9" s="247" t="inlineStr">
        <is>
          <t>請問你是否與犯罪嫌疑人訂有婚約者？</t>
        </is>
      </c>
      <c r="C9" s="592">
        <f>CONCATENATE(,輸入!$B$17,"身體健康狀況如何？有無疾病纏身？有無生前就醫紀錄？")</f>
        <v/>
      </c>
      <c r="E9" s="780" t="inlineStr">
        <is>
          <t>你現在任職單位的職稱(位)為何？任現職多久？工作內容為何？薪資由何人支應？（釐清性平三法之適用）</t>
        </is>
      </c>
    </row>
    <row r="10">
      <c r="A10" s="247" t="n"/>
      <c r="B10" s="247" t="inlineStr">
        <is>
          <t>請問你是否現為或曾為犯罪嫌疑人之法定代理人或現由或曾由犯罪嫌疑人為其法定代理人者？</t>
        </is>
      </c>
      <c r="C10" s="592">
        <f>CONCATENATE(,輸入!$B$17,"曾有無表示想輕生念頭？有無留下遺書？現場是否留有遺書？")</f>
        <v/>
      </c>
      <c r="E10" s="780" t="inlineStr">
        <is>
          <t>是否領有身心障礙證明？是否經醫囑使用精神藥物？身障類別、鑑定向度及障礙程度為何？</t>
        </is>
      </c>
    </row>
    <row r="11">
      <c r="A11" s="247" t="n"/>
      <c r="B11" s="247" t="inlineStr">
        <is>
          <t>你現在精神狀況如何？是否可以製作筆錄？是否需要家屬或社工到場陪同？</t>
        </is>
      </c>
      <c r="C11" s="592">
        <f>CONCATENATE(,輸入!$B$17,"大體目前放置於何處？")</f>
        <v/>
      </c>
      <c r="E11" s="780" t="inlineStr">
        <is>
          <t>你有無因本事件產生焦慮、失眠、惡夢、食慾不振等情況？</t>
        </is>
      </c>
    </row>
    <row r="12" ht="165" customHeight="1" s="680">
      <c r="A12" s="592" t="n"/>
      <c r="B12" s="255" t="inlineStr">
        <is>
          <t>是否領有身心障礙證明或經醫囑使用精神藥物？類別、鑑定向度及障礙程度為何？</t>
        </is>
      </c>
      <c r="C12" s="592">
        <f>CONCATENATE("你對於",輸入!$B$17,"之死亡有無任何意見？")</f>
        <v/>
      </c>
      <c r="E12" s="780" t="inlineStr">
        <is>
          <t>你遭行為人實施性騷擾行為，一共發生幾次？或持續多久？</t>
        </is>
      </c>
    </row>
    <row r="13">
      <c r="A13" s="592" t="n"/>
      <c r="B13" s="780" t="inlineStr">
        <is>
          <t>你的文書送達地址為何？</t>
        </is>
      </c>
      <c r="C13" s="503" t="inlineStr">
        <is>
          <t>上述所說是否實在？有無其他意見補充？</t>
        </is>
      </c>
      <c r="E13" s="780" t="inlineStr">
        <is>
          <t>本案你是否曾向雇主或所任職相關單位反映過？其後續處理情形或調查結果為何？你是否接受？（性別平等工作法第32-1條第1項相關申訴規定）</t>
        </is>
      </c>
    </row>
    <row r="14">
      <c r="A14" s="592" t="n"/>
      <c r="B14" s="780" t="n"/>
      <c r="E14" s="780" t="inlineStr">
        <is>
          <t>本事件是否曾經提出申訴或告訴？</t>
        </is>
      </c>
    </row>
    <row r="15">
      <c r="B15" s="780" t="n"/>
      <c r="E15" s="780" t="inlineStr">
        <is>
          <t>本案你是否曾撤回申訴或經調解成立？（性騷擾防治法第14條第4項撤回申訴而再行申訴之規定）</t>
        </is>
      </c>
    </row>
    <row r="16">
      <c r="B16" s="780" t="n"/>
      <c r="E16" s="780" t="inlineStr">
        <is>
          <t>你是否要提出性騷擾罪（性騷擾防治法第25條）或其他刑事告訴？對何人提出？（如提告本罪，須另製作調查筆錄）</t>
        </is>
      </c>
    </row>
    <row r="17">
      <c r="E17" s="780" t="inlineStr">
        <is>
          <t>以上所言是否屬實？有無其他補充意見？</t>
        </is>
      </c>
    </row>
    <row r="18">
      <c r="E18" s="780" t="inlineStr">
        <is>
          <t>以上內容是否為你自由意識下所為之陳述？</t>
        </is>
      </c>
    </row>
    <row r="19">
      <c r="B19" s="33" t="inlineStr">
        <is>
          <t>事情發生的時候你在現場嗎？你是剛好經過，還是本來就在那裡？</t>
        </is>
      </c>
      <c r="D19" s="33" t="inlineStr">
        <is>
          <t>你有沒有看過對方跟被害人聯絡的過程？是用電話、訊息還是見面？</t>
        </is>
      </c>
      <c r="E19" s="33" t="inlineStr">
        <is>
          <t>事情發生的時候你在現場嗎？你看到了什麼或聽到了什麼？</t>
        </is>
      </c>
    </row>
    <row r="20">
      <c r="B20" s="33" t="inlineStr">
        <is>
          <t>你看到的經過是怎樣的？先發生什麼，後來又發生什麼？</t>
        </is>
      </c>
      <c r="D20" s="33" t="inlineStr">
        <is>
          <t>你知不知道他們之間有金錢往來？金額大概多少？</t>
        </is>
      </c>
      <c r="E20" s="33" t="inlineStr">
        <is>
          <t>被害人當時的反應是怎樣的？有沒有哭、求救或想離開？</t>
        </is>
      </c>
    </row>
    <row r="21">
      <c r="B21" s="33" t="inlineStr">
        <is>
          <t>你跟兩邊的人認不認識？跟他們有沒有親戚關係或金錢往來？</t>
        </is>
      </c>
      <c r="D21" s="33" t="inlineStr">
        <is>
          <t>被害人後來有沒有跟你提過被騙的事？他是怎麼說的？</t>
        </is>
      </c>
      <c r="E21" s="33" t="inlineStr">
        <is>
          <t>事情發生後，被害人有沒有跟你說過這件事？他希望你怎麼幫他？</t>
        </is>
      </c>
    </row>
    <row r="22">
      <c r="B22" s="33" t="inlineStr">
        <is>
          <t>警察找你作證之前，有沒有人叫你這樣說或那樣說？</t>
        </is>
      </c>
    </row>
    <row r="23">
      <c r="B23" s="33" t="inlineStr">
        <is>
          <t>你說的這些，有沒有其他人也可以證明？監視器有拍到嗎？</t>
        </is>
      </c>
    </row>
    <row r="24">
      <c r="D24" s="33" t="inlineStr">
        <is>
          <t>你有沒有看過對方跟被害人聯絡的過程？是用電話、訊息還是見面？</t>
        </is>
      </c>
      <c r="E24" s="33" t="inlineStr">
        <is>
          <t>事情發生的時候你在現場嗎？你看到了什麼或聽到了什麼？</t>
        </is>
      </c>
      <c r="F24" s="33" t="inlineStr">
        <is>
          <t>事情發生的時候你在現場嗎？你有沒有親眼看到是誰拿走東西的？</t>
        </is>
      </c>
      <c r="G24" s="33" t="inlineStr">
        <is>
          <t>你有沒有親眼看到是誰先動手的？當時對方手上有沒有拿東西？</t>
        </is>
      </c>
      <c r="H24" s="33" t="inlineStr">
        <is>
          <t>你有沒有聽到對方說了什麼威脅的話？原話還記得嗎？</t>
        </is>
      </c>
      <c r="I24" s="33" t="inlineStr">
        <is>
          <t>你知不知道東西本來是誰的？是怎麼到對方手上的？</t>
        </is>
      </c>
      <c r="J24" s="33" t="inlineStr">
        <is>
          <t>東西是怎麼壞掉的？你有親眼看到嗎？</t>
        </is>
      </c>
      <c r="K24" s="33" t="inlineStr">
        <is>
          <t>你有沒有看到對方操作手機或電腦的過程？他做了什麼？</t>
        </is>
      </c>
      <c r="L24" s="33" t="inlineStr">
        <is>
          <t>對方是在哪裡講那些話的？你當時在場嗎？還有誰聽到？</t>
        </is>
      </c>
      <c r="M24" s="33" t="inlineStr">
        <is>
          <t>你有沒有看到對方被攔住走不了？當時對方有幾個人？</t>
        </is>
      </c>
      <c r="N24" s="33" t="inlineStr">
        <is>
          <t>你有沒有看過那份文件？上面的簽名你認得是誰寫的嗎？</t>
        </is>
      </c>
      <c r="O24" s="33" t="inlineStr">
        <is>
          <t>警察找到東西的時候你在場嗎？東西是從哪裡拿出來的？</t>
        </is>
      </c>
      <c r="P24" s="33" t="inlineStr">
        <is>
          <t>打架的時候你在現場嗎？總共有多少人動手？</t>
        </is>
      </c>
      <c r="Q24" s="33" t="inlineStr">
        <is>
          <t>你有沒有看過對方跟著被害人或一直打電話傳訊息？發生過幾次？</t>
        </is>
      </c>
      <c r="R24" s="33" t="inlineStr">
        <is>
          <t>你知不知道對方去告人的事？是什麼時候知道的？</t>
        </is>
      </c>
      <c r="S24" s="33" t="inlineStr">
        <is>
          <t>事情發生在什麼地方？你當時在場嗎？還有誰在？</t>
        </is>
      </c>
      <c r="T24" s="33" t="inlineStr">
        <is>
          <t>車禍發生的時候你在現場嗎？你看到了什麼？</t>
        </is>
      </c>
      <c r="U24" s="33" t="inlineStr">
        <is>
          <t>你最後一次看到對方是什麼時候？在哪裡？</t>
        </is>
      </c>
      <c r="V24" s="33" t="inlineStr">
        <is>
          <t>你是在哪裡認識對方的？認識多久了？</t>
        </is>
      </c>
      <c r="W24" s="33" t="inlineStr">
        <is>
          <t>你有沒有看到對方靠近被害人或跟被害人聯絡？什麼時候、在哪裡？</t>
        </is>
      </c>
      <c r="X24" s="33" t="inlineStr">
        <is>
          <t>事情發生的時候你在現場嗎？你看到了什麼或聽到了什麼？</t>
        </is>
      </c>
      <c r="Y24" s="33" t="inlineStr">
        <is>
          <t>你有沒有看過那些照片或影片？是誰拿給你看的？</t>
        </is>
      </c>
      <c r="Z24" s="33" t="inlineStr">
        <is>
          <t>你有沒有看到送錢或收錢的經過？什麼時候、在哪裡？</t>
        </is>
      </c>
      <c r="AA24" s="33" t="inlineStr">
        <is>
          <t>事情發生的時候你在現場嗎？你看到了什麼？</t>
        </is>
      </c>
      <c r="AB24" s="33" t="inlineStr">
        <is>
          <t>你有沒有去過他們玩牌的地方？在哪裡？外面的人進得去嗎？</t>
        </is>
      </c>
      <c r="AC24" s="33" t="inlineStr">
        <is>
          <t>你當時在哪裡看到的？跟對方距離多遠？</t>
        </is>
      </c>
      <c r="AD24" s="33" t="inlineStr">
        <is>
          <t>你有沒有看過那把槍？長什麼樣子？在哪裡看到的？</t>
        </is>
      </c>
      <c r="AE24" s="33" t="inlineStr">
        <is>
          <t>車禍發生的時候你在現場嗎？你看到了什麼？</t>
        </is>
      </c>
      <c r="AF24" s="33" t="inlineStr">
        <is>
          <t>警察找到東西的時候你在場嗎？東西是從哪裡拿出來的？</t>
        </is>
      </c>
      <c r="AG24" s="33" t="inlineStr">
        <is>
          <t>你有沒有看到對方跟警察發生衝突？當時警察在做什麼？</t>
        </is>
      </c>
    </row>
    <row r="25">
      <c r="D25" s="33" t="inlineStr">
        <is>
          <t>你知不知道他們之間有金錢往來？金額大概多少？</t>
        </is>
      </c>
      <c r="E25" s="33" t="inlineStr">
        <is>
          <t>被害人當時的反應是怎樣的？有沒有哭、求救或想離開？</t>
        </is>
      </c>
      <c r="F25" s="33" t="inlineStr">
        <is>
          <t>你跟兩邊的人認不認識？跟他們有沒有金錢往來或糾紛？</t>
        </is>
      </c>
      <c r="G25" s="33" t="inlineStr">
        <is>
          <t>你跟兩邊的人認不認識？事發前他們有沒有吵架？</t>
        </is>
      </c>
      <c r="H25" s="33" t="inlineStr">
        <is>
          <t>被害人當時的反應是怎樣的？有沒有害怕、哭或報警？</t>
        </is>
      </c>
      <c r="I25" s="33" t="inlineStr">
        <is>
          <t>對方後來把東西拿去做了什麼用？你是什麼時候知道的？</t>
        </is>
      </c>
      <c r="J25" s="33" t="inlineStr">
        <is>
          <t>壞掉之前，你有沒有看到誰在那附近？做了什麼？</t>
        </is>
      </c>
      <c r="K25" s="33" t="inlineStr">
        <is>
          <t>那支手機或帳號是誰的？對方有經過同意嗎？</t>
        </is>
      </c>
      <c r="L25" s="33" t="inlineStr">
        <is>
          <t>對方講的內容，你覺得是真的還是假的？你怎麼知道的？</t>
        </is>
      </c>
      <c r="M25" s="33" t="inlineStr">
        <is>
          <t>被留下來的人有沒有求救或想離開？你看到了嗎？</t>
        </is>
      </c>
      <c r="N25" s="33" t="inlineStr">
        <is>
          <t>簽文件的時候你在場嗎？本人有沒有答應？</t>
        </is>
      </c>
      <c r="O25" s="33" t="inlineStr">
        <is>
          <t>你知不知道那些東西是誰的？放在那裡多久了？</t>
        </is>
      </c>
      <c r="P25" s="33" t="inlineStr">
        <is>
          <t>他們是約好要打，還是臨時吵起來的？你看到的起因是什麼？</t>
        </is>
      </c>
      <c r="Q25" s="33" t="inlineStr">
        <is>
          <t>被害人有沒有跟你抱怨過這件事？他看起來害怕嗎？</t>
        </is>
      </c>
      <c r="R25" s="33" t="inlineStr">
        <is>
          <t>對方告的內容，你覺得是真的還是假的？你怎麼知道的？</t>
        </is>
      </c>
      <c r="S25" s="33" t="inlineStr">
        <is>
          <t>你看到對方做了什麼？持續了多久？</t>
        </is>
      </c>
      <c r="T25" s="33" t="inlineStr">
        <is>
          <t>對方開車的樣子正常嗎？車速快不快？有沒有煞車？</t>
        </is>
      </c>
      <c r="U25" s="33" t="inlineStr">
        <is>
          <t>你知不知道對方為什麼躲起來？他有跟你提過嗎？</t>
        </is>
      </c>
      <c r="V25" s="33" t="inlineStr">
        <is>
          <t>對方有沒有跟你提過證件或工作的事？他怎麼說的？</t>
        </is>
      </c>
      <c r="W25" s="33" t="inlineStr">
        <is>
          <t>你知不知道法院有規定對方不能這樣做？</t>
        </is>
      </c>
      <c r="X25" s="33" t="inlineStr">
        <is>
          <t>被害人當時的反應是怎樣的？有沒有哭、求救或想離開？</t>
        </is>
      </c>
      <c r="Y25" s="33" t="inlineStr">
        <is>
          <t>拍照的人幾歲？被拍的人幾歲？你怎麼知道的？</t>
        </is>
      </c>
      <c r="Z25" s="33" t="inlineStr">
        <is>
          <t>送錢跟收錢的人是什麼關係？你怎麼認識他們的？</t>
        </is>
      </c>
      <c r="AA25" s="33" t="inlineStr">
        <is>
          <t xml:space="preserve"> involved 的孩子幾歲？你認不認識他和他的家人？</t>
        </is>
      </c>
      <c r="AB25" s="33" t="inlineStr">
        <is>
          <t>一局輸贏大概多少？桌上通常有多少錢？</t>
        </is>
      </c>
      <c r="AC25" s="33" t="inlineStr">
        <is>
          <t>對方做了什麼？你看了多久？旁邊還有別人看到嗎？</t>
        </is>
      </c>
      <c r="AD25" s="33" t="inlineStr">
        <is>
          <t>對方有沒有開過槍或拿出來嚇人？當時還有誰在？</t>
        </is>
      </c>
      <c r="AE25" s="33" t="inlineStr">
        <is>
          <t>對方開車的樣子正常嗎？車速快不快？有沒有煞車？</t>
        </is>
      </c>
      <c r="AF25" s="33" t="inlineStr">
        <is>
          <t>你知不知道那些東西是誰的？放在那裡多久了？</t>
        </is>
      </c>
      <c r="AG25" s="33" t="inlineStr">
        <is>
          <t>對方做了什麼動作？有推打警察還是只有用說的？</t>
        </is>
      </c>
    </row>
    <row r="26">
      <c r="D26" s="33" t="inlineStr">
        <is>
          <t>被害人後來有沒有跟你提過被騙的事？他是怎麼說的？</t>
        </is>
      </c>
      <c r="E26" s="33" t="inlineStr">
        <is>
          <t>事情發生後，被害人有沒有跟你說過這件事？他希望你怎麼幫他？</t>
        </is>
      </c>
      <c r="F26" s="33" t="inlineStr">
        <is>
          <t>除了你看到的，還有沒有監視器或其他人可以證明？</t>
        </is>
      </c>
      <c r="G26" s="33" t="inlineStr">
        <is>
          <t>被害人受傷之後是誰叫救護車的？現場還有沒有其他人看到？</t>
        </is>
      </c>
      <c r="H26" s="33" t="inlineStr">
        <is>
          <t>你跟兩邊的人認不認識？他們之前有什麼糾紛？</t>
        </is>
      </c>
      <c r="I26" s="33" t="inlineStr">
        <is>
          <t>你跟兩邊的人認不認識？有無金錢往來？</t>
        </is>
      </c>
      <c r="J26" s="33" t="inlineStr">
        <is>
          <t>你跟兩邊的人認不認識？他們之前有糾紛嗎？</t>
        </is>
      </c>
      <c r="K26" s="33" t="inlineStr">
        <is>
          <t>你跟兩邊的人認不認識？有無其他人也看到？</t>
        </is>
      </c>
      <c r="L26" s="33" t="inlineStr">
        <is>
          <t>你跟兩邊的人認不認識？他們之前有什麼糾紛？</t>
        </is>
      </c>
      <c r="M26" s="33" t="inlineStr">
        <is>
          <t>這件事持續了多久？你後來有沒有報警？</t>
        </is>
      </c>
      <c r="N26" s="33" t="inlineStr">
        <is>
          <t>你跟兩邊的人認不認識？有無金錢往來？</t>
        </is>
      </c>
      <c r="O26" s="33" t="inlineStr">
        <is>
          <t>你跟對方認不認識？有無其他人也看過這些東西？</t>
        </is>
      </c>
      <c r="P26" s="33" t="inlineStr">
        <is>
          <t>現場有沒有人受傷？後來是怎麼散開的？</t>
        </is>
      </c>
      <c r="Q26" s="33" t="inlineStr">
        <is>
          <t>你跟兩邊的人認不認識？他們之前是什麼關係？</t>
        </is>
      </c>
      <c r="R26" s="33" t="inlineStr">
        <is>
          <t>你跟兩邊的人認不認識？他們之前有什麼糾紛？</t>
        </is>
      </c>
      <c r="S26" s="33" t="inlineStr">
        <is>
          <t>被害人事後有沒有跟主管或老師說？你知道後續怎麼處理的嗎？</t>
        </is>
      </c>
      <c r="T26" s="33" t="inlineStr">
        <is>
          <t>撞到之後，對方有停下來嗎？還是直接開走了？</t>
        </is>
      </c>
      <c r="U26" s="33" t="inlineStr">
        <is>
          <t>對方有沒有跟你聯絡？用什麼方式？</t>
        </is>
      </c>
      <c r="V26" s="33" t="inlineStr">
        <is>
          <t>對方現在住哪裡？平常都在哪裡出沒？</t>
        </is>
      </c>
      <c r="W26" s="33" t="inlineStr">
        <is>
          <t>被害人當時有什麼反應？有報警嗎？</t>
        </is>
      </c>
      <c r="X26" s="33" t="inlineStr">
        <is>
          <t>事情發生後，被害人有沒有跟你說過？你跟兩邊認不認識？</t>
        </is>
      </c>
      <c r="Y26" s="33" t="inlineStr">
        <is>
          <t>你跟兩邊的人認不認識？這件事還有誰知道？</t>
        </is>
      </c>
      <c r="Z26" s="33" t="inlineStr">
        <is>
          <t>除了你看到的，還有沒有其他人看到或有紀錄可以證明？</t>
        </is>
      </c>
      <c r="AA26" s="33" t="inlineStr">
        <is>
          <t>孩子的爸爸媽媽知不知道這件事？警察問話時他們有在場嗎？</t>
        </is>
      </c>
      <c r="AB26" s="33" t="inlineStr">
        <is>
          <t>來玩的都是些什麼人？多久聚一次？有沒有人抽錢？</t>
        </is>
      </c>
      <c r="AC26" s="33" t="inlineStr">
        <is>
          <t>有人報警嗎？你跟對方認不認識？</t>
        </is>
      </c>
      <c r="AD26" s="33" t="inlineStr">
        <is>
          <t>除了槍，你還有沒有看過子彈或零件？你跟對方怎麼認識的？</t>
        </is>
      </c>
      <c r="AE26" s="33" t="inlineStr">
        <is>
          <t>撞到之後雙方做了什麼？有報警或叫救護車嗎？</t>
        </is>
      </c>
      <c r="AF26" s="33" t="inlineStr">
        <is>
          <t>旁邊有沒有磅秤、分裝袋之類的東西？你有看過誰在使用嗎？</t>
        </is>
      </c>
      <c r="AG26" s="33" t="inlineStr">
        <is>
          <t>警察當時穿著制服或表明身分嗎？你看得到嗎？</t>
        </is>
      </c>
    </row>
  </sheetData>
  <pageMargins left="0.7" right="0.7" top="0.75" bottom="0.75" header="0.3" footer="0.3"/>
</worksheet>
</file>

<file path=xl/worksheets/sheet50.xml><?xml version="1.0" encoding="utf-8"?>
<worksheet xmlns="http://schemas.openxmlformats.org/spreadsheetml/2006/main">
  <sheetPr codeName="工作表28">
    <outlinePr summaryBelow="1" summaryRight="1"/>
    <pageSetUpPr/>
  </sheetPr>
  <dimension ref="A1:T2"/>
  <sheetViews>
    <sheetView workbookViewId="0">
      <selection activeCell="H2" sqref="H2"/>
    </sheetView>
  </sheetViews>
  <sheetFormatPr baseColWidth="8" defaultRowHeight="16.5"/>
  <cols>
    <col width="6.25" customWidth="1" style="592" min="1" max="1"/>
    <col width="6.625" customWidth="1" style="592" min="2" max="2"/>
    <col width="9" customWidth="1" style="592" min="3" max="3"/>
    <col width="8.75" customWidth="1" style="592" min="4" max="4"/>
    <col width="8" customWidth="1" style="592" min="5" max="5"/>
    <col width="14.25" customWidth="1" style="592" min="6" max="6"/>
    <col width="10.875" customWidth="1" style="592" min="7" max="8"/>
    <col width="13.125" customWidth="1" style="592" min="9" max="9"/>
    <col width="7.5" customWidth="1" style="592" min="10" max="10"/>
    <col width="8.625" customWidth="1" style="592" min="11" max="11"/>
    <col width="4.875" customWidth="1" style="592" min="12" max="12"/>
    <col width="10.875" customWidth="1" style="592" min="13" max="13"/>
    <col width="9" customWidth="1" style="592" min="14" max="15"/>
    <col width="8.875" customWidth="1" style="592" min="16" max="16"/>
    <col width="8.5" customWidth="1" style="592" min="17" max="17"/>
    <col width="11.75" customWidth="1" style="592" min="18" max="18"/>
    <col width="9" customWidth="1" style="592" min="19" max="19"/>
    <col width="18" customWidth="1" style="592" min="20" max="20"/>
    <col width="8.375" customWidth="1" style="592" min="21" max="21"/>
    <col width="9" customWidth="1" style="592" min="22" max="22"/>
    <col width="9" customWidth="1" style="592" min="23" max="16384"/>
  </cols>
  <sheetData>
    <row r="1" ht="18" customHeight="1" s="680">
      <c r="A1" s="44" t="inlineStr">
        <is>
          <t>年</t>
        </is>
      </c>
      <c r="B1" s="44" t="inlineStr">
        <is>
          <t>月</t>
        </is>
      </c>
      <c r="C1" s="44" t="inlineStr">
        <is>
          <t>警局</t>
        </is>
      </c>
      <c r="D1" s="44" t="inlineStr">
        <is>
          <t>分局</t>
        </is>
      </c>
      <c r="E1" s="44" t="inlineStr">
        <is>
          <t>派出所</t>
        </is>
      </c>
      <c r="F1" s="44" t="inlineStr">
        <is>
          <t>案由</t>
        </is>
      </c>
      <c r="G1" s="45" t="inlineStr">
        <is>
          <t>發生時間</t>
        </is>
      </c>
      <c r="H1" s="579" t="inlineStr">
        <is>
          <t>發生地點</t>
        </is>
      </c>
      <c r="I1" s="579" t="inlineStr">
        <is>
          <t>取照地點</t>
        </is>
      </c>
      <c r="J1" s="579">
        <f>輸入!S24</f>
        <v/>
      </c>
      <c r="K1" s="592" t="inlineStr">
        <is>
          <t>機關全名</t>
        </is>
      </c>
      <c r="L1" s="592" t="inlineStr">
        <is>
          <t>單位</t>
        </is>
      </c>
      <c r="M1" s="592" t="inlineStr">
        <is>
          <t>機關地址</t>
        </is>
      </c>
      <c r="N1" s="592" t="inlineStr">
        <is>
          <t>聯絡人</t>
        </is>
      </c>
      <c r="O1" s="592" t="inlineStr">
        <is>
          <t>聯絡電話</t>
        </is>
      </c>
      <c r="P1" s="592" t="inlineStr">
        <is>
          <t>發文日期</t>
        </is>
      </c>
      <c r="Q1" s="592" t="inlineStr">
        <is>
          <t>發文字號</t>
        </is>
      </c>
      <c r="R1" s="913" t="inlineStr">
        <is>
          <t>報案時間</t>
        </is>
      </c>
      <c r="S1" s="592" t="inlineStr">
        <is>
          <t>犯案地點</t>
        </is>
      </c>
      <c r="T1" s="592" t="inlineStr">
        <is>
          <t>發生時間</t>
        </is>
      </c>
    </row>
    <row r="2">
      <c r="A2" s="575">
        <f>LEFT(輸入!$C$10,3)</f>
        <v/>
      </c>
      <c r="B2" s="575">
        <f>MID(輸入!$C$10,4,2)</f>
        <v/>
      </c>
      <c r="C2" s="575">
        <f>輸入!$S$18</f>
        <v/>
      </c>
      <c r="D2" s="575">
        <f>CONCATENATE(輸入!$S$19,輸入!$T$19)</f>
        <v/>
      </c>
      <c r="E2" s="575">
        <f>輸入!$S$20</f>
        <v/>
      </c>
      <c r="F2" s="575">
        <f>CONCATENATE(,word用!$H$2,"遭",呈報單!$G$15,"案")</f>
        <v/>
      </c>
      <c r="G2" s="42">
        <f>下拉用!$J$6</f>
        <v/>
      </c>
      <c r="H2" s="42">
        <f>輸入!$C$7</f>
        <v/>
      </c>
      <c r="I2" s="42">
        <f>輸入!$S$23</f>
        <v/>
      </c>
      <c r="J2" s="42">
        <f>輸入!$U$24</f>
        <v/>
      </c>
      <c r="K2" s="776">
        <f>CONCATENATE(輸入!$S$18,輸入!$T$18,輸入!$S$19,輸入!$T$19)</f>
        <v/>
      </c>
      <c r="L2" s="776">
        <f>CONCATENATE(,輸入!$S$20,輸入!$T$20)</f>
        <v/>
      </c>
      <c r="M2" s="592">
        <f>輸入!$S$23</f>
        <v/>
      </c>
      <c r="N2" s="592">
        <f>輸入!$O$8</f>
        <v/>
      </c>
      <c r="O2" s="592">
        <f>輸入!$T$21</f>
        <v/>
      </c>
      <c r="P2" s="592">
        <f>CONCATENATE("中華民國",LEFT(下拉用!$J$9,10))</f>
        <v/>
      </c>
      <c r="Q2" s="592">
        <f>CONCATENATE(輸入!$S$19,LEFT(輸入!$S$20,1),"字第",輸入!$C$10,"號")</f>
        <v/>
      </c>
      <c r="R2" s="592">
        <f>LEFT(下拉用!$J$9,10)</f>
        <v/>
      </c>
      <c r="S2" s="592">
        <f>輸入!$C$7</f>
        <v/>
      </c>
      <c r="T2" s="592">
        <f>LEFT(下拉用!$J$6,13)</f>
        <v/>
      </c>
    </row>
  </sheetData>
  <pageMargins left="0.7" right="0.7" top="0.75" bottom="0.75" header="0.3" footer="0.3"/>
  <pageSetup orientation="portrait" paperSize="9"/>
</worksheet>
</file>

<file path=xl/worksheets/sheet51.xml><?xml version="1.0" encoding="utf-8"?>
<worksheet xmlns="http://schemas.openxmlformats.org/spreadsheetml/2006/main">
  <sheetPr codeName="工作表15">
    <tabColor rgb="FF92D050"/>
    <outlinePr summaryBelow="1" summaryRight="1"/>
    <pageSetUpPr/>
  </sheetPr>
  <dimension ref="A1:V14"/>
  <sheetViews>
    <sheetView view="pageLayout" topLeftCell="A2" zoomScale="85" zoomScaleNormal="100" zoomScalePageLayoutView="85" workbookViewId="0">
      <selection activeCell="Q8" sqref="Q8:V8"/>
    </sheetView>
  </sheetViews>
  <sheetFormatPr baseColWidth="8" defaultColWidth="9" defaultRowHeight="16.5"/>
  <cols>
    <col width="6" customWidth="1" style="680" min="1" max="1"/>
    <col width="4.875" customWidth="1" style="680" min="2" max="3"/>
    <col width="7.875" customWidth="1" style="680" min="4" max="4"/>
    <col width="10.25" customWidth="1" style="680" min="5" max="5"/>
    <col width="10.875" customWidth="1" style="680" min="6" max="6"/>
    <col width="5.5" customWidth="1" style="680" min="7" max="7"/>
    <col width="20.125" customWidth="1" style="680" min="8" max="8"/>
    <col width="4" customWidth="1" style="680" min="9" max="9"/>
    <col width="7.5" customWidth="1" style="680" min="10" max="11"/>
    <col width="6" customWidth="1" style="680" min="12" max="12"/>
    <col width="4.875" customWidth="1" style="680" min="13" max="14"/>
    <col width="8.375" customWidth="1" style="680" min="15" max="15"/>
    <col width="10.25" customWidth="1" style="680" min="16" max="16"/>
    <col width="10.5" customWidth="1" style="680" min="17" max="17"/>
    <col width="5.5" customWidth="1" style="680" min="18" max="18"/>
    <col width="18.125" customWidth="1" style="680" min="19" max="19"/>
    <col width="3" customWidth="1" style="680" min="20" max="20"/>
    <col width="8.375" customWidth="1" style="680" min="21" max="21"/>
    <col width="8.75" customWidth="1" style="680" min="22" max="22"/>
  </cols>
  <sheetData>
    <row r="1" ht="45.75" customHeight="1" s="680" thickBot="1">
      <c r="A1" s="982">
        <f>CONCATENATE(,輸入!$S$19,輸入!$T$19,輸入!$S$20,輸入!$T$20,"酒測密錄器照片")</f>
        <v/>
      </c>
      <c r="L1" s="982">
        <f>CONCATENATE(,輸入!$S$19,輸入!$T$19,輸入!$S$20,輸入!$T$20,"酒測密錄器照片")</f>
        <v/>
      </c>
    </row>
    <row r="2" ht="19.7" customHeight="1" s="680" thickBot="1" thickTop="1">
      <c r="A2" s="1266" t="inlineStr">
        <is>
          <t>案
號</t>
        </is>
      </c>
      <c r="B2" s="1298" t="inlineStr">
        <is>
          <t>年</t>
        </is>
      </c>
      <c r="C2" s="1298" t="inlineStr">
        <is>
          <t>月</t>
        </is>
      </c>
      <c r="D2" s="1298" t="inlineStr">
        <is>
          <t>警局</t>
        </is>
      </c>
      <c r="E2" s="1298" t="inlineStr">
        <is>
          <t>分局</t>
        </is>
      </c>
      <c r="F2" s="544" t="inlineStr">
        <is>
          <t>案次編號</t>
        </is>
      </c>
      <c r="G2" s="136" t="n"/>
      <c r="J2" s="135" t="n"/>
      <c r="K2" s="135" t="n"/>
      <c r="L2" s="1266" t="inlineStr">
        <is>
          <t>案
號</t>
        </is>
      </c>
      <c r="M2" s="1298" t="inlineStr">
        <is>
          <t>年</t>
        </is>
      </c>
      <c r="N2" s="1298" t="inlineStr">
        <is>
          <t>月</t>
        </is>
      </c>
      <c r="O2" s="1298" t="inlineStr">
        <is>
          <t>警局</t>
        </is>
      </c>
      <c r="P2" s="1298" t="inlineStr">
        <is>
          <t>分局</t>
        </is>
      </c>
      <c r="Q2" s="544" t="inlineStr">
        <is>
          <t>案次編號</t>
        </is>
      </c>
      <c r="R2" s="136" t="n"/>
      <c r="U2" s="135" t="n"/>
      <c r="V2" s="135" t="n"/>
    </row>
    <row r="3" ht="19.7" customHeight="1" s="680" thickTop="1">
      <c r="A3" s="1258" t="n"/>
      <c r="B3" s="44">
        <f>LEFT(輸入!$H$5,3)</f>
        <v/>
      </c>
      <c r="C3" s="44">
        <f>MID(輸入!$H$5,4,2)</f>
        <v/>
      </c>
      <c r="D3" s="44">
        <f>輸入!$S$18</f>
        <v/>
      </c>
      <c r="E3" s="134">
        <f>CONCATENATE(,輸入!$S$19,輸入!$T$19)</f>
        <v/>
      </c>
      <c r="F3" s="938" t="n"/>
      <c r="G3" s="133" t="inlineStr">
        <is>
          <t>案由</t>
        </is>
      </c>
      <c r="H3" s="1260">
        <f>CONCATENATE(,word用!$H$2,呈報單!$G$15,"案")</f>
        <v/>
      </c>
      <c r="I3" s="1261" t="n"/>
      <c r="J3" s="1261" t="n"/>
      <c r="K3" s="1146" t="n"/>
      <c r="L3" s="1258" t="n"/>
      <c r="M3" s="44">
        <f>LEFT(輸入!$H$5,3)</f>
        <v/>
      </c>
      <c r="N3" s="44">
        <f>MID(輸入!$H$5,4,2)</f>
        <v/>
      </c>
      <c r="O3" s="44">
        <f>輸入!$S$18</f>
        <v/>
      </c>
      <c r="P3" s="134">
        <f>CONCATENATE(,輸入!$S$19,輸入!$T$19)</f>
        <v/>
      </c>
      <c r="Q3" s="938" t="n"/>
      <c r="R3" s="133" t="inlineStr">
        <is>
          <t>案由</t>
        </is>
      </c>
      <c r="S3" s="1260">
        <f>CONCATENATE(,word用!$H$2,呈報單!$G$15,"案")</f>
        <v/>
      </c>
      <c r="T3" s="1261" t="n"/>
      <c r="U3" s="1261" t="n"/>
      <c r="V3" s="1146" t="n"/>
    </row>
    <row r="4" hidden="1" ht="19.7" customHeight="1" s="680">
      <c r="A4" s="132" t="n"/>
      <c r="B4" s="130" t="n"/>
      <c r="C4" s="131" t="n"/>
      <c r="D4" s="130" t="n"/>
      <c r="E4" s="129" t="n"/>
      <c r="F4" s="128" t="n"/>
      <c r="G4" s="127" t="n"/>
      <c r="H4" s="95" t="n"/>
      <c r="I4" s="95" t="n"/>
      <c r="J4" s="95" t="n"/>
      <c r="K4" s="126" t="n"/>
      <c r="L4" s="132" t="n"/>
      <c r="M4" s="131" t="n"/>
      <c r="N4" s="131" t="n"/>
      <c r="O4" s="130" t="n"/>
      <c r="P4" s="129" t="n"/>
      <c r="Q4" s="128" t="n"/>
      <c r="R4" s="127" t="n"/>
      <c r="S4" s="95" t="n"/>
      <c r="T4" s="95" t="n"/>
      <c r="U4" s="95" t="n"/>
      <c r="V4" s="126" t="n"/>
    </row>
    <row r="5" ht="19.7" customHeight="1" s="680">
      <c r="A5" s="1264" t="inlineStr">
        <is>
          <t>編號01</t>
        </is>
      </c>
      <c r="B5" s="1265" t="n"/>
      <c r="C5" s="125" t="n"/>
      <c r="D5" s="125" t="n"/>
      <c r="E5" s="125" t="n"/>
      <c r="F5" s="125" t="n"/>
      <c r="G5" s="125" t="n"/>
      <c r="H5" s="125" t="n"/>
      <c r="I5" s="125" t="n"/>
      <c r="J5" s="125" t="n"/>
      <c r="K5" s="124" t="n"/>
      <c r="L5" s="1264" t="inlineStr">
        <is>
          <t>編號03</t>
        </is>
      </c>
      <c r="M5" s="1265" t="n"/>
      <c r="N5" s="125" t="n"/>
      <c r="O5" s="125" t="n"/>
      <c r="P5" s="125" t="n"/>
      <c r="Q5" s="125" t="n"/>
      <c r="R5" s="125" t="n"/>
      <c r="S5" s="125" t="n"/>
      <c r="T5" s="125" t="n"/>
      <c r="U5" s="125" t="n"/>
      <c r="V5" s="124" t="n"/>
    </row>
    <row r="6" ht="269.25" customHeight="1" s="680" thickBot="1">
      <c r="A6" s="1256" t="n"/>
      <c r="B6" s="670" t="n"/>
      <c r="C6" s="670" t="n"/>
      <c r="D6" s="670" t="n"/>
      <c r="E6" s="670" t="n"/>
      <c r="F6" s="670" t="n"/>
      <c r="G6" s="670" t="n"/>
      <c r="H6" s="670" t="n"/>
      <c r="I6" s="670" t="n"/>
      <c r="J6" s="670" t="n"/>
      <c r="K6" s="671" t="n"/>
      <c r="L6" s="1256" t="n"/>
      <c r="M6" s="670" t="n"/>
      <c r="N6" s="670" t="n"/>
      <c r="O6" s="670" t="n"/>
      <c r="P6" s="670" t="n"/>
      <c r="Q6" s="670" t="n"/>
      <c r="R6" s="670" t="n"/>
      <c r="S6" s="670" t="n"/>
      <c r="T6" s="670" t="n"/>
      <c r="U6" s="670" t="n"/>
      <c r="V6" s="671" t="n"/>
    </row>
    <row r="7" ht="19.7" customHeight="1" s="680">
      <c r="A7" s="1257" t="inlineStr">
        <is>
          <t>發生時間</t>
        </is>
      </c>
      <c r="B7" s="816">
        <f>CONCATENATE(LEFT(輸入!$H$5,3),"年",MID(輸入!$H$5,4,2),"月",MID(輸入!$H$5,6,2),"日   ",MID(輸入!$H$5,8,2),"時",RIGHT(輸入!$H$5,2),"分")</f>
        <v/>
      </c>
      <c r="C7" s="721" t="n"/>
      <c r="D7" s="817" t="n"/>
      <c r="E7" s="816" t="inlineStr">
        <is>
          <t>發生地點</t>
        </is>
      </c>
      <c r="F7" s="1263">
        <f>輸入!$C$7</f>
        <v/>
      </c>
      <c r="G7" s="1183" t="n"/>
      <c r="H7" s="1183" t="n"/>
      <c r="I7" s="1184" t="n"/>
      <c r="J7" s="816">
        <f>輸入!$S$24</f>
        <v/>
      </c>
      <c r="K7" s="120">
        <f>輸入!$U$24</f>
        <v/>
      </c>
      <c r="L7" s="1257" t="inlineStr">
        <is>
          <t>發生時間</t>
        </is>
      </c>
      <c r="M7" s="816">
        <f>CONCATENATE(LEFT(輸入!$H$5,3),"年",MID(輸入!$H$5,4,2),"月",MID(輸入!$H$5,6,2),"日   ",MID(輸入!$H$5,8,2),"時",RIGHT(輸入!$H$5,2),"分")</f>
        <v/>
      </c>
      <c r="N7" s="721" t="n"/>
      <c r="O7" s="817" t="n"/>
      <c r="P7" s="816" t="inlineStr">
        <is>
          <t>發生地點</t>
        </is>
      </c>
      <c r="Q7" s="1263">
        <f>輸入!$C$7</f>
        <v/>
      </c>
      <c r="R7" s="1183" t="n"/>
      <c r="S7" s="1183" t="n"/>
      <c r="T7" s="1184" t="n"/>
      <c r="U7" s="816">
        <f>輸入!$S$24</f>
        <v/>
      </c>
      <c r="V7" s="120">
        <f>輸入!$U$24</f>
        <v/>
      </c>
    </row>
    <row r="8" ht="19.7" customHeight="1" s="680">
      <c r="A8" s="1258" t="n"/>
      <c r="B8" s="582" t="n"/>
      <c r="C8" s="583" t="n"/>
      <c r="D8" s="584" t="n"/>
      <c r="E8" s="1148" t="inlineStr">
        <is>
          <t>取照地點</t>
        </is>
      </c>
      <c r="F8" s="1259">
        <f>輸入!$S$23</f>
        <v/>
      </c>
      <c r="G8" s="580" t="n"/>
      <c r="H8" s="580" t="n"/>
      <c r="I8" s="580" t="n"/>
      <c r="J8" s="580" t="n"/>
      <c r="K8" s="581" t="n"/>
      <c r="L8" s="1258" t="n"/>
      <c r="M8" s="582" t="n"/>
      <c r="N8" s="583" t="n"/>
      <c r="O8" s="584" t="n"/>
      <c r="P8" s="1148" t="inlineStr">
        <is>
          <t>取照地點</t>
        </is>
      </c>
      <c r="Q8" s="1259">
        <f>輸入!$S$23</f>
        <v/>
      </c>
      <c r="R8" s="580" t="n"/>
      <c r="S8" s="580" t="n"/>
      <c r="T8" s="580" t="n"/>
      <c r="U8" s="580" t="n"/>
      <c r="V8" s="581" t="n"/>
    </row>
    <row r="9" ht="19.7" customHeight="1" s="680">
      <c r="A9" s="1267" t="inlineStr">
        <is>
          <t>說明：警方對嫌疑人告知酒測器之合格證書。</t>
        </is>
      </c>
      <c r="B9" s="577" t="n"/>
      <c r="C9" s="577" t="n"/>
      <c r="D9" s="577" t="n"/>
      <c r="E9" s="577" t="n"/>
      <c r="F9" s="577" t="n"/>
      <c r="G9" s="577" t="n"/>
      <c r="H9" s="577" t="n"/>
      <c r="I9" s="577" t="n"/>
      <c r="J9" s="577" t="n"/>
      <c r="K9" s="1268" t="n"/>
      <c r="L9" s="1267" t="inlineStr">
        <is>
          <t>說明：酒測器施測前，與嫌疑人共同確認酒測值為 0.00 mg/L。</t>
        </is>
      </c>
      <c r="M9" s="577" t="n"/>
      <c r="N9" s="577" t="n"/>
      <c r="O9" s="577" t="n"/>
      <c r="P9" s="577" t="n"/>
      <c r="Q9" s="577" t="n"/>
      <c r="R9" s="577" t="n"/>
      <c r="S9" s="577" t="n"/>
      <c r="T9" s="577" t="n"/>
      <c r="U9" s="577" t="n"/>
      <c r="V9" s="1268" t="n"/>
    </row>
    <row r="10" ht="19.7" customHeight="1" s="680">
      <c r="A10" s="1269" t="inlineStr">
        <is>
          <t>編號02</t>
        </is>
      </c>
      <c r="C10" s="123" t="n"/>
      <c r="D10" s="123" t="n"/>
      <c r="E10" s="123" t="n"/>
      <c r="F10" s="123" t="n"/>
      <c r="G10" s="123" t="n"/>
      <c r="H10" s="123" t="n"/>
      <c r="I10" s="123" t="n"/>
      <c r="J10" s="123" t="n"/>
      <c r="K10" s="122" t="n"/>
      <c r="L10" s="1269" t="inlineStr">
        <is>
          <t>編號04</t>
        </is>
      </c>
      <c r="N10" s="123" t="n"/>
      <c r="O10" s="123" t="n"/>
      <c r="P10" s="123" t="n"/>
      <c r="Q10" s="123" t="n"/>
      <c r="R10" s="123" t="n"/>
      <c r="S10" s="123" t="n"/>
      <c r="T10" s="123" t="n"/>
      <c r="U10" s="123" t="n"/>
      <c r="V10" s="122" t="n"/>
    </row>
    <row r="11" ht="269.25" customHeight="1" s="680" thickBot="1">
      <c r="A11" s="1262" t="n"/>
      <c r="B11" s="670" t="n"/>
      <c r="C11" s="670" t="n"/>
      <c r="D11" s="670" t="n"/>
      <c r="E11" s="670" t="n"/>
      <c r="F11" s="670" t="n"/>
      <c r="G11" s="670" t="n"/>
      <c r="H11" s="670" t="n"/>
      <c r="I11" s="670" t="n"/>
      <c r="J11" s="670" t="n"/>
      <c r="K11" s="671" t="n"/>
      <c r="L11" s="1262" t="n"/>
      <c r="M11" s="670" t="n"/>
      <c r="N11" s="670" t="n"/>
      <c r="O11" s="670" t="n"/>
      <c r="P11" s="670" t="n"/>
      <c r="Q11" s="670" t="n"/>
      <c r="R11" s="670" t="n"/>
      <c r="S11" s="670" t="n"/>
      <c r="T11" s="670" t="n"/>
      <c r="U11" s="670" t="n"/>
      <c r="V11" s="671" t="n"/>
    </row>
    <row r="12" ht="19.7" customHeight="1" s="680">
      <c r="A12" s="1257" t="inlineStr">
        <is>
          <t>發生時間</t>
        </is>
      </c>
      <c r="B12" s="816">
        <f>CONCATENATE(LEFT(輸入!$H$5,3),"年",MID(輸入!$H$5,4,2),"月",MID(輸入!$H$5,6,2),"日   ",MID(輸入!$H$5,8,2),"時",RIGHT(輸入!$H$5,2),"分")</f>
        <v/>
      </c>
      <c r="C12" s="721" t="n"/>
      <c r="D12" s="817" t="n"/>
      <c r="E12" s="816" t="inlineStr">
        <is>
          <t>發生地點</t>
        </is>
      </c>
      <c r="F12" s="1263">
        <f>輸入!$C$7</f>
        <v/>
      </c>
      <c r="G12" s="1183" t="n"/>
      <c r="H12" s="1183" t="n"/>
      <c r="I12" s="1184" t="n"/>
      <c r="J12" s="816">
        <f>輸入!$S$24</f>
        <v/>
      </c>
      <c r="K12" s="120">
        <f>輸入!$U$24</f>
        <v/>
      </c>
      <c r="L12" s="1257" t="inlineStr">
        <is>
          <t>發生時間</t>
        </is>
      </c>
      <c r="M12" s="816">
        <f>CONCATENATE(LEFT(輸入!$H$5,3),"年",MID(輸入!$H$5,4,2),"月",MID(輸入!$H$5,6,2),"日   ",MID(輸入!$H$5,8,2),"時",RIGHT(輸入!$H$5,2),"分")</f>
        <v/>
      </c>
      <c r="N12" s="721" t="n"/>
      <c r="O12" s="817" t="n"/>
      <c r="P12" s="816" t="inlineStr">
        <is>
          <t>發生地點</t>
        </is>
      </c>
      <c r="Q12" s="1263">
        <f>輸入!$C$7</f>
        <v/>
      </c>
      <c r="R12" s="1183" t="n"/>
      <c r="S12" s="1183" t="n"/>
      <c r="T12" s="1184" t="n"/>
      <c r="U12" s="816">
        <f>輸入!$S$24</f>
        <v/>
      </c>
      <c r="V12" s="120">
        <f>輸入!$U$24</f>
        <v/>
      </c>
    </row>
    <row r="13" ht="19.7" customHeight="1" s="680">
      <c r="A13" s="1258" t="n"/>
      <c r="B13" s="582" t="n"/>
      <c r="C13" s="583" t="n"/>
      <c r="D13" s="584" t="n"/>
      <c r="E13" s="1148" t="inlineStr">
        <is>
          <t>取照地點</t>
        </is>
      </c>
      <c r="F13" s="1259">
        <f>輸入!$S$23</f>
        <v/>
      </c>
      <c r="G13" s="580" t="n"/>
      <c r="H13" s="580" t="n"/>
      <c r="I13" s="580" t="n"/>
      <c r="J13" s="580" t="n"/>
      <c r="K13" s="581" t="n"/>
      <c r="L13" s="1258" t="n"/>
      <c r="M13" s="582" t="n"/>
      <c r="N13" s="583" t="n"/>
      <c r="O13" s="584" t="n"/>
      <c r="P13" s="1148" t="inlineStr">
        <is>
          <t>取照地點</t>
        </is>
      </c>
      <c r="Q13" s="1259">
        <f>輸入!$S$23</f>
        <v/>
      </c>
      <c r="R13" s="580" t="n"/>
      <c r="S13" s="580" t="n"/>
      <c r="T13" s="580" t="n"/>
      <c r="U13" s="580" t="n"/>
      <c r="V13" s="581" t="n"/>
    </row>
    <row r="14" ht="19.5" customHeight="1" s="680">
      <c r="A14" s="1267" t="inlineStr">
        <is>
          <t>說明：警方對嫌疑人告知其拒測及宣讀權利。</t>
        </is>
      </c>
      <c r="B14" s="577" t="n"/>
      <c r="C14" s="577" t="n"/>
      <c r="D14" s="577" t="n"/>
      <c r="E14" s="577" t="n"/>
      <c r="F14" s="577" t="n"/>
      <c r="G14" s="577" t="n"/>
      <c r="H14" s="577" t="n"/>
      <c r="I14" s="577" t="n"/>
      <c r="J14" s="577" t="n"/>
      <c r="K14" s="1268" t="n"/>
      <c r="L14" s="1267">
        <f>CONCATENATE("說明：經施測後，為酒測值 ",輸入!$H$6," mg/L。")</f>
        <v/>
      </c>
      <c r="M14" s="577" t="n"/>
      <c r="N14" s="577" t="n"/>
      <c r="O14" s="577" t="n"/>
      <c r="P14" s="577" t="n"/>
      <c r="Q14" s="577" t="n"/>
      <c r="R14" s="577" t="n"/>
      <c r="S14" s="577" t="n"/>
      <c r="T14" s="577" t="n"/>
      <c r="U14" s="577" t="n"/>
      <c r="V14" s="1268" t="n"/>
    </row>
    <row r="21" ht="16.5" customHeight="1" s="680"/>
  </sheetData>
  <mergeCells count="34">
    <mergeCell ref="H3:K3"/>
    <mergeCell ref="L12:L13"/>
    <mergeCell ref="A7:A8"/>
    <mergeCell ref="A11:K11"/>
    <mergeCell ref="F8:K8"/>
    <mergeCell ref="A1:K1"/>
    <mergeCell ref="B7:D8"/>
    <mergeCell ref="A6:K6"/>
    <mergeCell ref="A12:A13"/>
    <mergeCell ref="F13:K13"/>
    <mergeCell ref="Q7:T7"/>
    <mergeCell ref="B12:D13"/>
    <mergeCell ref="L5:M5"/>
    <mergeCell ref="A2:A3"/>
    <mergeCell ref="Q12:T12"/>
    <mergeCell ref="L14:V14"/>
    <mergeCell ref="L11:V11"/>
    <mergeCell ref="M7:O8"/>
    <mergeCell ref="S3:V3"/>
    <mergeCell ref="F7:I7"/>
    <mergeCell ref="L10:M10"/>
    <mergeCell ref="A5:B5"/>
    <mergeCell ref="F12:I12"/>
    <mergeCell ref="L1:V1"/>
    <mergeCell ref="Q13:V13"/>
    <mergeCell ref="A14:K14"/>
    <mergeCell ref="M12:O13"/>
    <mergeCell ref="L2:L3"/>
    <mergeCell ref="L9:V9"/>
    <mergeCell ref="L6:V6"/>
    <mergeCell ref="A10:B10"/>
    <mergeCell ref="L7:L8"/>
    <mergeCell ref="Q8:V8"/>
    <mergeCell ref="A9:K9"/>
  </mergeCells>
  <printOptions horizontalCentered="1"/>
  <pageMargins left="0.7874015748031497" right="0.3937007874015748" top="0.5905511811023623" bottom="0.7086614173228347" header="0" footer="0.3937007874015748"/>
  <pageSetup orientation="portrait" paperSize="9"/>
</worksheet>
</file>

<file path=xl/worksheets/sheet52.xml><?xml version="1.0" encoding="utf-8"?>
<worksheet xmlns="http://schemas.openxmlformats.org/spreadsheetml/2006/main">
  <sheetPr codeName="工作表6">
    <tabColor rgb="FFFF0000"/>
    <outlinePr summaryBelow="1" summaryRight="1"/>
    <pageSetUpPr/>
  </sheetPr>
  <dimension ref="A2:AC19"/>
  <sheetViews>
    <sheetView showGridLines="0" showZeros="0" view="pageBreakPreview" zoomScale="85" zoomScaleNormal="100" zoomScaleSheetLayoutView="85" workbookViewId="0">
      <selection activeCell="I5" sqref="I5:O6"/>
    </sheetView>
  </sheetViews>
  <sheetFormatPr baseColWidth="8" defaultRowHeight="16.5"/>
  <cols>
    <col width="3.125" customWidth="1" style="680" min="1" max="1"/>
    <col width="1.5" customWidth="1" style="680" min="2" max="4"/>
    <col width="3.125" customWidth="1" style="680" min="5" max="39"/>
  </cols>
  <sheetData>
    <row r="1" ht="8.25" customHeight="1" s="680"/>
    <row r="2" ht="19.5" customHeight="1" s="680">
      <c r="A2" s="1" t="n"/>
      <c r="S2" s="5" t="inlineStr">
        <is>
          <t>案件編號：</t>
        </is>
      </c>
      <c r="X2" s="1283">
        <f>IF($E$7=下拉用!$C$2,調閱用!$K$24,調閱用!$K$23)</f>
        <v/>
      </c>
    </row>
    <row r="3" ht="45.75" customHeight="1" s="680">
      <c r="A3" s="1" t="n"/>
      <c r="E3" s="1286">
        <f>CONCATENATE(,輸入!$S$18,輸入!$T$18,輸入!$S$19,輸入!$T$19)</f>
        <v/>
      </c>
    </row>
    <row r="4" ht="39" customHeight="1" s="680" thickBot="1">
      <c r="A4" s="1" t="n"/>
      <c r="G4" s="1287">
        <f>CONCATENATE(,輸入!$S$20,輸入!$T$20,"刑案偵查卷宗")</f>
        <v/>
      </c>
    </row>
    <row r="5" ht="28.5" customHeight="1" s="680" thickTop="1">
      <c r="A5" s="1" t="n"/>
      <c r="E5" s="1291" t="inlineStr">
        <is>
          <t>案類</t>
        </is>
      </c>
      <c r="F5" s="931" t="n"/>
      <c r="G5" s="931" t="n"/>
      <c r="H5" s="932" t="n"/>
      <c r="I5" s="1288">
        <f>呈報單!$G$15</f>
        <v/>
      </c>
      <c r="J5" s="931" t="n"/>
      <c r="K5" s="931" t="n"/>
      <c r="L5" s="931" t="n"/>
      <c r="M5" s="931" t="n"/>
      <c r="N5" s="931" t="n"/>
      <c r="O5" s="932" t="n"/>
      <c r="P5" s="1285" t="inlineStr">
        <is>
          <t>□110</t>
        </is>
      </c>
      <c r="Q5" s="1289" t="n"/>
      <c r="R5" s="1290" t="n"/>
      <c r="S5" s="1285" t="inlineStr">
        <is>
          <t>□破獲</t>
        </is>
      </c>
      <c r="T5" s="931" t="n"/>
      <c r="U5" s="932" t="n"/>
      <c r="V5" s="1285" t="inlineStr">
        <is>
          <t>□線上立破  □傳真</t>
        </is>
      </c>
      <c r="W5" s="1289" t="n"/>
      <c r="X5" s="1289" t="n"/>
      <c r="Y5" s="1289" t="n"/>
      <c r="Z5" s="1289" t="n"/>
      <c r="AA5" s="1289" t="n"/>
      <c r="AB5" s="1289" t="n"/>
      <c r="AC5" s="1290" t="n"/>
    </row>
    <row r="6" ht="28.5" customHeight="1" s="680">
      <c r="A6" s="1" t="n"/>
      <c r="E6" s="1272" t="n"/>
      <c r="F6" s="583" t="n"/>
      <c r="G6" s="583" t="n"/>
      <c r="H6" s="584" t="n"/>
      <c r="I6" s="582" t="n"/>
      <c r="J6" s="583" t="n"/>
      <c r="K6" s="583" t="n"/>
      <c r="L6" s="583" t="n"/>
      <c r="M6" s="583" t="n"/>
      <c r="N6" s="583" t="n"/>
      <c r="O6" s="584" t="n"/>
      <c r="P6" s="1270" t="inlineStr">
        <is>
          <t>□網路</t>
        </is>
      </c>
      <c r="Q6" s="577" t="n"/>
      <c r="R6" s="574" t="n"/>
      <c r="S6" s="582" t="n"/>
      <c r="T6" s="583" t="n"/>
      <c r="U6" s="584" t="n"/>
      <c r="V6" s="1270" t="inlineStr">
        <is>
          <t>□重大            □普通</t>
        </is>
      </c>
      <c r="W6" s="577" t="n"/>
      <c r="X6" s="577" t="n"/>
      <c r="Y6" s="577" t="n"/>
      <c r="Z6" s="577" t="n"/>
      <c r="AA6" s="577" t="n"/>
      <c r="AB6" s="577" t="n"/>
      <c r="AC6" s="574" t="n"/>
    </row>
    <row r="7" ht="28.5" customHeight="1" s="680">
      <c r="A7" s="1" t="n"/>
      <c r="E7" s="1275" t="inlineStr">
        <is>
          <t>涉嫌人</t>
        </is>
      </c>
      <c r="F7" s="580" t="n"/>
      <c r="G7" s="580" t="n"/>
      <c r="H7" s="581" t="n"/>
      <c r="I7" s="1012">
        <f>IF(E7=下拉用!C3,_xlfn.TEXTJOIN("、",TRUE,輸入!#REF!),_xlfn.TEXTJOIN("、",TRUE,輸入!#REF!))</f>
        <v/>
      </c>
      <c r="J7" s="580" t="n"/>
      <c r="K7" s="580" t="n"/>
      <c r="L7" s="580" t="n"/>
      <c r="M7" s="580" t="n"/>
      <c r="N7" s="580" t="n"/>
      <c r="O7" s="581" t="n"/>
      <c r="P7" s="1270" t="inlineStr">
        <is>
          <t>□2號</t>
        </is>
      </c>
      <c r="Q7" s="577" t="n"/>
      <c r="R7" s="574" t="n"/>
      <c r="S7" s="1270" t="inlineStr">
        <is>
          <t>□發生</t>
        </is>
      </c>
      <c r="T7" s="580" t="n"/>
      <c r="U7" s="581" t="n"/>
      <c r="V7" s="618" t="inlineStr">
        <is>
          <t>單一窗口</t>
        </is>
      </c>
      <c r="W7" s="580" t="n"/>
      <c r="X7" s="580" t="n"/>
      <c r="Y7" s="581" t="n"/>
      <c r="Z7" s="1270" t="inlineStr">
        <is>
          <t>□本轉它</t>
        </is>
      </c>
      <c r="AA7" s="577" t="n"/>
      <c r="AB7" s="577" t="n"/>
      <c r="AC7" s="574" t="n"/>
    </row>
    <row r="8" ht="28.5" customHeight="1" s="680">
      <c r="A8" s="1" t="n"/>
      <c r="E8" s="1272" t="n"/>
      <c r="F8" s="583" t="n"/>
      <c r="G8" s="583" t="n"/>
      <c r="H8" s="584" t="n"/>
      <c r="I8" s="582" t="n"/>
      <c r="J8" s="583" t="n"/>
      <c r="K8" s="583" t="n"/>
      <c r="L8" s="583" t="n"/>
      <c r="M8" s="583" t="n"/>
      <c r="N8" s="583" t="n"/>
      <c r="O8" s="584" t="n"/>
      <c r="P8" s="1270" t="inlineStr">
        <is>
          <t>□民眾</t>
        </is>
      </c>
      <c r="Q8" s="577" t="n"/>
      <c r="R8" s="574" t="n"/>
      <c r="S8" s="582" t="n"/>
      <c r="T8" s="583" t="n"/>
      <c r="U8" s="584" t="n"/>
      <c r="V8" s="582" t="n"/>
      <c r="W8" s="583" t="n"/>
      <c r="X8" s="583" t="n"/>
      <c r="Y8" s="584" t="n"/>
      <c r="Z8" s="1270" t="inlineStr">
        <is>
          <t>□它轉本</t>
        </is>
      </c>
      <c r="AA8" s="577" t="n"/>
      <c r="AB8" s="577" t="n"/>
      <c r="AC8" s="574" t="n"/>
    </row>
    <row r="9" ht="28.5" customHeight="1" s="680">
      <c r="A9" s="1" t="n"/>
      <c r="E9" s="1275" t="inlineStr">
        <is>
          <t>時間</t>
        </is>
      </c>
      <c r="F9" s="580" t="n"/>
      <c r="G9" s="580" t="n"/>
      <c r="H9" s="581" t="n"/>
      <c r="I9" s="1281">
        <f>IF(ISBLANK(輸入!$C$8),"",CONCATENATE("發生：",下拉用!$J$6))</f>
        <v/>
      </c>
      <c r="J9" s="577" t="n"/>
      <c r="K9" s="577" t="n"/>
      <c r="L9" s="577" t="n"/>
      <c r="M9" s="577" t="n"/>
      <c r="N9" s="577" t="n"/>
      <c r="O9" s="577" t="n"/>
      <c r="P9" s="577" t="n"/>
      <c r="Q9" s="577" t="n"/>
      <c r="R9" s="577" t="n"/>
      <c r="S9" s="577" t="n"/>
      <c r="T9" s="577" t="n"/>
      <c r="U9" s="577" t="n"/>
      <c r="V9" s="577" t="n"/>
      <c r="W9" s="577" t="n"/>
      <c r="X9" s="577" t="n"/>
      <c r="Y9" s="577" t="n"/>
      <c r="Z9" s="577" t="n"/>
      <c r="AA9" s="577" t="n"/>
      <c r="AB9" s="577" t="n"/>
      <c r="AC9" s="1282" t="n"/>
    </row>
    <row r="10" ht="28.5" customHeight="1" s="680">
      <c r="A10" s="1" t="n"/>
      <c r="E10" s="1276" t="n"/>
      <c r="H10" s="611" t="n"/>
      <c r="I10" s="1281">
        <f>IF(ISBLANK(輸入!$C$9),"",CONCATENATE("發現：",下拉用!$J$8))</f>
        <v/>
      </c>
      <c r="J10" s="577" t="n"/>
      <c r="K10" s="577" t="n"/>
      <c r="L10" s="577" t="n"/>
      <c r="M10" s="577" t="n"/>
      <c r="N10" s="577" t="n"/>
      <c r="O10" s="577" t="n"/>
      <c r="P10" s="577" t="n"/>
      <c r="Q10" s="577" t="n"/>
      <c r="R10" s="577" t="n"/>
      <c r="S10" s="577" t="n"/>
      <c r="T10" s="577" t="n"/>
      <c r="U10" s="577" t="n"/>
      <c r="V10" s="577" t="n"/>
      <c r="W10" s="577" t="n"/>
      <c r="X10" s="577" t="n"/>
      <c r="Y10" s="577" t="n"/>
      <c r="Z10" s="577" t="n"/>
      <c r="AA10" s="577" t="n"/>
      <c r="AB10" s="577" t="n"/>
      <c r="AC10" s="1282" t="n"/>
    </row>
    <row r="11" ht="28.5" customHeight="1" s="680">
      <c r="A11" s="1" t="n"/>
      <c r="E11" s="1276" t="n"/>
      <c r="H11" s="611" t="n"/>
      <c r="I11" s="1281">
        <f>IF(ISBLANK(輸入!$C$10),"",CONCATENATE("報案：",下拉用!$J$9))</f>
        <v/>
      </c>
      <c r="J11" s="577" t="n"/>
      <c r="K11" s="577" t="n"/>
      <c r="L11" s="577" t="n"/>
      <c r="M11" s="577" t="n"/>
      <c r="N11" s="577" t="n"/>
      <c r="O11" s="577" t="n"/>
      <c r="P11" s="577" t="n"/>
      <c r="Q11" s="577" t="n"/>
      <c r="R11" s="577" t="n"/>
      <c r="S11" s="577" t="n"/>
      <c r="T11" s="577" t="n"/>
      <c r="U11" s="577" t="n"/>
      <c r="V11" s="577" t="n"/>
      <c r="W11" s="577" t="n"/>
      <c r="X11" s="577" t="n"/>
      <c r="Y11" s="577" t="n"/>
      <c r="Z11" s="577" t="n"/>
      <c r="AA11" s="577" t="n"/>
      <c r="AB11" s="577" t="n"/>
      <c r="AC11" s="1282" t="n"/>
    </row>
    <row r="12" ht="28.5" customHeight="1" s="680">
      <c r="A12" s="1" t="n"/>
      <c r="E12" s="1272" t="n"/>
      <c r="F12" s="583" t="n"/>
      <c r="G12" s="583" t="n"/>
      <c r="H12" s="584" t="n"/>
      <c r="I12" s="1281">
        <f>IF($E$7=下拉用!$C$2,CONCATENATE("查獲：",下拉用!$J$10),"")</f>
        <v/>
      </c>
      <c r="J12" s="577" t="n"/>
      <c r="K12" s="577" t="n"/>
      <c r="L12" s="577" t="n"/>
      <c r="M12" s="577" t="n"/>
      <c r="N12" s="577" t="n"/>
      <c r="O12" s="577" t="n"/>
      <c r="P12" s="577" t="n"/>
      <c r="Q12" s="577" t="n"/>
      <c r="R12" s="577" t="n"/>
      <c r="S12" s="577" t="n"/>
      <c r="T12" s="577" t="n"/>
      <c r="U12" s="577" t="n"/>
      <c r="V12" s="577" t="n"/>
      <c r="W12" s="577" t="n"/>
      <c r="X12" s="577" t="n"/>
      <c r="Y12" s="577" t="n"/>
      <c r="Z12" s="577" t="n"/>
      <c r="AA12" s="577" t="n"/>
      <c r="AB12" s="577" t="n"/>
      <c r="AC12" s="1282" t="n"/>
    </row>
    <row r="13" ht="28.5" customHeight="1" s="680">
      <c r="A13" s="1" t="n"/>
      <c r="E13" s="1274" t="inlineStr">
        <is>
          <t>地點</t>
        </is>
      </c>
      <c r="H13" s="611" t="n"/>
      <c r="I13" s="618" t="inlineStr">
        <is>
          <t>里別</t>
        </is>
      </c>
      <c r="J13" s="577" t="n"/>
      <c r="K13" s="574" t="n"/>
      <c r="L13" s="1281" t="inlineStr">
        <is>
          <t>□中山里□聚盛里□聚葉里□民安里□集英里</t>
        </is>
      </c>
      <c r="M13" s="577" t="n"/>
      <c r="N13" s="577" t="n"/>
      <c r="O13" s="577" t="n"/>
      <c r="P13" s="577" t="n"/>
      <c r="Q13" s="577" t="n"/>
      <c r="R13" s="577" t="n"/>
      <c r="S13" s="577" t="n"/>
      <c r="T13" s="577" t="n"/>
      <c r="U13" s="577" t="n"/>
      <c r="V13" s="577" t="n"/>
      <c r="W13" s="577" t="n"/>
      <c r="X13" s="577" t="n"/>
      <c r="Y13" s="577" t="n"/>
      <c r="Z13" s="577" t="n"/>
      <c r="AA13" s="577" t="n"/>
      <c r="AB13" s="577" t="n"/>
      <c r="AC13" s="1282" t="n"/>
    </row>
    <row r="14" ht="28.5" customHeight="1" s="680">
      <c r="A14" s="1" t="n"/>
      <c r="E14" s="1272" t="n"/>
      <c r="F14" s="583" t="n"/>
      <c r="G14" s="583" t="n"/>
      <c r="H14" s="584" t="n"/>
      <c r="I14" s="618" t="inlineStr">
        <is>
          <t>地段</t>
        </is>
      </c>
      <c r="J14" s="577" t="n"/>
      <c r="K14" s="574" t="n"/>
      <c r="L14" s="1270">
        <f>輸入!$C$7</f>
        <v/>
      </c>
      <c r="M14" s="577" t="n"/>
      <c r="N14" s="577" t="n"/>
      <c r="O14" s="577" t="n"/>
      <c r="P14" s="577" t="n"/>
      <c r="Q14" s="577" t="n"/>
      <c r="R14" s="577" t="n"/>
      <c r="S14" s="577" t="n"/>
      <c r="T14" s="577" t="n"/>
      <c r="U14" s="577" t="n"/>
      <c r="V14" s="577" t="n"/>
      <c r="W14" s="577" t="n"/>
      <c r="X14" s="577" t="n"/>
      <c r="Y14" s="577" t="n"/>
      <c r="Z14" s="577" t="n"/>
      <c r="AA14" s="577" t="n"/>
      <c r="AB14" s="577" t="n"/>
      <c r="AC14" s="574" t="n"/>
    </row>
    <row r="15" ht="201.75" customHeight="1" s="680">
      <c r="A15" s="1" t="n"/>
      <c r="E15" s="1271" t="inlineStr">
        <is>
          <t>歸
檔
表
單</t>
        </is>
      </c>
      <c r="F15" s="577" t="n"/>
      <c r="G15" s="577" t="n"/>
      <c r="H15" s="574" t="n"/>
      <c r="I15" s="4" t="inlineStr">
        <is>
          <t>□搜索、扣押筆錄</t>
        </is>
      </c>
      <c r="J15" s="3" t="inlineStr">
        <is>
          <t>■陳報單</t>
        </is>
      </c>
      <c r="K15" s="3" t="inlineStr">
        <is>
          <t>□臨檢表</t>
        </is>
      </c>
      <c r="L15" s="3" t="inlineStr">
        <is>
          <t>■筆錄</t>
        </is>
      </c>
      <c r="M15" s="3" t="inlineStr">
        <is>
          <t>□工作紀錄簿</t>
        </is>
      </c>
      <c r="N15" s="3" t="inlineStr">
        <is>
          <t>■權力告知書</t>
        </is>
      </c>
      <c r="O15" s="3" t="inlineStr">
        <is>
          <t>□查扣清冊</t>
        </is>
      </c>
      <c r="P15" s="3" t="inlineStr">
        <is>
          <t>□線上立破單</t>
        </is>
      </c>
      <c r="Q15" s="3" t="inlineStr">
        <is>
          <t>□通報表</t>
        </is>
      </c>
      <c r="R15" s="3" t="inlineStr">
        <is>
          <t>□調查表</t>
        </is>
      </c>
      <c r="S15" s="3" t="inlineStr">
        <is>
          <t>□領單據</t>
        </is>
      </c>
      <c r="T15" s="3" t="inlineStr">
        <is>
          <t>□訪查表</t>
        </is>
      </c>
      <c r="U15" s="3" t="inlineStr">
        <is>
          <t>□輸入電腦證明單</t>
        </is>
      </c>
      <c r="V15" s="3" t="inlineStr">
        <is>
          <t>□執行紀錄表</t>
        </is>
      </c>
      <c r="W15" s="3" t="inlineStr">
        <is>
          <t>□證明表</t>
        </is>
      </c>
      <c r="X15" s="3" t="inlineStr">
        <is>
          <t>□其它</t>
        </is>
      </c>
      <c r="Y15" s="3" t="inlineStr">
        <is>
          <t>■各式附表</t>
        </is>
      </c>
      <c r="Z15" s="3" t="inlineStr">
        <is>
          <t>□</t>
        </is>
      </c>
      <c r="AA15" s="3" t="inlineStr">
        <is>
          <t>□</t>
        </is>
      </c>
      <c r="AB15" s="3" t="inlineStr">
        <is>
          <t>□</t>
        </is>
      </c>
      <c r="AC15" s="2" t="inlineStr">
        <is>
          <t>□</t>
        </is>
      </c>
    </row>
    <row r="16" ht="37.5" customHeight="1" s="680">
      <c r="A16" s="1" t="n"/>
      <c r="E16" s="1271" t="inlineStr">
        <is>
          <t>普通竊案
（增填）</t>
        </is>
      </c>
      <c r="F16" s="577" t="n"/>
      <c r="G16" s="577" t="n"/>
      <c r="H16" s="574" t="n"/>
      <c r="I16" s="1273" t="inlineStr">
        <is>
          <t>□住宅竊案  □公司竊案  □車內財損  □其它（   ）</t>
        </is>
      </c>
      <c r="J16" s="577" t="n"/>
      <c r="K16" s="577" t="n"/>
      <c r="L16" s="577" t="n"/>
      <c r="M16" s="577" t="n"/>
      <c r="N16" s="577" t="n"/>
      <c r="O16" s="577" t="n"/>
      <c r="P16" s="577" t="n"/>
      <c r="Q16" s="577" t="n"/>
      <c r="R16" s="577" t="n"/>
      <c r="S16" s="577" t="n"/>
      <c r="T16" s="577" t="n"/>
      <c r="U16" s="577" t="n"/>
      <c r="V16" s="577" t="n"/>
      <c r="W16" s="577" t="n"/>
      <c r="X16" s="577" t="n"/>
      <c r="Y16" s="577" t="n"/>
      <c r="Z16" s="577" t="n"/>
      <c r="AA16" s="577" t="n"/>
      <c r="AB16" s="577" t="n"/>
      <c r="AC16" s="574" t="n"/>
    </row>
    <row r="17" ht="29.25" customHeight="1" s="680">
      <c r="A17" s="1" t="n"/>
      <c r="E17" s="1271" t="inlineStr">
        <is>
          <t>汽機車
（增填）</t>
        </is>
      </c>
      <c r="F17" s="580" t="n"/>
      <c r="G17" s="580" t="n"/>
      <c r="H17" s="581" t="n"/>
      <c r="I17" s="618" t="inlineStr">
        <is>
          <t>汽車</t>
        </is>
      </c>
      <c r="J17" s="577" t="n"/>
      <c r="K17" s="574" t="n"/>
      <c r="L17" s="618" t="inlineStr">
        <is>
          <t>機車</t>
        </is>
      </c>
      <c r="M17" s="577" t="n"/>
      <c r="N17" s="577" t="n"/>
      <c r="O17" s="574" t="n"/>
      <c r="P17" s="618" t="inlineStr">
        <is>
          <t>廠牌</t>
        </is>
      </c>
      <c r="Q17" s="577" t="n"/>
      <c r="R17" s="574" t="n"/>
      <c r="S17" s="618" t="inlineStr">
        <is>
          <t>年份</t>
        </is>
      </c>
      <c r="T17" s="577" t="n"/>
      <c r="U17" s="574" t="n"/>
      <c r="V17" s="618" t="inlineStr">
        <is>
          <t>三四聯單號碼</t>
        </is>
      </c>
      <c r="W17" s="577" t="n"/>
      <c r="X17" s="577" t="n"/>
      <c r="Y17" s="577" t="n"/>
      <c r="Z17" s="577" t="n"/>
      <c r="AA17" s="577" t="n"/>
      <c r="AB17" s="577" t="n"/>
      <c r="AC17" s="574" t="n"/>
    </row>
    <row r="18" ht="29.25" customHeight="1" s="680">
      <c r="A18" s="1" t="n"/>
      <c r="E18" s="1272" t="n"/>
      <c r="F18" s="583" t="n"/>
      <c r="G18" s="583" t="n"/>
      <c r="H18" s="584" t="n"/>
      <c r="I18" s="938" t="n"/>
      <c r="J18" s="577" t="n"/>
      <c r="K18" s="574" t="n"/>
      <c r="L18" s="938" t="n"/>
      <c r="M18" s="577" t="n"/>
      <c r="N18" s="577" t="n"/>
      <c r="O18" s="574" t="n"/>
      <c r="P18" s="938" t="n"/>
      <c r="Q18" s="577" t="n"/>
      <c r="R18" s="574" t="n"/>
      <c r="S18" s="938" t="n"/>
      <c r="T18" s="577" t="n"/>
      <c r="U18" s="574" t="n"/>
      <c r="V18" s="1339">
        <f>UPPER(輸入!$C$13)</f>
        <v/>
      </c>
      <c r="W18" s="577" t="n"/>
      <c r="X18" s="577" t="n"/>
      <c r="Y18" s="577" t="n"/>
      <c r="Z18" s="577" t="n"/>
      <c r="AA18" s="577" t="n"/>
      <c r="AB18" s="577" t="n"/>
      <c r="AC18" s="574" t="n"/>
    </row>
    <row r="19" ht="40.5" customHeight="1" s="680" thickBot="1">
      <c r="A19" s="1" t="n"/>
      <c r="E19" s="1280" t="inlineStr">
        <is>
          <t>承辦
員警</t>
        </is>
      </c>
      <c r="F19" s="1278" t="n"/>
      <c r="G19" s="1278" t="n"/>
      <c r="H19" s="1279" t="n"/>
      <c r="I19" s="1277">
        <f>CONCATENATE(輸入!$T$24," ",輸入!$O$8)</f>
        <v/>
      </c>
      <c r="J19" s="1278" t="n"/>
      <c r="K19" s="1278" t="n"/>
      <c r="L19" s="1278" t="n"/>
      <c r="M19" s="1278" t="n"/>
      <c r="N19" s="1278" t="n"/>
      <c r="O19" s="1278" t="n"/>
      <c r="P19" s="1278" t="n"/>
      <c r="Q19" s="1278" t="n"/>
      <c r="R19" s="1278" t="n"/>
      <c r="S19" s="1278" t="n"/>
      <c r="T19" s="1278" t="n"/>
      <c r="U19" s="1278" t="n"/>
      <c r="V19" s="1278" t="n"/>
      <c r="W19" s="1278" t="n"/>
      <c r="X19" s="1278" t="n"/>
      <c r="Y19" s="1278" t="n"/>
      <c r="Z19" s="1278" t="n"/>
      <c r="AA19" s="1278" t="n"/>
      <c r="AB19" s="1278" t="n"/>
      <c r="AC19" s="1279" t="n"/>
    </row>
    <row r="20" ht="17.25" customHeight="1" s="680" thickTop="1"/>
  </sheetData>
  <mergeCells count="44">
    <mergeCell ref="E17:H18"/>
    <mergeCell ref="V17:AC17"/>
    <mergeCell ref="P8:R8"/>
    <mergeCell ref="I16:AC16"/>
    <mergeCell ref="E13:H14"/>
    <mergeCell ref="E16:H16"/>
    <mergeCell ref="L13:AC13"/>
    <mergeCell ref="I18:K18"/>
    <mergeCell ref="P17:R17"/>
    <mergeCell ref="I7:O8"/>
    <mergeCell ref="L14:AC14"/>
    <mergeCell ref="V5:AC5"/>
    <mergeCell ref="P7:R7"/>
    <mergeCell ref="I12:AC12"/>
    <mergeCell ref="I14:K14"/>
    <mergeCell ref="L17:O17"/>
    <mergeCell ref="E9:H12"/>
    <mergeCell ref="P18:R18"/>
    <mergeCell ref="I17:K17"/>
    <mergeCell ref="E3:AC3"/>
    <mergeCell ref="G4:AA4"/>
    <mergeCell ref="I5:O6"/>
    <mergeCell ref="V6:AC6"/>
    <mergeCell ref="S7:U8"/>
    <mergeCell ref="I13:K13"/>
    <mergeCell ref="P5:R5"/>
    <mergeCell ref="I10:AC10"/>
    <mergeCell ref="I19:AC19"/>
    <mergeCell ref="Z7:AC7"/>
    <mergeCell ref="V7:Y8"/>
    <mergeCell ref="E19:H19"/>
    <mergeCell ref="E7:H8"/>
    <mergeCell ref="L18:O18"/>
    <mergeCell ref="X2:AC2"/>
    <mergeCell ref="I9:AC9"/>
    <mergeCell ref="S5:U6"/>
    <mergeCell ref="Z8:AC8"/>
    <mergeCell ref="S18:U18"/>
    <mergeCell ref="I11:AC11"/>
    <mergeCell ref="E15:H15"/>
    <mergeCell ref="S17:U17"/>
    <mergeCell ref="V18:AC18"/>
    <mergeCell ref="P6:R6"/>
    <mergeCell ref="E5:H6"/>
  </mergeCells>
  <pageMargins left="0.7" right="0.7" top="0.75" bottom="0.75" header="0.3" footer="0.3"/>
  <pageSetup orientation="portrait" paperSize="9" scale="98"/>
  <colBreaks count="1" manualBreakCount="1">
    <brk id="30" min="0" max="18" man="1"/>
  </colBreaks>
</worksheet>
</file>

<file path=xl/worksheets/sheet53.xml><?xml version="1.0" encoding="utf-8"?>
<worksheet xmlns="http://schemas.openxmlformats.org/spreadsheetml/2006/main">
  <sheetPr codeName="工作表25">
    <outlinePr summaryBelow="1" summaryRight="1"/>
    <pageSetUpPr/>
  </sheetPr>
  <dimension ref="A1:S17"/>
  <sheetViews>
    <sheetView view="pageLayout" zoomScaleNormal="100" workbookViewId="0">
      <selection activeCell="D18" sqref="D18"/>
    </sheetView>
  </sheetViews>
  <sheetFormatPr baseColWidth="8" defaultColWidth="9" defaultRowHeight="16.5"/>
  <cols>
    <col width="5.5" customWidth="1" style="709" min="1" max="1"/>
    <col width="4" customWidth="1" style="1144" min="2" max="2"/>
    <col width="10" customWidth="1" style="709" min="3" max="3"/>
    <col width="4" customWidth="1" style="709" min="4" max="4"/>
    <col width="18.5" customWidth="1" style="709" min="5" max="5"/>
    <col width="6" customWidth="1" style="709" min="6" max="6"/>
    <col width="5.5" customWidth="1" style="709" min="7" max="7"/>
    <col width="4.875" customWidth="1" style="709" min="8" max="8"/>
    <col width="33.125" customWidth="1" style="709" min="9" max="9"/>
    <col width="9" customWidth="1" style="709" min="10" max="10"/>
    <col width="9" customWidth="1" style="709" min="11" max="16384"/>
  </cols>
  <sheetData>
    <row r="1" ht="36.75" customHeight="1" s="680">
      <c r="A1" s="1296">
        <f>CONCATENATE(,輸入!$S$18,輸入!$T$18,輸入!$S$19,輸入!$T$19,輸入!$S$20,輸入!$T$20,"  受理案件資料檢核表")</f>
        <v/>
      </c>
      <c r="B1" s="577" t="n"/>
      <c r="C1" s="577" t="n"/>
      <c r="D1" s="577" t="n"/>
      <c r="E1" s="577" t="n"/>
      <c r="F1" s="577" t="n"/>
      <c r="G1" s="577" t="n"/>
      <c r="H1" s="577" t="n"/>
      <c r="I1" s="574" t="n"/>
      <c r="J1" s="776" t="n"/>
      <c r="K1" s="776" t="n"/>
      <c r="L1" s="776" t="n"/>
      <c r="M1" s="776" t="n"/>
      <c r="N1" s="776" t="n"/>
      <c r="O1" s="776" t="n"/>
      <c r="P1" s="776" t="n"/>
      <c r="Q1" s="776" t="n"/>
      <c r="R1" s="776" t="n"/>
      <c r="S1" s="776" t="n"/>
    </row>
    <row r="2" ht="36.75" customHeight="1" s="680">
      <c r="A2" s="579" t="inlineStr">
        <is>
          <t>名稱</t>
        </is>
      </c>
      <c r="B2" s="574" t="n"/>
      <c r="C2" s="1297" t="inlineStr">
        <is>
          <t>ㄧ般刑事案件</t>
        </is>
      </c>
      <c r="D2" s="577" t="n"/>
      <c r="E2" s="577" t="n"/>
      <c r="F2" s="574" t="n"/>
      <c r="G2" s="579" t="inlineStr">
        <is>
          <t>日期</t>
        </is>
      </c>
      <c r="H2" s="574" t="n"/>
      <c r="I2" s="579">
        <f>LEFT(下拉用!$J$9,10)</f>
        <v/>
      </c>
      <c r="J2" s="776" t="n"/>
      <c r="K2" s="776" t="n"/>
      <c r="L2" s="776" t="n"/>
      <c r="M2" s="776" t="n"/>
      <c r="N2" s="776" t="n"/>
      <c r="O2" s="776" t="n"/>
      <c r="P2" s="776" t="n"/>
      <c r="Q2" s="776" t="n"/>
      <c r="R2" s="776" t="n"/>
      <c r="S2" s="776" t="n"/>
    </row>
    <row r="3" ht="29.25" customHeight="1" s="680">
      <c r="A3" s="1295" t="inlineStr">
        <is>
          <t>案類/檢核(V)</t>
        </is>
      </c>
      <c r="B3" s="574" t="n"/>
      <c r="C3" s="1292">
        <f>CONCATENATE(word用!$H$2,"遭詐欺案")</f>
        <v/>
      </c>
      <c r="D3" s="577" t="n"/>
      <c r="E3" s="577" t="n"/>
      <c r="F3" s="574" t="n"/>
      <c r="G3" s="579" t="inlineStr">
        <is>
          <t>檢核(V)</t>
        </is>
      </c>
      <c r="H3" s="574" t="n"/>
      <c r="I3" s="579" t="inlineStr">
        <is>
          <t>備考(說明)</t>
        </is>
      </c>
      <c r="J3" s="776" t="n"/>
      <c r="K3" s="776" t="n"/>
      <c r="L3" s="776" t="n"/>
      <c r="M3" s="776" t="n"/>
      <c r="N3" s="776" t="n"/>
      <c r="O3" s="776" t="n"/>
      <c r="P3" s="776" t="n"/>
      <c r="Q3" s="776" t="n"/>
      <c r="R3" s="776" t="n"/>
      <c r="S3" s="776" t="n"/>
    </row>
    <row r="4" ht="33.95" customHeight="1" s="680">
      <c r="A4" s="579" t="inlineStr">
        <is>
          <t>V</t>
        </is>
      </c>
      <c r="B4" s="579" t="n">
        <v>1</v>
      </c>
      <c r="C4" s="655">
        <f>CONCATENATE("陳報單(案號：",word用!#REF!,")")</f>
        <v/>
      </c>
      <c r="D4" s="577" t="n"/>
      <c r="E4" s="577" t="n"/>
      <c r="F4" s="574" t="n"/>
      <c r="G4" s="579" t="inlineStr">
        <is>
          <t>V</t>
        </is>
      </c>
      <c r="H4" s="579" t="n">
        <v>6</v>
      </c>
      <c r="I4" s="655" t="inlineStr">
        <is>
          <t>報案人身分證明文件</t>
        </is>
      </c>
      <c r="J4" s="776" t="n"/>
      <c r="K4" s="776" t="n"/>
      <c r="L4" s="776" t="n"/>
      <c r="M4" s="776" t="n"/>
      <c r="N4" s="776" t="n"/>
      <c r="O4" s="776" t="n"/>
      <c r="P4" s="776" t="n"/>
      <c r="Q4" s="776" t="n"/>
      <c r="R4" s="776" t="n"/>
      <c r="S4" s="776" t="n"/>
    </row>
    <row r="5" ht="36.75" customHeight="1" s="680">
      <c r="A5" s="579" t="inlineStr">
        <is>
          <t>V</t>
        </is>
      </c>
      <c r="B5" s="579" t="n">
        <v>2</v>
      </c>
      <c r="C5" s="655" t="inlineStr">
        <is>
          <t>受理各類案件紀錄表</t>
        </is>
      </c>
      <c r="D5" s="577" t="n"/>
      <c r="E5" s="577" t="n"/>
      <c r="F5" s="574" t="n"/>
      <c r="G5" s="579" t="n"/>
      <c r="H5" s="579" t="n">
        <v>7</v>
      </c>
      <c r="I5" s="655" t="inlineStr">
        <is>
          <t>*監視錄影器影像畫面(□截圖 □光碟)</t>
        </is>
      </c>
      <c r="J5" s="776" t="n"/>
      <c r="K5" s="776" t="n"/>
      <c r="L5" s="776" t="n"/>
      <c r="M5" s="776" t="n"/>
      <c r="N5" s="776" t="n"/>
      <c r="O5" s="776" t="n"/>
      <c r="P5" s="776" t="n"/>
      <c r="Q5" s="776" t="n"/>
      <c r="R5" s="776" t="n"/>
      <c r="S5" s="776" t="n"/>
    </row>
    <row r="6" ht="53.85" customHeight="1" s="680">
      <c r="A6" s="579" t="inlineStr">
        <is>
          <t>V</t>
        </is>
      </c>
      <c r="B6" s="579" t="n">
        <v>3</v>
      </c>
      <c r="C6" s="655" t="inlineStr">
        <is>
          <t>受(處)理案件證明單(1式三份)</t>
        </is>
      </c>
      <c r="D6" s="577" t="n"/>
      <c r="E6" s="577" t="n"/>
      <c r="F6" s="574" t="n"/>
      <c r="G6" s="579" t="n"/>
      <c r="H6" s="579" t="n">
        <v>8</v>
      </c>
      <c r="I6" s="655" t="inlineStr">
        <is>
          <t>*真實姓名對照表(性騷擾、強制性交、性交猥褻等案類或其他使用代號案件)</t>
        </is>
      </c>
      <c r="J6" s="776" t="n"/>
      <c r="K6" s="776" t="n"/>
      <c r="L6" s="776" t="n"/>
      <c r="M6" s="776" t="n"/>
      <c r="N6" s="776" t="n"/>
      <c r="O6" s="776" t="n"/>
      <c r="P6" s="776" t="n"/>
      <c r="Q6" s="776" t="n"/>
      <c r="R6" s="776" t="n"/>
      <c r="S6" s="776" t="n"/>
    </row>
    <row r="7" ht="31.35" customHeight="1" s="680">
      <c r="A7" s="579" t="inlineStr">
        <is>
          <t>V</t>
        </is>
      </c>
      <c r="B7" s="579" t="n">
        <v>4</v>
      </c>
      <c r="C7" s="655" t="inlineStr">
        <is>
          <t>筆錄</t>
        </is>
      </c>
      <c r="D7" s="577" t="n"/>
      <c r="E7" s="577" t="n"/>
      <c r="F7" s="574" t="n"/>
      <c r="G7" s="579" t="n"/>
      <c r="H7" s="579" t="n">
        <v>9</v>
      </c>
      <c r="I7" s="655" t="inlineStr">
        <is>
          <t>被害人(告訴人)戶籍資料</t>
        </is>
      </c>
      <c r="J7" s="776" t="n"/>
      <c r="K7" s="776" t="n"/>
      <c r="L7" s="776" t="n"/>
      <c r="M7" s="776" t="n"/>
      <c r="N7" s="776" t="n"/>
      <c r="O7" s="776" t="n"/>
      <c r="P7" s="776" t="n"/>
      <c r="Q7" s="776" t="n"/>
      <c r="R7" s="776" t="n"/>
      <c r="S7" s="776" t="n"/>
    </row>
    <row r="8" ht="36.75" customHeight="1" s="680" thickBot="1">
      <c r="A8" s="1148" t="inlineStr">
        <is>
          <t>V</t>
        </is>
      </c>
      <c r="B8" s="1148" t="n">
        <v>5</v>
      </c>
      <c r="C8" s="798" t="inlineStr">
        <is>
          <t>刑案紀錄表(1份+1份筆錄)</t>
        </is>
      </c>
      <c r="D8" s="580" t="n"/>
      <c r="E8" s="580" t="n"/>
      <c r="F8" s="581" t="n"/>
      <c r="G8" s="1148" t="n"/>
      <c r="H8" s="1148" t="n">
        <v>10</v>
      </c>
      <c r="I8" s="798" t="inlineStr">
        <is>
          <t>*犯罪嫌疑人(被告)戶籍資料及刑案資料</t>
        </is>
      </c>
      <c r="J8" s="776" t="n"/>
      <c r="K8" s="776" t="n"/>
      <c r="L8" s="776" t="n"/>
      <c r="M8" s="776" t="n"/>
      <c r="N8" s="776" t="n"/>
      <c r="O8" s="776" t="n"/>
      <c r="P8" s="776" t="n"/>
      <c r="Q8" s="776" t="n"/>
      <c r="R8" s="776" t="n"/>
      <c r="S8" s="776" t="n"/>
    </row>
    <row r="9" ht="25.5" customHeight="1" s="680" thickTop="1">
      <c r="A9" s="164" t="n"/>
      <c r="B9" s="1298" t="n">
        <v>11</v>
      </c>
      <c r="C9" s="1298" t="inlineStr">
        <is>
          <t>*詐欺案類(165反詐騙諮詢專線紀錄表)</t>
        </is>
      </c>
      <c r="D9" s="1261" t="n"/>
      <c r="E9" s="1261" t="n"/>
      <c r="F9" s="1261" t="n"/>
      <c r="G9" s="1261" t="n"/>
      <c r="H9" s="1261" t="n"/>
      <c r="I9" s="1138" t="n"/>
      <c r="J9" s="592" t="n"/>
      <c r="K9" s="776" t="n"/>
      <c r="L9" s="776" t="n"/>
      <c r="M9" s="776" t="n"/>
      <c r="N9" s="776" t="n"/>
      <c r="O9" s="776" t="n"/>
      <c r="P9" s="776" t="n"/>
      <c r="Q9" s="776" t="n"/>
      <c r="R9" s="776" t="n"/>
      <c r="S9" s="776" t="n"/>
    </row>
    <row r="10" ht="39.6" customHeight="1" s="680">
      <c r="A10" s="253" t="inlineStr">
        <is>
          <t>V</t>
        </is>
      </c>
      <c r="B10" s="579" t="n">
        <v>12</v>
      </c>
      <c r="C10" s="655" t="inlineStr">
        <is>
          <t>是否受騙欄位勾選(切勿誤植勾選否)</t>
        </is>
      </c>
      <c r="D10" s="577" t="n"/>
      <c r="E10" s="577" t="n"/>
      <c r="F10" s="574" t="n"/>
      <c r="G10" s="579" t="n"/>
      <c r="H10" s="579" t="n">
        <v>18</v>
      </c>
      <c r="I10" s="165" t="inlineStr">
        <is>
          <t>是否設定二層警示帳戶，並上傳相關附件?</t>
        </is>
      </c>
      <c r="J10" s="776" t="n"/>
      <c r="K10" s="776" t="n"/>
      <c r="L10" s="776" t="n"/>
      <c r="M10" s="776" t="n"/>
      <c r="N10" s="776" t="n"/>
      <c r="O10" s="776" t="n"/>
      <c r="P10" s="776" t="n"/>
      <c r="Q10" s="776" t="n"/>
      <c r="R10" s="776" t="n"/>
      <c r="S10" s="776" t="n"/>
    </row>
    <row r="11" ht="73.7" customHeight="1" s="680">
      <c r="A11" s="253" t="inlineStr">
        <is>
          <t>V</t>
        </is>
      </c>
      <c r="B11" s="579" t="n">
        <v>13</v>
      </c>
      <c r="C11" s="655" t="inlineStr">
        <is>
          <t>案情內容簡短(文字敘述至少3行，建議使用範本匯入)</t>
        </is>
      </c>
      <c r="D11" s="577" t="n"/>
      <c r="E11" s="577" t="n"/>
      <c r="F11" s="574" t="n"/>
      <c r="G11" s="579" t="n"/>
      <c r="H11" s="579" t="n">
        <v>19</v>
      </c>
      <c r="I11" s="165" t="inlineStr">
        <is>
          <t>是否填寫受話號碼(接獲詐騙電話之被害人門號，非詐騙電話+886……)及是否填寫疑似竄改門號(即詐騙電話+886……)?</t>
        </is>
      </c>
      <c r="J11" s="776" t="n"/>
      <c r="K11" s="776" t="n"/>
      <c r="L11" s="776" t="n"/>
      <c r="M11" s="776" t="n"/>
      <c r="N11" s="776" t="n"/>
      <c r="O11" s="776" t="n"/>
      <c r="P11" s="776" t="n"/>
      <c r="Q11" s="776" t="n"/>
      <c r="R11" s="776" t="n"/>
      <c r="S11" s="776" t="n"/>
    </row>
    <row r="12" ht="39.6" customHeight="1" s="680">
      <c r="A12" s="253" t="inlineStr">
        <is>
          <t>V</t>
        </is>
      </c>
      <c r="B12" s="579" t="n">
        <v>14</v>
      </c>
      <c r="C12" s="655" t="inlineStr">
        <is>
          <t>有無完成後續處理?
(處理時間、報案證明單單號勿缺漏)</t>
        </is>
      </c>
      <c r="D12" s="577" t="n"/>
      <c r="E12" s="577" t="n"/>
      <c r="F12" s="574" t="n"/>
      <c r="G12" s="579" t="n"/>
      <c r="H12" s="579" t="n">
        <v>20</v>
      </c>
      <c r="I12" s="165" t="inlineStr">
        <is>
          <t>是否輸入詐騙電話、冒用機構(請填輸電商名稱，非銀行名稱)</t>
        </is>
      </c>
      <c r="J12" s="776" t="n"/>
      <c r="K12" s="776" t="n"/>
      <c r="L12" s="776" t="n"/>
      <c r="M12" s="776" t="n"/>
      <c r="N12" s="776" t="n"/>
      <c r="O12" s="776" t="n"/>
      <c r="P12" s="776" t="n"/>
      <c r="Q12" s="776" t="n"/>
      <c r="R12" s="776" t="n"/>
      <c r="S12" s="776" t="n"/>
    </row>
    <row r="13" ht="45.2" customHeight="1" s="680">
      <c r="A13" s="253" t="n"/>
      <c r="B13" s="579" t="n">
        <v>15</v>
      </c>
      <c r="C13" s="655" t="inlineStr">
        <is>
          <t>財損大於100萬元、假投資(涉及虛擬通貨)案類是否使用預製筆錄?</t>
        </is>
      </c>
      <c r="D13" s="577" t="n"/>
      <c r="E13" s="577" t="n"/>
      <c r="F13" s="574" t="n"/>
      <c r="G13" s="579" t="n"/>
      <c r="H13" s="579" t="n">
        <v>21</v>
      </c>
      <c r="I13" s="165" t="inlineStr">
        <is>
          <t>是否填寫涉案LINE或Telegram ID?</t>
        </is>
      </c>
      <c r="J13" s="776" t="n"/>
      <c r="K13" s="776" t="n"/>
      <c r="L13" s="776" t="n"/>
      <c r="M13" s="776" t="n"/>
      <c r="N13" s="776" t="n"/>
      <c r="O13" s="776" t="n"/>
      <c r="P13" s="776" t="n"/>
      <c r="Q13" s="776" t="n"/>
      <c r="R13" s="776" t="n"/>
      <c r="S13" s="776" t="n"/>
    </row>
    <row r="14" ht="65.09999999999999" customHeight="1" s="680">
      <c r="A14" s="253" t="n"/>
      <c r="B14" s="579" t="n">
        <v>16</v>
      </c>
      <c r="C14" s="655" t="inlineStr">
        <is>
          <t>被害人有無臨櫃匯款?  筆錄有無詢問臨櫃匯款 3 問句?(何處匯款?行員是否關懷提問?歹徒有無教導閃避說詞?)</t>
        </is>
      </c>
      <c r="D14" s="577" t="n"/>
      <c r="E14" s="577" t="n"/>
      <c r="F14" s="574" t="n"/>
      <c r="G14" s="579" t="n"/>
      <c r="H14" s="579" t="n">
        <v>22</v>
      </c>
      <c r="I14" s="165" t="inlineStr">
        <is>
          <t>是否填寫詐騙標的?網站名稱?投資網址? 詐騙電子錢包?</t>
        </is>
      </c>
      <c r="J14" s="776" t="n"/>
      <c r="K14" s="776" t="n"/>
      <c r="L14" s="776" t="n"/>
      <c r="M14" s="776" t="n"/>
      <c r="N14" s="776" t="n"/>
      <c r="O14" s="776" t="n"/>
      <c r="P14" s="776" t="n"/>
      <c r="Q14" s="776" t="n"/>
      <c r="R14" s="776" t="n"/>
      <c r="S14" s="776" t="n"/>
    </row>
    <row r="15" ht="56.85" customHeight="1" s="680" thickBot="1">
      <c r="A15" s="254" t="inlineStr">
        <is>
          <t>V</t>
        </is>
      </c>
      <c r="B15" s="166" t="n">
        <v>17</v>
      </c>
      <c r="C15" s="1293" t="inlineStr">
        <is>
          <t>是否上傳受理卷宗?</t>
        </is>
      </c>
      <c r="D15" s="1294" t="n"/>
      <c r="E15" s="1294" t="n"/>
      <c r="F15" s="1155" t="n"/>
      <c r="G15" s="166" t="n"/>
      <c r="H15" s="166" t="n">
        <v>23</v>
      </c>
      <c r="I15" s="167" t="inlineStr">
        <is>
          <t>境外匯款是否輸入詐騙帳號?(銀行代碼111)及國際匯款代碼?(swift code)</t>
        </is>
      </c>
      <c r="J15" s="776" t="n"/>
      <c r="K15" s="776" t="n"/>
      <c r="L15" s="776" t="n"/>
      <c r="M15" s="776" t="n"/>
      <c r="N15" s="776" t="n"/>
      <c r="O15" s="776" t="n"/>
      <c r="P15" s="776" t="n"/>
      <c r="Q15" s="776" t="n"/>
      <c r="R15" s="776" t="n"/>
      <c r="S15" s="776" t="n"/>
    </row>
    <row r="16" ht="45.2" customHeight="1" s="680" thickTop="1">
      <c r="A16" s="1232" t="n"/>
      <c r="B16" s="806" t="inlineStr">
        <is>
          <t>填表說明
(注意事項)</t>
        </is>
      </c>
      <c r="C16" s="584" t="n"/>
      <c r="D16" s="1232" t="n"/>
      <c r="E16" s="1150" t="inlineStr">
        <is>
          <t>一、未註明*之項目皆為每案必附資料。</t>
        </is>
      </c>
      <c r="F16" s="583" t="n"/>
      <c r="G16" s="583" t="n"/>
      <c r="H16" s="583" t="n"/>
      <c r="I16" s="584" t="n"/>
      <c r="J16" s="776" t="n"/>
      <c r="K16" s="776" t="n"/>
      <c r="L16" s="776" t="n"/>
      <c r="M16" s="776" t="n"/>
      <c r="N16" s="776" t="n"/>
      <c r="O16" s="776" t="n"/>
      <c r="P16" s="776" t="n"/>
      <c r="Q16" s="776" t="n"/>
      <c r="R16" s="776" t="n"/>
      <c r="S16" s="776" t="n"/>
    </row>
    <row r="17" ht="45.2" customHeight="1" s="680">
      <c r="A17" s="655" t="n"/>
      <c r="B17" s="579" t="inlineStr">
        <is>
          <t>承辦員警</t>
        </is>
      </c>
      <c r="C17" s="574" t="n"/>
      <c r="D17" s="579">
        <f>輸入!$O$8</f>
        <v/>
      </c>
      <c r="E17" s="574" t="n"/>
      <c r="F17" s="655" t="n"/>
      <c r="G17" s="579" t="inlineStr">
        <is>
          <t>單位主管</t>
        </is>
      </c>
      <c r="H17" s="574" t="n"/>
      <c r="I17" s="655" t="n"/>
      <c r="J17" s="776" t="n"/>
      <c r="K17" s="776" t="n"/>
      <c r="L17" s="776" t="n"/>
      <c r="M17" s="776" t="n"/>
      <c r="N17" s="776" t="n"/>
      <c r="O17" s="776" t="n"/>
      <c r="P17" s="776" t="n"/>
      <c r="Q17" s="776" t="n"/>
      <c r="R17" s="776" t="n"/>
      <c r="S17" s="776" t="n"/>
    </row>
  </sheetData>
  <mergeCells count="24">
    <mergeCell ref="B16:C16"/>
    <mergeCell ref="C8:F8"/>
    <mergeCell ref="G2:H2"/>
    <mergeCell ref="C7:F7"/>
    <mergeCell ref="G17:H17"/>
    <mergeCell ref="C13:F13"/>
    <mergeCell ref="C3:F3"/>
    <mergeCell ref="C6:F6"/>
    <mergeCell ref="C15:F15"/>
    <mergeCell ref="B17:C17"/>
    <mergeCell ref="C5:F5"/>
    <mergeCell ref="D17:E17"/>
    <mergeCell ref="A3:B3"/>
    <mergeCell ref="G3:H3"/>
    <mergeCell ref="C14:F14"/>
    <mergeCell ref="A2:B2"/>
    <mergeCell ref="C4:F4"/>
    <mergeCell ref="C10:F10"/>
    <mergeCell ref="C9:I9"/>
    <mergeCell ref="E16:I16"/>
    <mergeCell ref="C12:F12"/>
    <mergeCell ref="A1:I1"/>
    <mergeCell ref="C11:F11"/>
    <mergeCell ref="C2:F2"/>
  </mergeCells>
  <pageMargins left="0.5118110236220472" right="0.5118110236220472" top="0.8661417322834646" bottom="0.7480314960629921" header="0.4724409448818898" footer="0.3149606299212598"/>
  <pageSetup orientation="portrait" paperSize="9"/>
  <headerFooter>
    <oddHeader>&amp;L&amp;"標楷體,標準"編號：5（受理ㄧ般刑事案件）&amp;R&amp;KFF0000112.04.07製表</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Administrator</dc:creator>
  <dcterms:created xmlns:dcterms="http://purl.org/dc/terms/" xmlns:xsi="http://www.w3.org/2001/XMLSchema-instance" xsi:type="dcterms:W3CDTF">2023-01-20T13:26:56Z</dcterms:created>
  <dcterms:modified xmlns:dcterms="http://purl.org/dc/terms/" xmlns:xsi="http://www.w3.org/2001/XMLSchema-instance" xsi:type="dcterms:W3CDTF">2026-10-15T12:48:40Z</dcterms:modified>
  <cp:lastModifiedBy>yungtang</cp:lastModifiedBy>
  <cp:lastPrinted>2026-08-01T11:02:07Z</cp:lastPrinted>
</cp:coreProperties>
</file>